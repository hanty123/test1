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defaultThemeVersion="124226"/>
  <mc:AlternateContent xmlns:mc="http://schemas.openxmlformats.org/markup-compatibility/2006">
    <mc:Choice Requires="x15">
      <x15ac:absPath xmlns:x15ac="http://schemas.microsoft.com/office/spreadsheetml/2010/11/ac" url="C:\Users\GyuHongLee\Desktop\EN772_801\_SW\_MainFW\FW_Main_EN772_0x7202_220530\_Par\"/>
    </mc:Choice>
  </mc:AlternateContent>
  <xr:revisionPtr revIDLastSave="0" documentId="13_ncr:1_{E42DC570-0CBA-4C82-8F9D-51B6C18E68B9}" xr6:coauthVersionLast="47" xr6:coauthVersionMax="47" xr10:uidLastSave="{00000000-0000-0000-0000-000000000000}"/>
  <bookViews>
    <workbookView xWindow="41520" yWindow="3120" windowWidth="28800" windowHeight="1543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4" i="1" l="1"/>
  <c r="B5" i="1"/>
  <c r="B6" i="1"/>
  <c r="B7" i="1"/>
  <c r="B8" i="1"/>
  <c r="C8" i="1" s="1"/>
  <c r="B9" i="1"/>
  <c r="B10" i="1"/>
  <c r="C10" i="1" s="1"/>
  <c r="B11" i="1"/>
  <c r="C11" i="1" s="1"/>
  <c r="B12" i="1"/>
  <c r="B13" i="1"/>
  <c r="C13" i="1" s="1"/>
  <c r="B14" i="1"/>
  <c r="C14" i="1" s="1"/>
  <c r="B15" i="1"/>
  <c r="C15" i="1" s="1"/>
  <c r="B16" i="1"/>
  <c r="C16" i="1" s="1"/>
  <c r="B17" i="1"/>
  <c r="C17" i="1" s="1"/>
  <c r="B18" i="1"/>
  <c r="C18" i="1" s="1"/>
  <c r="B19" i="1"/>
  <c r="C19" i="1" s="1"/>
  <c r="B20" i="1"/>
  <c r="B21" i="1"/>
  <c r="C21" i="1" s="1"/>
  <c r="B22" i="1"/>
  <c r="C22" i="1" s="1"/>
  <c r="B23" i="1"/>
  <c r="C23" i="1" s="1"/>
  <c r="B24" i="1"/>
  <c r="C24" i="1" s="1"/>
  <c r="B25" i="1"/>
  <c r="C25" i="1" s="1"/>
  <c r="B26" i="1"/>
  <c r="C26" i="1" s="1"/>
  <c r="B27" i="1"/>
  <c r="C27" i="1" s="1"/>
  <c r="B28" i="1"/>
  <c r="C28" i="1" s="1"/>
  <c r="B29" i="1"/>
  <c r="C29" i="1" s="1"/>
  <c r="B30" i="1"/>
  <c r="C30" i="1" s="1"/>
  <c r="B31" i="1"/>
  <c r="C31" i="1" s="1"/>
  <c r="B32" i="1"/>
  <c r="C32" i="1" s="1"/>
  <c r="B33" i="1"/>
  <c r="C33" i="1" s="1"/>
  <c r="B34" i="1"/>
  <c r="C34" i="1" s="1"/>
  <c r="B35" i="1"/>
  <c r="C35" i="1" s="1"/>
  <c r="B36" i="1"/>
  <c r="C36" i="1" s="1"/>
  <c r="B37" i="1"/>
  <c r="C37" i="1" s="1"/>
  <c r="B38" i="1"/>
  <c r="C38" i="1" s="1"/>
  <c r="B39" i="1"/>
  <c r="C39" i="1" s="1"/>
  <c r="B40" i="1"/>
  <c r="C40" i="1" s="1"/>
  <c r="B41" i="1"/>
  <c r="C41" i="1" s="1"/>
  <c r="B42" i="1"/>
  <c r="C42" i="1" s="1"/>
  <c r="B43" i="1"/>
  <c r="C43" i="1" s="1"/>
  <c r="B44" i="1"/>
  <c r="C44" i="1" s="1"/>
  <c r="B45" i="1"/>
  <c r="C45" i="1" s="1"/>
  <c r="B46" i="1"/>
  <c r="C46" i="1" s="1"/>
  <c r="B47" i="1"/>
  <c r="C47" i="1" s="1"/>
  <c r="B48" i="1"/>
  <c r="B49" i="1"/>
  <c r="C49" i="1" s="1"/>
  <c r="B50" i="1"/>
  <c r="C50" i="1" s="1"/>
  <c r="B51" i="1"/>
  <c r="C51" i="1" s="1"/>
  <c r="B52" i="1"/>
  <c r="C52" i="1" s="1"/>
  <c r="B53" i="1"/>
  <c r="C53" i="1" s="1"/>
  <c r="B54" i="1"/>
  <c r="C54" i="1" s="1"/>
  <c r="B55" i="1"/>
  <c r="C55" i="1" s="1"/>
  <c r="B56" i="1"/>
  <c r="C56" i="1" s="1"/>
  <c r="B57" i="1"/>
  <c r="C57" i="1" s="1"/>
  <c r="B58" i="1"/>
  <c r="C58" i="1" s="1"/>
  <c r="B59" i="1"/>
  <c r="C59" i="1" s="1"/>
  <c r="B60" i="1"/>
  <c r="C60" i="1" s="1"/>
  <c r="B61" i="1"/>
  <c r="C61" i="1" s="1"/>
  <c r="B62" i="1"/>
  <c r="C62" i="1" s="1"/>
  <c r="B63" i="1"/>
  <c r="C63" i="1" s="1"/>
  <c r="B64" i="1"/>
  <c r="C64" i="1" s="1"/>
  <c r="B65" i="1"/>
  <c r="C65" i="1" s="1"/>
  <c r="B66" i="1"/>
  <c r="C66" i="1" s="1"/>
  <c r="B67" i="1"/>
  <c r="C67" i="1" s="1"/>
  <c r="B68" i="1"/>
  <c r="C68" i="1" s="1"/>
  <c r="B69" i="1"/>
  <c r="C69" i="1" s="1"/>
  <c r="B70" i="1"/>
  <c r="C70" i="1" s="1"/>
  <c r="B71" i="1"/>
  <c r="C71" i="1" s="1"/>
  <c r="B72" i="1"/>
  <c r="C72" i="1" s="1"/>
  <c r="B73" i="1"/>
  <c r="C73" i="1" s="1"/>
  <c r="B74" i="1"/>
  <c r="C74" i="1" s="1"/>
  <c r="B75" i="1"/>
  <c r="C75" i="1" s="1"/>
  <c r="B76" i="1"/>
  <c r="C76" i="1" s="1"/>
  <c r="B77" i="1"/>
  <c r="C77" i="1" s="1"/>
  <c r="B78" i="1"/>
  <c r="C78" i="1" s="1"/>
  <c r="B79" i="1"/>
  <c r="C79" i="1" s="1"/>
  <c r="B80" i="1"/>
  <c r="C80" i="1" s="1"/>
  <c r="B81" i="1"/>
  <c r="C81" i="1" s="1"/>
  <c r="B82" i="1"/>
  <c r="C82" i="1" s="1"/>
  <c r="B83" i="1"/>
  <c r="C83" i="1" s="1"/>
  <c r="B84" i="1"/>
  <c r="C84" i="1" s="1"/>
  <c r="B85" i="1"/>
  <c r="C85" i="1" s="1"/>
  <c r="B86" i="1"/>
  <c r="C86" i="1" s="1"/>
  <c r="B87" i="1"/>
  <c r="C87" i="1" s="1"/>
  <c r="B88" i="1"/>
  <c r="C88" i="1" s="1"/>
  <c r="B89" i="1"/>
  <c r="C89" i="1" s="1"/>
  <c r="B90" i="1"/>
  <c r="C90" i="1" s="1"/>
  <c r="B91" i="1"/>
  <c r="C91" i="1" s="1"/>
  <c r="B92" i="1"/>
  <c r="C92" i="1" s="1"/>
  <c r="B93" i="1"/>
  <c r="C93" i="1" s="1"/>
  <c r="B94" i="1"/>
  <c r="C94" i="1" s="1"/>
  <c r="B95" i="1"/>
  <c r="C95" i="1" s="1"/>
  <c r="B96" i="1"/>
  <c r="C96" i="1" s="1"/>
  <c r="B97" i="1"/>
  <c r="C97" i="1" s="1"/>
  <c r="B98" i="1"/>
  <c r="C98" i="1" s="1"/>
  <c r="B99" i="1"/>
  <c r="C99" i="1" s="1"/>
  <c r="B100" i="1"/>
  <c r="C100" i="1" s="1"/>
  <c r="B101" i="1"/>
  <c r="C101" i="1" s="1"/>
  <c r="B102" i="1"/>
  <c r="C102" i="1" s="1"/>
  <c r="B103" i="1"/>
  <c r="C103" i="1" s="1"/>
  <c r="B104" i="1"/>
  <c r="C104" i="1" s="1"/>
  <c r="B105" i="1"/>
  <c r="C105" i="1" s="1"/>
  <c r="B106" i="1"/>
  <c r="C106" i="1" s="1"/>
  <c r="B107" i="1"/>
  <c r="C107" i="1" s="1"/>
  <c r="B108" i="1"/>
  <c r="C108" i="1" s="1"/>
  <c r="B109" i="1"/>
  <c r="C109" i="1" s="1"/>
  <c r="B110" i="1"/>
  <c r="C110" i="1" s="1"/>
  <c r="B111" i="1"/>
  <c r="C111" i="1" s="1"/>
  <c r="B112" i="1"/>
  <c r="C112" i="1" s="1"/>
  <c r="B113" i="1"/>
  <c r="C113" i="1" s="1"/>
  <c r="B114" i="1"/>
  <c r="C114" i="1" s="1"/>
  <c r="B115" i="1"/>
  <c r="C115" i="1" s="1"/>
  <c r="B116" i="1"/>
  <c r="C116" i="1" s="1"/>
  <c r="B117" i="1"/>
  <c r="C117" i="1" s="1"/>
  <c r="B118" i="1"/>
  <c r="C118" i="1" s="1"/>
  <c r="B119" i="1"/>
  <c r="C119" i="1" s="1"/>
  <c r="B120" i="1"/>
  <c r="C120" i="1" s="1"/>
  <c r="B121" i="1"/>
  <c r="C121" i="1" s="1"/>
  <c r="B122" i="1"/>
  <c r="C122" i="1" s="1"/>
  <c r="B123" i="1"/>
  <c r="C123" i="1" s="1"/>
  <c r="B124" i="1"/>
  <c r="C124" i="1" s="1"/>
  <c r="B125" i="1"/>
  <c r="C125" i="1" s="1"/>
  <c r="B126" i="1"/>
  <c r="C126" i="1" s="1"/>
  <c r="B127" i="1"/>
  <c r="C127" i="1" s="1"/>
  <c r="B128" i="1"/>
  <c r="C128" i="1" s="1"/>
  <c r="B129" i="1"/>
  <c r="C129" i="1" s="1"/>
  <c r="B130" i="1"/>
  <c r="C130" i="1" s="1"/>
  <c r="B131" i="1"/>
  <c r="C131" i="1" s="1"/>
  <c r="B132" i="1"/>
  <c r="C132" i="1" s="1"/>
  <c r="B133" i="1"/>
  <c r="C133" i="1" s="1"/>
  <c r="B134" i="1"/>
  <c r="C134" i="1" s="1"/>
  <c r="B135" i="1"/>
  <c r="C135" i="1" s="1"/>
  <c r="B136" i="1"/>
  <c r="C136" i="1" s="1"/>
  <c r="B137" i="1"/>
  <c r="C137" i="1" s="1"/>
  <c r="B138" i="1"/>
  <c r="C138" i="1" s="1"/>
  <c r="B139" i="1"/>
  <c r="C139" i="1" s="1"/>
  <c r="B140" i="1"/>
  <c r="C140" i="1" s="1"/>
  <c r="B141" i="1"/>
  <c r="C141" i="1" s="1"/>
  <c r="B142" i="1"/>
  <c r="C142" i="1" s="1"/>
  <c r="B143" i="1"/>
  <c r="C143" i="1" s="1"/>
  <c r="B144" i="1"/>
  <c r="C144" i="1" s="1"/>
  <c r="B145" i="1"/>
  <c r="C145" i="1" s="1"/>
  <c r="B146" i="1"/>
  <c r="C146" i="1" s="1"/>
  <c r="B147" i="1"/>
  <c r="C147" i="1" s="1"/>
  <c r="B148" i="1"/>
  <c r="C148" i="1" s="1"/>
  <c r="B149" i="1"/>
  <c r="C149" i="1" s="1"/>
  <c r="B150" i="1"/>
  <c r="C150" i="1" s="1"/>
  <c r="B151" i="1"/>
  <c r="C151" i="1" s="1"/>
  <c r="B152" i="1"/>
  <c r="C152" i="1" s="1"/>
  <c r="B153" i="1"/>
  <c r="C153" i="1" s="1"/>
  <c r="B154" i="1"/>
  <c r="C154" i="1" s="1"/>
  <c r="B155" i="1"/>
  <c r="C155" i="1" s="1"/>
  <c r="B156" i="1"/>
  <c r="C156" i="1" s="1"/>
  <c r="B157" i="1"/>
  <c r="C157" i="1" s="1"/>
  <c r="B158" i="1"/>
  <c r="C158" i="1" s="1"/>
  <c r="B159" i="1"/>
  <c r="C159" i="1" s="1"/>
  <c r="B160" i="1"/>
  <c r="C160" i="1" s="1"/>
  <c r="B161" i="1"/>
  <c r="C161" i="1" s="1"/>
  <c r="B162" i="1"/>
  <c r="C162" i="1" s="1"/>
  <c r="B163" i="1"/>
  <c r="C163" i="1" s="1"/>
  <c r="B164" i="1"/>
  <c r="C164" i="1" s="1"/>
  <c r="B165" i="1"/>
  <c r="C165" i="1" s="1"/>
  <c r="B166" i="1"/>
  <c r="C166" i="1" s="1"/>
  <c r="B167" i="1"/>
  <c r="C167" i="1" s="1"/>
  <c r="B168" i="1"/>
  <c r="C168" i="1" s="1"/>
  <c r="B169" i="1"/>
  <c r="C169" i="1" s="1"/>
  <c r="B170" i="1"/>
  <c r="C170" i="1" s="1"/>
  <c r="B171" i="1"/>
  <c r="C171" i="1" s="1"/>
  <c r="B172" i="1"/>
  <c r="C172" i="1" s="1"/>
  <c r="B173" i="1"/>
  <c r="C173" i="1" s="1"/>
  <c r="B174" i="1"/>
  <c r="C174" i="1" s="1"/>
  <c r="B175" i="1"/>
  <c r="C175" i="1" s="1"/>
  <c r="B176" i="1"/>
  <c r="C176" i="1" s="1"/>
  <c r="B177" i="1"/>
  <c r="C177" i="1" s="1"/>
  <c r="B178" i="1"/>
  <c r="C178" i="1" s="1"/>
  <c r="B179" i="1"/>
  <c r="C179" i="1" s="1"/>
  <c r="B180" i="1"/>
  <c r="C180" i="1" s="1"/>
  <c r="B181" i="1"/>
  <c r="C181" i="1" s="1"/>
  <c r="B182" i="1"/>
  <c r="C182" i="1" s="1"/>
  <c r="B183" i="1"/>
  <c r="C183" i="1" s="1"/>
  <c r="B184" i="1"/>
  <c r="C184" i="1" s="1"/>
  <c r="B185" i="1"/>
  <c r="C185" i="1" s="1"/>
  <c r="B186" i="1"/>
  <c r="C186" i="1" s="1"/>
  <c r="B187" i="1"/>
  <c r="C187" i="1" s="1"/>
  <c r="B188" i="1"/>
  <c r="C188" i="1" s="1"/>
  <c r="B189" i="1"/>
  <c r="C189" i="1" s="1"/>
  <c r="B190" i="1"/>
  <c r="C190" i="1" s="1"/>
  <c r="B191" i="1"/>
  <c r="C191" i="1" s="1"/>
  <c r="B192" i="1"/>
  <c r="C192" i="1" s="1"/>
  <c r="B193" i="1"/>
  <c r="C193" i="1" s="1"/>
  <c r="B194" i="1"/>
  <c r="C194" i="1" s="1"/>
  <c r="B195" i="1"/>
  <c r="C195" i="1" s="1"/>
  <c r="B196" i="1"/>
  <c r="C196" i="1" s="1"/>
  <c r="B197" i="1"/>
  <c r="C197" i="1" s="1"/>
  <c r="B198" i="1"/>
  <c r="C198" i="1" s="1"/>
  <c r="B199" i="1"/>
  <c r="C199" i="1" s="1"/>
  <c r="B200" i="1"/>
  <c r="C200" i="1" s="1"/>
  <c r="B201" i="1"/>
  <c r="C201" i="1" s="1"/>
  <c r="B202" i="1"/>
  <c r="C202" i="1" s="1"/>
  <c r="B203" i="1"/>
  <c r="C203" i="1" s="1"/>
  <c r="B204" i="1"/>
  <c r="C204" i="1" s="1"/>
  <c r="B205" i="1"/>
  <c r="C205" i="1" s="1"/>
  <c r="B206" i="1"/>
  <c r="C206" i="1" s="1"/>
  <c r="B207" i="1"/>
  <c r="C207" i="1" s="1"/>
  <c r="B208" i="1"/>
  <c r="C208" i="1" s="1"/>
  <c r="B209" i="1"/>
  <c r="C209" i="1" s="1"/>
  <c r="B210" i="1"/>
  <c r="C210" i="1" s="1"/>
  <c r="B211" i="1"/>
  <c r="C211" i="1" s="1"/>
  <c r="B212" i="1"/>
  <c r="C212" i="1" s="1"/>
  <c r="B213" i="1"/>
  <c r="C213" i="1" s="1"/>
  <c r="B214" i="1"/>
  <c r="C214" i="1" s="1"/>
  <c r="B215" i="1"/>
  <c r="C215" i="1" s="1"/>
  <c r="B216" i="1"/>
  <c r="C216" i="1" s="1"/>
  <c r="B217" i="1"/>
  <c r="C217" i="1" s="1"/>
  <c r="B218" i="1"/>
  <c r="C218" i="1" s="1"/>
  <c r="B219" i="1"/>
  <c r="C219" i="1" s="1"/>
  <c r="B220" i="1"/>
  <c r="C220" i="1" s="1"/>
  <c r="B221" i="1"/>
  <c r="C221" i="1" s="1"/>
  <c r="B222" i="1"/>
  <c r="C222" i="1" s="1"/>
  <c r="B223" i="1"/>
  <c r="C223" i="1" s="1"/>
  <c r="B224" i="1"/>
  <c r="C224" i="1" s="1"/>
  <c r="B225" i="1"/>
  <c r="C225" i="1" s="1"/>
  <c r="B226" i="1"/>
  <c r="C226" i="1" s="1"/>
  <c r="B227" i="1"/>
  <c r="C227" i="1" s="1"/>
  <c r="B228" i="1"/>
  <c r="C228" i="1" s="1"/>
  <c r="B229" i="1"/>
  <c r="C229" i="1" s="1"/>
  <c r="B230" i="1"/>
  <c r="C230" i="1" s="1"/>
  <c r="B231" i="1"/>
  <c r="C231" i="1" s="1"/>
  <c r="B232" i="1"/>
  <c r="C232" i="1" s="1"/>
  <c r="B233" i="1"/>
  <c r="C233" i="1" s="1"/>
  <c r="B234" i="1"/>
  <c r="C234" i="1" s="1"/>
  <c r="B235" i="1"/>
  <c r="C235" i="1" s="1"/>
  <c r="B236" i="1"/>
  <c r="C236" i="1" s="1"/>
  <c r="B237" i="1"/>
  <c r="C237" i="1" s="1"/>
  <c r="B238" i="1"/>
  <c r="C238" i="1" s="1"/>
  <c r="B239" i="1"/>
  <c r="C239" i="1" s="1"/>
  <c r="B240" i="1"/>
  <c r="C240" i="1" s="1"/>
  <c r="B241" i="1"/>
  <c r="C241" i="1" s="1"/>
  <c r="B242" i="1"/>
  <c r="C242" i="1" s="1"/>
  <c r="B243" i="1"/>
  <c r="C243" i="1" s="1"/>
  <c r="B244" i="1"/>
  <c r="C244" i="1" s="1"/>
  <c r="B245" i="1"/>
  <c r="C245" i="1" s="1"/>
  <c r="B246" i="1"/>
  <c r="C246" i="1" s="1"/>
  <c r="B247" i="1"/>
  <c r="C247" i="1" s="1"/>
  <c r="B248" i="1"/>
  <c r="C248" i="1" s="1"/>
  <c r="B249" i="1"/>
  <c r="C249" i="1" s="1"/>
  <c r="B250" i="1"/>
  <c r="C250" i="1" s="1"/>
  <c r="B251" i="1"/>
  <c r="C251" i="1" s="1"/>
  <c r="B252" i="1"/>
  <c r="C252" i="1" s="1"/>
  <c r="B253" i="1"/>
  <c r="C253" i="1" s="1"/>
  <c r="B254" i="1"/>
  <c r="C254" i="1" s="1"/>
  <c r="B255" i="1"/>
  <c r="C255" i="1" s="1"/>
  <c r="B256" i="1"/>
  <c r="C256" i="1" s="1"/>
  <c r="B257" i="1"/>
  <c r="C257" i="1" s="1"/>
  <c r="B258" i="1"/>
  <c r="C258" i="1" s="1"/>
  <c r="B259" i="1"/>
  <c r="C259" i="1" s="1"/>
  <c r="B260" i="1"/>
  <c r="C260" i="1" s="1"/>
  <c r="B261" i="1"/>
  <c r="C261" i="1" s="1"/>
  <c r="B262" i="1"/>
  <c r="C262" i="1" s="1"/>
  <c r="B263" i="1"/>
  <c r="C263" i="1" s="1"/>
  <c r="B264" i="1"/>
  <c r="C264" i="1" s="1"/>
  <c r="B265" i="1"/>
  <c r="C265" i="1" s="1"/>
  <c r="B266" i="1"/>
  <c r="C266" i="1" s="1"/>
  <c r="B267" i="1"/>
  <c r="C267" i="1" s="1"/>
  <c r="B268" i="1"/>
  <c r="C268" i="1" s="1"/>
  <c r="B269" i="1"/>
  <c r="C269" i="1" s="1"/>
  <c r="B270" i="1"/>
  <c r="C270" i="1" s="1"/>
  <c r="B271" i="1"/>
  <c r="C271" i="1" s="1"/>
  <c r="B272" i="1"/>
  <c r="C272" i="1" s="1"/>
  <c r="B273" i="1"/>
  <c r="C273" i="1" s="1"/>
  <c r="B274" i="1"/>
  <c r="C274" i="1" s="1"/>
  <c r="B275" i="1"/>
  <c r="C275" i="1" s="1"/>
  <c r="B276" i="1"/>
  <c r="C276" i="1" s="1"/>
  <c r="B277" i="1"/>
  <c r="C277" i="1" s="1"/>
  <c r="B278" i="1"/>
  <c r="C278" i="1" s="1"/>
  <c r="B279" i="1"/>
  <c r="C279" i="1" s="1"/>
  <c r="B280" i="1"/>
  <c r="C280" i="1" s="1"/>
  <c r="B281" i="1"/>
  <c r="C281" i="1" s="1"/>
  <c r="B282" i="1"/>
  <c r="C282" i="1" s="1"/>
  <c r="B283" i="1"/>
  <c r="C283" i="1" s="1"/>
  <c r="B284" i="1"/>
  <c r="C284" i="1" s="1"/>
  <c r="B285" i="1"/>
  <c r="C285" i="1" s="1"/>
  <c r="B286" i="1"/>
  <c r="C286" i="1" s="1"/>
  <c r="B287" i="1"/>
  <c r="C287" i="1" s="1"/>
  <c r="B288" i="1"/>
  <c r="C288" i="1" s="1"/>
  <c r="B289" i="1"/>
  <c r="C289" i="1" s="1"/>
  <c r="B290" i="1"/>
  <c r="C290" i="1" s="1"/>
  <c r="B291" i="1"/>
  <c r="C291" i="1" s="1"/>
  <c r="B292" i="1"/>
  <c r="C292" i="1" s="1"/>
  <c r="B293" i="1"/>
  <c r="C293" i="1" s="1"/>
  <c r="B294" i="1"/>
  <c r="C294" i="1" s="1"/>
  <c r="B295" i="1"/>
  <c r="C295" i="1" s="1"/>
  <c r="B296" i="1"/>
  <c r="C296" i="1" s="1"/>
  <c r="B297" i="1"/>
  <c r="C297" i="1" s="1"/>
  <c r="B298" i="1"/>
  <c r="C298" i="1" s="1"/>
  <c r="B299" i="1"/>
  <c r="C299" i="1" s="1"/>
  <c r="B300" i="1"/>
  <c r="C300" i="1" s="1"/>
  <c r="B301" i="1"/>
  <c r="C301" i="1" s="1"/>
  <c r="B302" i="1"/>
  <c r="C302" i="1" s="1"/>
  <c r="B303" i="1"/>
  <c r="C303" i="1" s="1"/>
  <c r="B304" i="1"/>
  <c r="C304" i="1" s="1"/>
  <c r="B305" i="1"/>
  <c r="C305" i="1" s="1"/>
  <c r="B306" i="1"/>
  <c r="C306" i="1" s="1"/>
  <c r="B307" i="1"/>
  <c r="C307" i="1" s="1"/>
  <c r="B308" i="1"/>
  <c r="C308" i="1" s="1"/>
  <c r="B309" i="1"/>
  <c r="C309" i="1" s="1"/>
  <c r="B310" i="1"/>
  <c r="C310" i="1" s="1"/>
  <c r="B311" i="1"/>
  <c r="C311" i="1" s="1"/>
  <c r="B312" i="1"/>
  <c r="C312" i="1" s="1"/>
  <c r="B313" i="1"/>
  <c r="C313" i="1" s="1"/>
  <c r="B314" i="1"/>
  <c r="C314" i="1" s="1"/>
  <c r="B315" i="1"/>
  <c r="C315" i="1" s="1"/>
  <c r="B316" i="1"/>
  <c r="C316" i="1" s="1"/>
  <c r="B317" i="1"/>
  <c r="C317" i="1" s="1"/>
  <c r="B318" i="1"/>
  <c r="C318" i="1" s="1"/>
  <c r="B319" i="1"/>
  <c r="C319" i="1" s="1"/>
  <c r="B320" i="1"/>
  <c r="C320" i="1" s="1"/>
  <c r="B321" i="1"/>
  <c r="C321" i="1" s="1"/>
  <c r="B322" i="1"/>
  <c r="C322" i="1" s="1"/>
  <c r="B323" i="1"/>
  <c r="C323" i="1" s="1"/>
  <c r="B324" i="1"/>
  <c r="C324" i="1" s="1"/>
  <c r="B325" i="1"/>
  <c r="C325" i="1" s="1"/>
  <c r="B326" i="1"/>
  <c r="C326" i="1" s="1"/>
  <c r="B327" i="1"/>
  <c r="C327" i="1" s="1"/>
  <c r="B328" i="1"/>
  <c r="C328" i="1" s="1"/>
  <c r="B329" i="1"/>
  <c r="C329" i="1" s="1"/>
  <c r="B330" i="1"/>
  <c r="C330" i="1" s="1"/>
  <c r="B331" i="1"/>
  <c r="C331" i="1" s="1"/>
  <c r="B332" i="1"/>
  <c r="C332" i="1" s="1"/>
  <c r="B333" i="1"/>
  <c r="C333" i="1" s="1"/>
  <c r="B334" i="1"/>
  <c r="C334" i="1" s="1"/>
  <c r="B335" i="1"/>
  <c r="C335" i="1" s="1"/>
  <c r="B336" i="1"/>
  <c r="C336" i="1" s="1"/>
  <c r="B337" i="1"/>
  <c r="C337" i="1" s="1"/>
  <c r="B338" i="1"/>
  <c r="C338" i="1" s="1"/>
  <c r="B339" i="1"/>
  <c r="C339" i="1" s="1"/>
  <c r="B340" i="1"/>
  <c r="C340" i="1" s="1"/>
  <c r="B341" i="1"/>
  <c r="C341" i="1" s="1"/>
  <c r="B342" i="1"/>
  <c r="C342" i="1" s="1"/>
  <c r="B343" i="1"/>
  <c r="C343" i="1" s="1"/>
  <c r="B344" i="1"/>
  <c r="C344" i="1" s="1"/>
  <c r="B345" i="1"/>
  <c r="C345" i="1" s="1"/>
  <c r="B346" i="1"/>
  <c r="C346" i="1" s="1"/>
  <c r="B347" i="1"/>
  <c r="C347" i="1" s="1"/>
  <c r="B348" i="1"/>
  <c r="C348" i="1" s="1"/>
  <c r="B349" i="1"/>
  <c r="C349" i="1" s="1"/>
  <c r="B350" i="1"/>
  <c r="C350" i="1" s="1"/>
  <c r="B351" i="1"/>
  <c r="C351" i="1" s="1"/>
  <c r="B352" i="1"/>
  <c r="C352" i="1" s="1"/>
  <c r="B353" i="1"/>
  <c r="C353" i="1" s="1"/>
  <c r="B354" i="1"/>
  <c r="C354" i="1" s="1"/>
  <c r="B355" i="1"/>
  <c r="C355" i="1" s="1"/>
  <c r="B356" i="1"/>
  <c r="C356" i="1" s="1"/>
  <c r="B357" i="1"/>
  <c r="C357" i="1" s="1"/>
  <c r="B358" i="1"/>
  <c r="C358" i="1" s="1"/>
  <c r="B359" i="1"/>
  <c r="C359" i="1" s="1"/>
  <c r="B360" i="1"/>
  <c r="C360" i="1" s="1"/>
  <c r="B361" i="1"/>
  <c r="C361" i="1" s="1"/>
  <c r="B362" i="1"/>
  <c r="C362" i="1" s="1"/>
  <c r="B363" i="1"/>
  <c r="C363" i="1" s="1"/>
  <c r="B364" i="1"/>
  <c r="C364" i="1" s="1"/>
  <c r="B365" i="1"/>
  <c r="C365" i="1" s="1"/>
  <c r="B366" i="1"/>
  <c r="C366" i="1" s="1"/>
  <c r="B367" i="1"/>
  <c r="C367" i="1" s="1"/>
  <c r="B368" i="1"/>
  <c r="C368" i="1" s="1"/>
  <c r="B369" i="1"/>
  <c r="C369" i="1" s="1"/>
  <c r="B370" i="1"/>
  <c r="C370" i="1" s="1"/>
  <c r="B371" i="1"/>
  <c r="C371" i="1" s="1"/>
  <c r="B372" i="1"/>
  <c r="C372" i="1" s="1"/>
  <c r="B373" i="1"/>
  <c r="C373" i="1" s="1"/>
  <c r="B374" i="1"/>
  <c r="C374" i="1" s="1"/>
  <c r="B375" i="1"/>
  <c r="C375" i="1" s="1"/>
  <c r="B376" i="1"/>
  <c r="C376" i="1" s="1"/>
  <c r="B377" i="1"/>
  <c r="C377" i="1" s="1"/>
  <c r="B378" i="1"/>
  <c r="C378" i="1" s="1"/>
  <c r="B379" i="1"/>
  <c r="C379" i="1" s="1"/>
  <c r="B380" i="1"/>
  <c r="C380" i="1" s="1"/>
  <c r="B381" i="1"/>
  <c r="C381" i="1" s="1"/>
  <c r="B382" i="1"/>
  <c r="C382" i="1" s="1"/>
  <c r="B383" i="1"/>
  <c r="C383" i="1" s="1"/>
  <c r="B384" i="1"/>
  <c r="C384" i="1" s="1"/>
  <c r="B385" i="1"/>
  <c r="C385" i="1" s="1"/>
  <c r="B386" i="1"/>
  <c r="C386" i="1" s="1"/>
  <c r="B387" i="1"/>
  <c r="C387" i="1" s="1"/>
  <c r="B388" i="1"/>
  <c r="C388" i="1" s="1"/>
  <c r="B389" i="1"/>
  <c r="C389" i="1" s="1"/>
  <c r="B390" i="1"/>
  <c r="C390" i="1" s="1"/>
  <c r="B391" i="1"/>
  <c r="C391" i="1" s="1"/>
  <c r="B392" i="1"/>
  <c r="C392" i="1" s="1"/>
  <c r="B393" i="1"/>
  <c r="C393" i="1" s="1"/>
  <c r="B394" i="1"/>
  <c r="C394" i="1" s="1"/>
  <c r="B395" i="1"/>
  <c r="C395" i="1" s="1"/>
  <c r="B396" i="1"/>
  <c r="C396" i="1" s="1"/>
  <c r="B397" i="1"/>
  <c r="C397" i="1" s="1"/>
  <c r="B398" i="1"/>
  <c r="C398" i="1" s="1"/>
  <c r="B399" i="1"/>
  <c r="C399" i="1" s="1"/>
  <c r="B400" i="1"/>
  <c r="B401" i="1"/>
  <c r="B402" i="1"/>
  <c r="B403" i="1"/>
  <c r="C4" i="1"/>
  <c r="C5" i="1"/>
  <c r="C6" i="1"/>
  <c r="C7" i="1"/>
  <c r="C9" i="1"/>
  <c r="B404" i="1"/>
  <c r="B405" i="1"/>
  <c r="B406" i="1"/>
  <c r="C48" i="1"/>
  <c r="C12" i="1"/>
  <c r="C20" i="1"/>
  <c r="N315" i="1"/>
  <c r="P315" i="1" s="1"/>
  <c r="N316" i="1"/>
  <c r="G315" i="1" l="1"/>
  <c r="G316" i="1"/>
  <c r="E316" i="1"/>
  <c r="D315" i="1"/>
  <c r="O315" i="1"/>
  <c r="O316" i="1"/>
  <c r="P316" i="1"/>
  <c r="T492" i="1"/>
  <c r="U492" i="1"/>
  <c r="V492" i="1" s="1"/>
  <c r="T493" i="1"/>
  <c r="U493" i="1"/>
  <c r="X493" i="1" s="1"/>
  <c r="T494" i="1"/>
  <c r="U494" i="1"/>
  <c r="V494" i="1" s="1"/>
  <c r="T495" i="1"/>
  <c r="U495" i="1"/>
  <c r="W495" i="1" s="1"/>
  <c r="T496" i="1"/>
  <c r="U496" i="1"/>
  <c r="X496" i="1" s="1"/>
  <c r="T497" i="1"/>
  <c r="U497" i="1"/>
  <c r="W497" i="1" s="1"/>
  <c r="T498" i="1"/>
  <c r="U498" i="1"/>
  <c r="X498" i="1" s="1"/>
  <c r="T499" i="1"/>
  <c r="U499" i="1"/>
  <c r="V499" i="1" s="1"/>
  <c r="T500" i="1"/>
  <c r="U500" i="1"/>
  <c r="V500" i="1" s="1"/>
  <c r="T501" i="1"/>
  <c r="U501" i="1"/>
  <c r="X501" i="1" s="1"/>
  <c r="T502" i="1"/>
  <c r="U502" i="1"/>
  <c r="V502" i="1" s="1"/>
  <c r="T503" i="1"/>
  <c r="U503" i="1"/>
  <c r="W503" i="1" s="1"/>
  <c r="T504" i="1"/>
  <c r="U504" i="1"/>
  <c r="X504" i="1" s="1"/>
  <c r="T505" i="1"/>
  <c r="U505" i="1"/>
  <c r="W505" i="1" s="1"/>
  <c r="T506" i="1"/>
  <c r="U506" i="1"/>
  <c r="X506" i="1" s="1"/>
  <c r="T507" i="1"/>
  <c r="U507" i="1"/>
  <c r="X507" i="1" s="1"/>
  <c r="T508" i="1"/>
  <c r="U508" i="1"/>
  <c r="V508" i="1" s="1"/>
  <c r="T509" i="1"/>
  <c r="U509" i="1"/>
  <c r="X509" i="1" s="1"/>
  <c r="T510" i="1"/>
  <c r="U510" i="1"/>
  <c r="V510" i="1" s="1"/>
  <c r="T511" i="1"/>
  <c r="U511" i="1"/>
  <c r="W511" i="1" s="1"/>
  <c r="T512" i="1"/>
  <c r="U512" i="1"/>
  <c r="X512" i="1" s="1"/>
  <c r="T513" i="1"/>
  <c r="U513" i="1"/>
  <c r="W513" i="1" s="1"/>
  <c r="T514" i="1"/>
  <c r="U514" i="1"/>
  <c r="X514" i="1" s="1"/>
  <c r="T515" i="1"/>
  <c r="U515" i="1"/>
  <c r="V515" i="1" s="1"/>
  <c r="T516" i="1"/>
  <c r="U516" i="1"/>
  <c r="V516" i="1" s="1"/>
  <c r="T517" i="1"/>
  <c r="U517" i="1"/>
  <c r="X517" i="1" s="1"/>
  <c r="T518" i="1"/>
  <c r="U518" i="1"/>
  <c r="V518" i="1" s="1"/>
  <c r="T519" i="1"/>
  <c r="U519" i="1"/>
  <c r="W519" i="1" s="1"/>
  <c r="T520" i="1"/>
  <c r="U520" i="1"/>
  <c r="X520" i="1" s="1"/>
  <c r="T521" i="1"/>
  <c r="U521" i="1"/>
  <c r="W521" i="1" s="1"/>
  <c r="T522" i="1"/>
  <c r="U522" i="1"/>
  <c r="X522" i="1" s="1"/>
  <c r="T523" i="1"/>
  <c r="U523" i="1"/>
  <c r="W523" i="1" s="1"/>
  <c r="T524" i="1"/>
  <c r="U524" i="1"/>
  <c r="V524" i="1" s="1"/>
  <c r="T525" i="1"/>
  <c r="U525" i="1"/>
  <c r="X525" i="1" s="1"/>
  <c r="T526" i="1"/>
  <c r="U526" i="1"/>
  <c r="V526" i="1" s="1"/>
  <c r="T527" i="1"/>
  <c r="U527" i="1"/>
  <c r="W527" i="1" s="1"/>
  <c r="T528" i="1"/>
  <c r="U528" i="1"/>
  <c r="X528" i="1" s="1"/>
  <c r="T529" i="1"/>
  <c r="U529" i="1"/>
  <c r="W529" i="1" s="1"/>
  <c r="T530" i="1"/>
  <c r="U530" i="1"/>
  <c r="X530" i="1" s="1"/>
  <c r="T531" i="1"/>
  <c r="U531" i="1"/>
  <c r="V531" i="1" s="1"/>
  <c r="T532" i="1"/>
  <c r="U532" i="1"/>
  <c r="V532" i="1" s="1"/>
  <c r="T533" i="1"/>
  <c r="U533" i="1"/>
  <c r="X533" i="1" s="1"/>
  <c r="T534" i="1"/>
  <c r="U534" i="1"/>
  <c r="V534" i="1" s="1"/>
  <c r="T535" i="1"/>
  <c r="U535" i="1"/>
  <c r="W535" i="1" s="1"/>
  <c r="T536" i="1"/>
  <c r="U536" i="1"/>
  <c r="X536" i="1" s="1"/>
  <c r="T537" i="1"/>
  <c r="U537" i="1"/>
  <c r="W537" i="1" s="1"/>
  <c r="T538" i="1"/>
  <c r="U538" i="1"/>
  <c r="X538" i="1" s="1"/>
  <c r="T539" i="1"/>
  <c r="U539" i="1"/>
  <c r="X539" i="1" s="1"/>
  <c r="T540" i="1"/>
  <c r="U540" i="1"/>
  <c r="V540" i="1" s="1"/>
  <c r="T541" i="1"/>
  <c r="U541" i="1"/>
  <c r="X541" i="1" s="1"/>
  <c r="T542" i="1"/>
  <c r="U542" i="1"/>
  <c r="V542" i="1" s="1"/>
  <c r="T543" i="1"/>
  <c r="U543" i="1"/>
  <c r="W543" i="1" s="1"/>
  <c r="T544" i="1"/>
  <c r="U544" i="1"/>
  <c r="X544" i="1" s="1"/>
  <c r="T545" i="1"/>
  <c r="U545" i="1"/>
  <c r="W545" i="1" s="1"/>
  <c r="X545" i="1"/>
  <c r="T546" i="1"/>
  <c r="U546" i="1"/>
  <c r="X546" i="1" s="1"/>
  <c r="V546" i="1"/>
  <c r="T547" i="1"/>
  <c r="U547" i="1"/>
  <c r="V547" i="1" s="1"/>
  <c r="T548" i="1"/>
  <c r="U548" i="1"/>
  <c r="V548" i="1" s="1"/>
  <c r="T549" i="1"/>
  <c r="U549" i="1"/>
  <c r="X549" i="1" s="1"/>
  <c r="T550" i="1"/>
  <c r="U550" i="1"/>
  <c r="V550" i="1" s="1"/>
  <c r="T551" i="1"/>
  <c r="U551" i="1"/>
  <c r="W551" i="1" s="1"/>
  <c r="T552" i="1"/>
  <c r="U552" i="1"/>
  <c r="X552" i="1" s="1"/>
  <c r="T553" i="1"/>
  <c r="U553" i="1"/>
  <c r="W553" i="1" s="1"/>
  <c r="T554" i="1"/>
  <c r="U554" i="1"/>
  <c r="X554" i="1" s="1"/>
  <c r="T555" i="1"/>
  <c r="U555" i="1"/>
  <c r="W555" i="1" s="1"/>
  <c r="T556" i="1"/>
  <c r="U556" i="1"/>
  <c r="V556" i="1" s="1"/>
  <c r="T557" i="1"/>
  <c r="U557" i="1"/>
  <c r="X557" i="1" s="1"/>
  <c r="T558" i="1"/>
  <c r="U558" i="1"/>
  <c r="V558" i="1" s="1"/>
  <c r="T559" i="1"/>
  <c r="U559" i="1"/>
  <c r="W559" i="1" s="1"/>
  <c r="T560" i="1"/>
  <c r="U560" i="1"/>
  <c r="X560" i="1" s="1"/>
  <c r="T561" i="1"/>
  <c r="U561" i="1"/>
  <c r="W561" i="1" s="1"/>
  <c r="T562" i="1"/>
  <c r="U562" i="1"/>
  <c r="X562" i="1" s="1"/>
  <c r="T563" i="1"/>
  <c r="U563" i="1"/>
  <c r="X563" i="1" s="1"/>
  <c r="T564" i="1"/>
  <c r="U564" i="1"/>
  <c r="V564" i="1" s="1"/>
  <c r="T565" i="1"/>
  <c r="U565" i="1"/>
  <c r="X565" i="1" s="1"/>
  <c r="W565" i="1"/>
  <c r="T566" i="1"/>
  <c r="U566" i="1"/>
  <c r="V566" i="1" s="1"/>
  <c r="T567" i="1"/>
  <c r="U567" i="1"/>
  <c r="W567" i="1" s="1"/>
  <c r="T568" i="1"/>
  <c r="U568" i="1"/>
  <c r="X568" i="1" s="1"/>
  <c r="T569" i="1"/>
  <c r="U569" i="1"/>
  <c r="W569" i="1" s="1"/>
  <c r="T570" i="1"/>
  <c r="U570" i="1"/>
  <c r="X570" i="1" s="1"/>
  <c r="T571" i="1"/>
  <c r="U571" i="1"/>
  <c r="X571" i="1" s="1"/>
  <c r="T572" i="1"/>
  <c r="U572" i="1"/>
  <c r="V572" i="1" s="1"/>
  <c r="T573" i="1"/>
  <c r="U573" i="1"/>
  <c r="X573" i="1" s="1"/>
  <c r="T574" i="1"/>
  <c r="U574" i="1"/>
  <c r="V574" i="1" s="1"/>
  <c r="T575" i="1"/>
  <c r="U575" i="1"/>
  <c r="W575" i="1" s="1"/>
  <c r="T576" i="1"/>
  <c r="U576" i="1"/>
  <c r="X576" i="1" s="1"/>
  <c r="T577" i="1"/>
  <c r="U577" i="1"/>
  <c r="W577" i="1" s="1"/>
  <c r="T578" i="1"/>
  <c r="U578" i="1"/>
  <c r="X578" i="1" s="1"/>
  <c r="T579" i="1"/>
  <c r="U579" i="1"/>
  <c r="W579" i="1" s="1"/>
  <c r="T580" i="1"/>
  <c r="U580" i="1"/>
  <c r="V580" i="1" s="1"/>
  <c r="T581" i="1"/>
  <c r="U581" i="1"/>
  <c r="X581" i="1" s="1"/>
  <c r="T582" i="1"/>
  <c r="U582" i="1"/>
  <c r="V582" i="1" s="1"/>
  <c r="T583" i="1"/>
  <c r="U583" i="1"/>
  <c r="W583" i="1" s="1"/>
  <c r="T584" i="1"/>
  <c r="U584" i="1"/>
  <c r="X584" i="1" s="1"/>
  <c r="T585" i="1"/>
  <c r="U585" i="1"/>
  <c r="W585" i="1" s="1"/>
  <c r="T586" i="1"/>
  <c r="U586" i="1"/>
  <c r="X586" i="1" s="1"/>
  <c r="T587" i="1"/>
  <c r="U587" i="1"/>
  <c r="W587" i="1" s="1"/>
  <c r="T588" i="1"/>
  <c r="U588" i="1"/>
  <c r="V588" i="1" s="1"/>
  <c r="T589" i="1"/>
  <c r="U589" i="1"/>
  <c r="X589" i="1" s="1"/>
  <c r="T590" i="1"/>
  <c r="U590" i="1"/>
  <c r="V590" i="1" s="1"/>
  <c r="T591" i="1"/>
  <c r="U591" i="1"/>
  <c r="W591" i="1" s="1"/>
  <c r="T592" i="1"/>
  <c r="U592" i="1"/>
  <c r="X592" i="1" s="1"/>
  <c r="T593" i="1"/>
  <c r="U593" i="1"/>
  <c r="W593" i="1" s="1"/>
  <c r="T594" i="1"/>
  <c r="U594" i="1"/>
  <c r="X594" i="1" s="1"/>
  <c r="T595" i="1"/>
  <c r="U595" i="1"/>
  <c r="X595" i="1" s="1"/>
  <c r="T596" i="1"/>
  <c r="U596" i="1"/>
  <c r="V596" i="1" s="1"/>
  <c r="T597" i="1"/>
  <c r="U597" i="1"/>
  <c r="X597" i="1" s="1"/>
  <c r="T598" i="1"/>
  <c r="U598" i="1"/>
  <c r="V598" i="1" s="1"/>
  <c r="T599" i="1"/>
  <c r="U599" i="1"/>
  <c r="W599" i="1" s="1"/>
  <c r="T600" i="1"/>
  <c r="U600" i="1"/>
  <c r="X600" i="1" s="1"/>
  <c r="T601" i="1"/>
  <c r="U601" i="1"/>
  <c r="W601" i="1" s="1"/>
  <c r="T602" i="1"/>
  <c r="U602" i="1"/>
  <c r="X602" i="1" s="1"/>
  <c r="T603" i="1"/>
  <c r="U603" i="1"/>
  <c r="X603" i="1" s="1"/>
  <c r="T604" i="1"/>
  <c r="U604" i="1"/>
  <c r="V604" i="1" s="1"/>
  <c r="T605" i="1"/>
  <c r="U605" i="1"/>
  <c r="X605" i="1" s="1"/>
  <c r="T606" i="1"/>
  <c r="U606" i="1"/>
  <c r="V606" i="1" s="1"/>
  <c r="T607" i="1"/>
  <c r="U607" i="1"/>
  <c r="W607" i="1" s="1"/>
  <c r="T608" i="1"/>
  <c r="U608" i="1"/>
  <c r="X608" i="1" s="1"/>
  <c r="T609" i="1"/>
  <c r="U609" i="1"/>
  <c r="W609" i="1" s="1"/>
  <c r="T610" i="1"/>
  <c r="U610" i="1"/>
  <c r="X610" i="1" s="1"/>
  <c r="T611" i="1"/>
  <c r="U611" i="1"/>
  <c r="W611" i="1" s="1"/>
  <c r="T612" i="1"/>
  <c r="U612" i="1"/>
  <c r="V612" i="1" s="1"/>
  <c r="T613" i="1"/>
  <c r="U613" i="1"/>
  <c r="X613" i="1" s="1"/>
  <c r="W613" i="1"/>
  <c r="T614" i="1"/>
  <c r="U614" i="1"/>
  <c r="V614" i="1" s="1"/>
  <c r="T615" i="1"/>
  <c r="U615" i="1"/>
  <c r="W615" i="1" s="1"/>
  <c r="T616" i="1"/>
  <c r="U616" i="1"/>
  <c r="X616" i="1" s="1"/>
  <c r="T617" i="1"/>
  <c r="U617" i="1"/>
  <c r="W617" i="1" s="1"/>
  <c r="T618" i="1"/>
  <c r="U618" i="1"/>
  <c r="X618" i="1" s="1"/>
  <c r="T619" i="1"/>
  <c r="U619" i="1"/>
  <c r="W619" i="1" s="1"/>
  <c r="T620" i="1"/>
  <c r="U620" i="1"/>
  <c r="V620" i="1" s="1"/>
  <c r="T621" i="1"/>
  <c r="U621" i="1"/>
  <c r="X621" i="1" s="1"/>
  <c r="T622" i="1"/>
  <c r="U622" i="1"/>
  <c r="V622" i="1" s="1"/>
  <c r="T623" i="1"/>
  <c r="U623" i="1"/>
  <c r="W623" i="1" s="1"/>
  <c r="T624" i="1"/>
  <c r="U624" i="1"/>
  <c r="X624" i="1" s="1"/>
  <c r="T625" i="1"/>
  <c r="U625" i="1"/>
  <c r="W625" i="1" s="1"/>
  <c r="T626" i="1"/>
  <c r="U626" i="1"/>
  <c r="X626" i="1" s="1"/>
  <c r="T627" i="1"/>
  <c r="U627" i="1"/>
  <c r="X627" i="1" s="1"/>
  <c r="T628" i="1"/>
  <c r="U628" i="1"/>
  <c r="V628" i="1" s="1"/>
  <c r="T629" i="1"/>
  <c r="U629" i="1"/>
  <c r="X629" i="1" s="1"/>
  <c r="T630" i="1"/>
  <c r="U630" i="1"/>
  <c r="V630" i="1" s="1"/>
  <c r="T631" i="1"/>
  <c r="U631" i="1"/>
  <c r="W631" i="1" s="1"/>
  <c r="T632" i="1"/>
  <c r="U632" i="1"/>
  <c r="T633" i="1"/>
  <c r="U633" i="1"/>
  <c r="W633" i="1" s="1"/>
  <c r="T634" i="1"/>
  <c r="U634" i="1"/>
  <c r="X634" i="1" s="1"/>
  <c r="T635" i="1"/>
  <c r="U635" i="1"/>
  <c r="X635" i="1" s="1"/>
  <c r="T636" i="1"/>
  <c r="U636" i="1"/>
  <c r="V636" i="1" s="1"/>
  <c r="T637" i="1"/>
  <c r="U637" i="1"/>
  <c r="X637" i="1" s="1"/>
  <c r="T638" i="1"/>
  <c r="U638" i="1"/>
  <c r="V638" i="1" s="1"/>
  <c r="T639" i="1"/>
  <c r="U639" i="1"/>
  <c r="W639" i="1" s="1"/>
  <c r="T640" i="1"/>
  <c r="U640" i="1"/>
  <c r="T641" i="1"/>
  <c r="U641" i="1"/>
  <c r="W641" i="1" s="1"/>
  <c r="T642" i="1"/>
  <c r="U642" i="1"/>
  <c r="X642" i="1" s="1"/>
  <c r="T643" i="1"/>
  <c r="U643" i="1"/>
  <c r="W643" i="1" s="1"/>
  <c r="T644" i="1"/>
  <c r="U644" i="1"/>
  <c r="V644" i="1" s="1"/>
  <c r="T645" i="1"/>
  <c r="U645" i="1"/>
  <c r="X645" i="1" s="1"/>
  <c r="T646" i="1"/>
  <c r="U646" i="1"/>
  <c r="V646" i="1" s="1"/>
  <c r="T647" i="1"/>
  <c r="U647" i="1"/>
  <c r="W647" i="1" s="1"/>
  <c r="T648" i="1"/>
  <c r="U648" i="1"/>
  <c r="T649" i="1"/>
  <c r="U649" i="1"/>
  <c r="W649" i="1" s="1"/>
  <c r="T650" i="1"/>
  <c r="U650" i="1"/>
  <c r="X650" i="1" s="1"/>
  <c r="T651" i="1"/>
  <c r="U651" i="1"/>
  <c r="W651" i="1" s="1"/>
  <c r="T652" i="1"/>
  <c r="U652" i="1"/>
  <c r="V652" i="1" s="1"/>
  <c r="T653" i="1"/>
  <c r="U653" i="1"/>
  <c r="X653" i="1" s="1"/>
  <c r="T654" i="1"/>
  <c r="U654" i="1"/>
  <c r="V654" i="1" s="1"/>
  <c r="T655" i="1"/>
  <c r="U655" i="1"/>
  <c r="T656" i="1"/>
  <c r="U656" i="1"/>
  <c r="T657" i="1"/>
  <c r="U657" i="1"/>
  <c r="W657" i="1" s="1"/>
  <c r="T658" i="1"/>
  <c r="U658" i="1"/>
  <c r="X658" i="1" s="1"/>
  <c r="T659" i="1"/>
  <c r="U659" i="1"/>
  <c r="W659" i="1" s="1"/>
  <c r="X659" i="1"/>
  <c r="T660" i="1"/>
  <c r="U660" i="1"/>
  <c r="V660" i="1" s="1"/>
  <c r="T661" i="1"/>
  <c r="U661" i="1"/>
  <c r="X661" i="1" s="1"/>
  <c r="T662" i="1"/>
  <c r="U662" i="1"/>
  <c r="V662" i="1" s="1"/>
  <c r="T663" i="1"/>
  <c r="U663" i="1"/>
  <c r="T664" i="1"/>
  <c r="U664" i="1"/>
  <c r="X664" i="1" s="1"/>
  <c r="T665" i="1"/>
  <c r="U665" i="1"/>
  <c r="W665" i="1" s="1"/>
  <c r="X665" i="1"/>
  <c r="T666" i="1"/>
  <c r="U666" i="1"/>
  <c r="X666" i="1" s="1"/>
  <c r="T667" i="1"/>
  <c r="U667" i="1"/>
  <c r="X667" i="1" s="1"/>
  <c r="T668" i="1"/>
  <c r="U668" i="1"/>
  <c r="V668" i="1" s="1"/>
  <c r="T669" i="1"/>
  <c r="U669" i="1"/>
  <c r="X669" i="1" s="1"/>
  <c r="T670" i="1"/>
  <c r="U670" i="1"/>
  <c r="V670" i="1" s="1"/>
  <c r="T671" i="1"/>
  <c r="U671" i="1"/>
  <c r="T672" i="1"/>
  <c r="U672" i="1"/>
  <c r="T673" i="1"/>
  <c r="U673" i="1"/>
  <c r="W673" i="1" s="1"/>
  <c r="T674" i="1"/>
  <c r="U674" i="1"/>
  <c r="X674" i="1" s="1"/>
  <c r="T675" i="1"/>
  <c r="U675" i="1"/>
  <c r="X675" i="1" s="1"/>
  <c r="W675" i="1"/>
  <c r="T676" i="1"/>
  <c r="U676" i="1"/>
  <c r="V676" i="1" s="1"/>
  <c r="T677" i="1"/>
  <c r="U677" i="1"/>
  <c r="X677" i="1" s="1"/>
  <c r="T678" i="1"/>
  <c r="U678" i="1"/>
  <c r="V678" i="1" s="1"/>
  <c r="T679" i="1"/>
  <c r="U679" i="1"/>
  <c r="T680" i="1"/>
  <c r="U680" i="1"/>
  <c r="X680" i="1" s="1"/>
  <c r="T681" i="1"/>
  <c r="U681" i="1"/>
  <c r="W681" i="1" s="1"/>
  <c r="T682" i="1"/>
  <c r="U682" i="1"/>
  <c r="X682" i="1" s="1"/>
  <c r="T683" i="1"/>
  <c r="U683" i="1"/>
  <c r="X683" i="1" s="1"/>
  <c r="T684" i="1"/>
  <c r="U684" i="1"/>
  <c r="V684" i="1" s="1"/>
  <c r="T685" i="1"/>
  <c r="U685" i="1"/>
  <c r="X685" i="1" s="1"/>
  <c r="T686" i="1"/>
  <c r="U686" i="1"/>
  <c r="V686" i="1" s="1"/>
  <c r="T687" i="1"/>
  <c r="U687" i="1"/>
  <c r="T688" i="1"/>
  <c r="U688" i="1"/>
  <c r="T689" i="1"/>
  <c r="U689" i="1"/>
  <c r="W689" i="1" s="1"/>
  <c r="T690" i="1"/>
  <c r="U690" i="1"/>
  <c r="X690" i="1" s="1"/>
  <c r="T691" i="1"/>
  <c r="U691" i="1"/>
  <c r="X691" i="1" s="1"/>
  <c r="T692" i="1"/>
  <c r="U692" i="1"/>
  <c r="V692" i="1" s="1"/>
  <c r="T693" i="1"/>
  <c r="U693" i="1"/>
  <c r="X693" i="1" s="1"/>
  <c r="T694" i="1"/>
  <c r="U694" i="1"/>
  <c r="V694" i="1" s="1"/>
  <c r="T695" i="1"/>
  <c r="U695" i="1"/>
  <c r="T696" i="1"/>
  <c r="U696" i="1"/>
  <c r="W696" i="1" s="1"/>
  <c r="T697" i="1"/>
  <c r="U697" i="1"/>
  <c r="W697" i="1" s="1"/>
  <c r="T698" i="1"/>
  <c r="U698" i="1"/>
  <c r="X698" i="1" s="1"/>
  <c r="T699" i="1"/>
  <c r="U699" i="1"/>
  <c r="W699" i="1" s="1"/>
  <c r="T700" i="1"/>
  <c r="U700" i="1"/>
  <c r="V700" i="1" s="1"/>
  <c r="T701" i="1"/>
  <c r="U701" i="1"/>
  <c r="W701" i="1" s="1"/>
  <c r="T702" i="1"/>
  <c r="U702" i="1"/>
  <c r="V702" i="1" s="1"/>
  <c r="T703" i="1"/>
  <c r="U703" i="1"/>
  <c r="T704" i="1"/>
  <c r="U704" i="1"/>
  <c r="W704" i="1" s="1"/>
  <c r="T705" i="1"/>
  <c r="U705" i="1"/>
  <c r="W705" i="1" s="1"/>
  <c r="T706" i="1"/>
  <c r="U706" i="1"/>
  <c r="X706" i="1" s="1"/>
  <c r="V706" i="1"/>
  <c r="T707" i="1"/>
  <c r="U707" i="1"/>
  <c r="X707" i="1" s="1"/>
  <c r="T708" i="1"/>
  <c r="U708" i="1"/>
  <c r="V708" i="1" s="1"/>
  <c r="T709" i="1"/>
  <c r="U709" i="1"/>
  <c r="T710" i="1"/>
  <c r="U710" i="1"/>
  <c r="V710" i="1" s="1"/>
  <c r="T711" i="1"/>
  <c r="U711" i="1"/>
  <c r="T712" i="1"/>
  <c r="U712" i="1"/>
  <c r="W712" i="1" s="1"/>
  <c r="T713" i="1"/>
  <c r="U713" i="1"/>
  <c r="W713" i="1" s="1"/>
  <c r="T714" i="1"/>
  <c r="U714" i="1"/>
  <c r="X714" i="1" s="1"/>
  <c r="T715" i="1"/>
  <c r="U715" i="1"/>
  <c r="X715" i="1" s="1"/>
  <c r="T716" i="1"/>
  <c r="U716" i="1"/>
  <c r="V716" i="1" s="1"/>
  <c r="T717" i="1"/>
  <c r="U717" i="1"/>
  <c r="W717" i="1" s="1"/>
  <c r="T718" i="1"/>
  <c r="U718" i="1"/>
  <c r="V718" i="1" s="1"/>
  <c r="T719" i="1"/>
  <c r="U719" i="1"/>
  <c r="X719" i="1" s="1"/>
  <c r="T720" i="1"/>
  <c r="U720" i="1"/>
  <c r="W720" i="1" s="1"/>
  <c r="T721" i="1"/>
  <c r="U721" i="1"/>
  <c r="W721" i="1" s="1"/>
  <c r="T722" i="1"/>
  <c r="U722" i="1"/>
  <c r="X722" i="1" s="1"/>
  <c r="V722" i="1"/>
  <c r="T723" i="1"/>
  <c r="U723" i="1"/>
  <c r="X723" i="1" s="1"/>
  <c r="T724" i="1"/>
  <c r="U724" i="1"/>
  <c r="V724" i="1" s="1"/>
  <c r="T725" i="1"/>
  <c r="U725" i="1"/>
  <c r="W725" i="1" s="1"/>
  <c r="T726" i="1"/>
  <c r="U726" i="1"/>
  <c r="V726" i="1" s="1"/>
  <c r="T727" i="1"/>
  <c r="U727" i="1"/>
  <c r="T728" i="1"/>
  <c r="U728" i="1"/>
  <c r="W728" i="1" s="1"/>
  <c r="T729" i="1"/>
  <c r="U729" i="1"/>
  <c r="W729" i="1" s="1"/>
  <c r="T730" i="1"/>
  <c r="U730" i="1"/>
  <c r="X730" i="1" s="1"/>
  <c r="T731" i="1"/>
  <c r="U731" i="1"/>
  <c r="V731" i="1" s="1"/>
  <c r="T732" i="1"/>
  <c r="U732" i="1"/>
  <c r="V732" i="1" s="1"/>
  <c r="T733" i="1"/>
  <c r="U733" i="1"/>
  <c r="T734" i="1"/>
  <c r="U734" i="1"/>
  <c r="V734" i="1" s="1"/>
  <c r="T735" i="1"/>
  <c r="U735" i="1"/>
  <c r="X735" i="1" s="1"/>
  <c r="T736" i="1"/>
  <c r="U736" i="1"/>
  <c r="W736" i="1" s="1"/>
  <c r="T737" i="1"/>
  <c r="U737" i="1"/>
  <c r="W737" i="1" s="1"/>
  <c r="T738" i="1"/>
  <c r="U738" i="1"/>
  <c r="X738" i="1" s="1"/>
  <c r="T739" i="1"/>
  <c r="U739" i="1"/>
  <c r="X739" i="1" s="1"/>
  <c r="T740" i="1"/>
  <c r="U740" i="1"/>
  <c r="V740" i="1" s="1"/>
  <c r="T741" i="1"/>
  <c r="U741" i="1"/>
  <c r="W741" i="1" s="1"/>
  <c r="T742" i="1"/>
  <c r="U742" i="1"/>
  <c r="V742" i="1" s="1"/>
  <c r="X742" i="1"/>
  <c r="T743" i="1"/>
  <c r="U743" i="1"/>
  <c r="T744" i="1"/>
  <c r="U744" i="1"/>
  <c r="W744" i="1" s="1"/>
  <c r="T745" i="1"/>
  <c r="U745" i="1"/>
  <c r="W745" i="1" s="1"/>
  <c r="T746" i="1"/>
  <c r="U746" i="1"/>
  <c r="X746" i="1" s="1"/>
  <c r="T747" i="1"/>
  <c r="U747" i="1"/>
  <c r="V747" i="1" s="1"/>
  <c r="T748" i="1"/>
  <c r="U748" i="1"/>
  <c r="V748" i="1" s="1"/>
  <c r="T749" i="1"/>
  <c r="U749" i="1"/>
  <c r="T750" i="1"/>
  <c r="U750" i="1"/>
  <c r="V750" i="1" s="1"/>
  <c r="T751" i="1"/>
  <c r="U751" i="1"/>
  <c r="X751" i="1" s="1"/>
  <c r="T752" i="1"/>
  <c r="U752" i="1"/>
  <c r="W752" i="1" s="1"/>
  <c r="T753" i="1"/>
  <c r="U753" i="1"/>
  <c r="W753" i="1" s="1"/>
  <c r="T754" i="1"/>
  <c r="U754" i="1"/>
  <c r="X754" i="1" s="1"/>
  <c r="T755" i="1"/>
  <c r="U755" i="1"/>
  <c r="X755" i="1" s="1"/>
  <c r="T756" i="1"/>
  <c r="U756" i="1"/>
  <c r="V756" i="1" s="1"/>
  <c r="W756" i="1"/>
  <c r="T757" i="1"/>
  <c r="U757" i="1"/>
  <c r="W757" i="1" s="1"/>
  <c r="T758" i="1"/>
  <c r="U758" i="1"/>
  <c r="V758" i="1" s="1"/>
  <c r="T759" i="1"/>
  <c r="U759" i="1"/>
  <c r="X759" i="1" s="1"/>
  <c r="T760" i="1"/>
  <c r="U760" i="1"/>
  <c r="W760" i="1" s="1"/>
  <c r="T761" i="1"/>
  <c r="U761" i="1"/>
  <c r="W761" i="1" s="1"/>
  <c r="T762" i="1"/>
  <c r="U762" i="1"/>
  <c r="X762" i="1" s="1"/>
  <c r="T763" i="1"/>
  <c r="U763" i="1"/>
  <c r="W763" i="1" s="1"/>
  <c r="T764" i="1"/>
  <c r="U764" i="1"/>
  <c r="V764" i="1" s="1"/>
  <c r="T765" i="1"/>
  <c r="U765" i="1"/>
  <c r="T766" i="1"/>
  <c r="U766" i="1"/>
  <c r="V766" i="1" s="1"/>
  <c r="T767" i="1"/>
  <c r="U767" i="1"/>
  <c r="X767" i="1" s="1"/>
  <c r="T768" i="1"/>
  <c r="U768" i="1"/>
  <c r="W768" i="1" s="1"/>
  <c r="T769" i="1"/>
  <c r="U769" i="1"/>
  <c r="W769" i="1" s="1"/>
  <c r="T770" i="1"/>
  <c r="U770" i="1"/>
  <c r="X770" i="1" s="1"/>
  <c r="T771" i="1"/>
  <c r="U771" i="1"/>
  <c r="X771" i="1" s="1"/>
  <c r="T772" i="1"/>
  <c r="U772" i="1"/>
  <c r="V772" i="1" s="1"/>
  <c r="T773" i="1"/>
  <c r="U773" i="1"/>
  <c r="W773" i="1" s="1"/>
  <c r="T774" i="1"/>
  <c r="U774" i="1"/>
  <c r="V774" i="1" s="1"/>
  <c r="T775" i="1"/>
  <c r="U775" i="1"/>
  <c r="T776" i="1"/>
  <c r="U776" i="1"/>
  <c r="W776" i="1" s="1"/>
  <c r="T777" i="1"/>
  <c r="U777" i="1"/>
  <c r="W777" i="1" s="1"/>
  <c r="T778" i="1"/>
  <c r="U778" i="1"/>
  <c r="X778" i="1" s="1"/>
  <c r="V778" i="1"/>
  <c r="T779" i="1"/>
  <c r="U779" i="1"/>
  <c r="X779" i="1" s="1"/>
  <c r="T780" i="1"/>
  <c r="U780" i="1"/>
  <c r="V780" i="1" s="1"/>
  <c r="T781" i="1"/>
  <c r="U781" i="1"/>
  <c r="W781" i="1" s="1"/>
  <c r="T782" i="1"/>
  <c r="U782" i="1"/>
  <c r="V782" i="1" s="1"/>
  <c r="T783" i="1"/>
  <c r="U783" i="1"/>
  <c r="X783" i="1" s="1"/>
  <c r="T784" i="1"/>
  <c r="U784" i="1"/>
  <c r="W784" i="1" s="1"/>
  <c r="T785" i="1"/>
  <c r="U785" i="1"/>
  <c r="W785" i="1" s="1"/>
  <c r="T786" i="1"/>
  <c r="U786" i="1"/>
  <c r="X786" i="1" s="1"/>
  <c r="T787" i="1"/>
  <c r="U787" i="1"/>
  <c r="X787" i="1" s="1"/>
  <c r="T788" i="1"/>
  <c r="U788" i="1"/>
  <c r="V788" i="1" s="1"/>
  <c r="T789" i="1"/>
  <c r="U789" i="1"/>
  <c r="W789" i="1" s="1"/>
  <c r="T790" i="1"/>
  <c r="U790" i="1"/>
  <c r="V790" i="1" s="1"/>
  <c r="T791" i="1"/>
  <c r="U791" i="1"/>
  <c r="T792" i="1"/>
  <c r="U792" i="1"/>
  <c r="W792" i="1" s="1"/>
  <c r="T793" i="1"/>
  <c r="U793" i="1"/>
  <c r="W793" i="1" s="1"/>
  <c r="T794" i="1"/>
  <c r="U794" i="1"/>
  <c r="X794" i="1" s="1"/>
  <c r="T795" i="1"/>
  <c r="U795" i="1"/>
  <c r="W795" i="1" s="1"/>
  <c r="T796" i="1"/>
  <c r="U796" i="1"/>
  <c r="V796" i="1" s="1"/>
  <c r="T797" i="1"/>
  <c r="U797" i="1"/>
  <c r="T798" i="1"/>
  <c r="U798" i="1"/>
  <c r="V798" i="1" s="1"/>
  <c r="T799" i="1"/>
  <c r="U799" i="1"/>
  <c r="X799" i="1" s="1"/>
  <c r="T800" i="1"/>
  <c r="U800" i="1"/>
  <c r="W800" i="1" s="1"/>
  <c r="T801" i="1"/>
  <c r="U801" i="1"/>
  <c r="W801" i="1" s="1"/>
  <c r="T802" i="1"/>
  <c r="U802" i="1"/>
  <c r="X802" i="1" s="1"/>
  <c r="T803" i="1"/>
  <c r="U803" i="1"/>
  <c r="W803" i="1" s="1"/>
  <c r="T804" i="1"/>
  <c r="U804" i="1"/>
  <c r="V804" i="1" s="1"/>
  <c r="T805" i="1"/>
  <c r="U805" i="1"/>
  <c r="W805" i="1" s="1"/>
  <c r="T806" i="1"/>
  <c r="U806" i="1"/>
  <c r="V806" i="1" s="1"/>
  <c r="T807" i="1"/>
  <c r="U807" i="1"/>
  <c r="T808" i="1"/>
  <c r="U808" i="1"/>
  <c r="V808" i="1" s="1"/>
  <c r="T809" i="1"/>
  <c r="U809" i="1"/>
  <c r="W809" i="1" s="1"/>
  <c r="T810" i="1"/>
  <c r="U810" i="1"/>
  <c r="T811" i="1"/>
  <c r="U811" i="1"/>
  <c r="X811" i="1" s="1"/>
  <c r="T812" i="1"/>
  <c r="U812" i="1"/>
  <c r="V812" i="1" s="1"/>
  <c r="T813" i="1"/>
  <c r="U813" i="1"/>
  <c r="X813" i="1" s="1"/>
  <c r="T814" i="1"/>
  <c r="U814" i="1"/>
  <c r="V814" i="1" s="1"/>
  <c r="W814" i="1"/>
  <c r="T815" i="1"/>
  <c r="U815" i="1"/>
  <c r="X815" i="1" s="1"/>
  <c r="T816" i="1"/>
  <c r="U816" i="1"/>
  <c r="V816" i="1" s="1"/>
  <c r="T817" i="1"/>
  <c r="U817" i="1"/>
  <c r="W817" i="1" s="1"/>
  <c r="T818" i="1"/>
  <c r="U818" i="1"/>
  <c r="V818" i="1" s="1"/>
  <c r="T819" i="1"/>
  <c r="U819" i="1"/>
  <c r="X819" i="1" s="1"/>
  <c r="T820" i="1"/>
  <c r="U820" i="1"/>
  <c r="V820" i="1" s="1"/>
  <c r="T821" i="1"/>
  <c r="U821" i="1"/>
  <c r="X821" i="1" s="1"/>
  <c r="T822" i="1"/>
  <c r="U822" i="1"/>
  <c r="V822" i="1" s="1"/>
  <c r="T823" i="1"/>
  <c r="U823" i="1"/>
  <c r="T824" i="1"/>
  <c r="U824" i="1"/>
  <c r="W824" i="1" s="1"/>
  <c r="T825" i="1"/>
  <c r="U825" i="1"/>
  <c r="W825" i="1" s="1"/>
  <c r="T826" i="1"/>
  <c r="U826" i="1"/>
  <c r="V826" i="1" s="1"/>
  <c r="T827" i="1"/>
  <c r="U827" i="1"/>
  <c r="X827" i="1" s="1"/>
  <c r="T828" i="1"/>
  <c r="U828" i="1"/>
  <c r="V828" i="1" s="1"/>
  <c r="T829" i="1"/>
  <c r="U829" i="1"/>
  <c r="X829" i="1" s="1"/>
  <c r="T830" i="1"/>
  <c r="U830" i="1"/>
  <c r="V830" i="1" s="1"/>
  <c r="T831" i="1"/>
  <c r="U831" i="1"/>
  <c r="X831" i="1" s="1"/>
  <c r="T832" i="1"/>
  <c r="U832" i="1"/>
  <c r="W832" i="1" s="1"/>
  <c r="T833" i="1"/>
  <c r="U833" i="1"/>
  <c r="W833" i="1" s="1"/>
  <c r="T834" i="1"/>
  <c r="U834" i="1"/>
  <c r="V834" i="1" s="1"/>
  <c r="T835" i="1"/>
  <c r="U835" i="1"/>
  <c r="X835" i="1" s="1"/>
  <c r="T836" i="1"/>
  <c r="U836" i="1"/>
  <c r="V836" i="1" s="1"/>
  <c r="T837" i="1"/>
  <c r="U837" i="1"/>
  <c r="X837" i="1" s="1"/>
  <c r="T838" i="1"/>
  <c r="U838" i="1"/>
  <c r="V838" i="1" s="1"/>
  <c r="T839" i="1"/>
  <c r="U839" i="1"/>
  <c r="T840" i="1"/>
  <c r="U840" i="1"/>
  <c r="X840" i="1" s="1"/>
  <c r="T841" i="1"/>
  <c r="U841" i="1"/>
  <c r="W841" i="1" s="1"/>
  <c r="T842" i="1"/>
  <c r="U842" i="1"/>
  <c r="T843" i="1"/>
  <c r="U843" i="1"/>
  <c r="X843" i="1" s="1"/>
  <c r="T844" i="1"/>
  <c r="U844" i="1"/>
  <c r="V844" i="1" s="1"/>
  <c r="T845" i="1"/>
  <c r="U845" i="1"/>
  <c r="X845" i="1" s="1"/>
  <c r="T846" i="1"/>
  <c r="U846" i="1"/>
  <c r="V846" i="1" s="1"/>
  <c r="T847" i="1"/>
  <c r="U847" i="1"/>
  <c r="X847" i="1" s="1"/>
  <c r="T848" i="1"/>
  <c r="U848" i="1"/>
  <c r="X848" i="1" s="1"/>
  <c r="T849" i="1"/>
  <c r="U849" i="1"/>
  <c r="W849" i="1" s="1"/>
  <c r="T850" i="1"/>
  <c r="U850" i="1"/>
  <c r="V850" i="1"/>
  <c r="T851" i="1"/>
  <c r="U851" i="1"/>
  <c r="W851" i="1" s="1"/>
  <c r="V851" i="1"/>
  <c r="T852" i="1"/>
  <c r="U852" i="1"/>
  <c r="V852" i="1" s="1"/>
  <c r="T853" i="1"/>
  <c r="U853" i="1"/>
  <c r="X853" i="1" s="1"/>
  <c r="T854" i="1"/>
  <c r="U854" i="1"/>
  <c r="V854" i="1" s="1"/>
  <c r="T855" i="1"/>
  <c r="U855" i="1"/>
  <c r="X855" i="1" s="1"/>
  <c r="T856" i="1"/>
  <c r="U856" i="1"/>
  <c r="X856" i="1" s="1"/>
  <c r="T857" i="1"/>
  <c r="U857" i="1"/>
  <c r="W857" i="1" s="1"/>
  <c r="T858" i="1"/>
  <c r="U858" i="1"/>
  <c r="T859" i="1"/>
  <c r="U859" i="1"/>
  <c r="X859" i="1" s="1"/>
  <c r="T860" i="1"/>
  <c r="U860" i="1"/>
  <c r="V860" i="1" s="1"/>
  <c r="T861" i="1"/>
  <c r="U861" i="1"/>
  <c r="X861" i="1" s="1"/>
  <c r="T862" i="1"/>
  <c r="U862" i="1"/>
  <c r="V862" i="1" s="1"/>
  <c r="T863" i="1"/>
  <c r="U863" i="1"/>
  <c r="T864" i="1"/>
  <c r="U864" i="1"/>
  <c r="X864" i="1" s="1"/>
  <c r="T865" i="1"/>
  <c r="U865" i="1"/>
  <c r="W865" i="1" s="1"/>
  <c r="T866" i="1"/>
  <c r="U866" i="1"/>
  <c r="V866" i="1" s="1"/>
  <c r="T867" i="1"/>
  <c r="U867" i="1"/>
  <c r="X867" i="1" s="1"/>
  <c r="T868" i="1"/>
  <c r="U868" i="1"/>
  <c r="V868" i="1" s="1"/>
  <c r="T869" i="1"/>
  <c r="U869" i="1"/>
  <c r="X869" i="1" s="1"/>
  <c r="T870" i="1"/>
  <c r="U870" i="1"/>
  <c r="V870" i="1" s="1"/>
  <c r="T871" i="1"/>
  <c r="U871" i="1"/>
  <c r="T872" i="1"/>
  <c r="U872" i="1"/>
  <c r="W872" i="1" s="1"/>
  <c r="T873" i="1"/>
  <c r="U873" i="1"/>
  <c r="W873" i="1" s="1"/>
  <c r="T874" i="1"/>
  <c r="U874" i="1"/>
  <c r="T875" i="1"/>
  <c r="U875" i="1"/>
  <c r="X875" i="1" s="1"/>
  <c r="T876" i="1"/>
  <c r="U876" i="1"/>
  <c r="V876" i="1" s="1"/>
  <c r="T877" i="1"/>
  <c r="U877" i="1"/>
  <c r="X877" i="1" s="1"/>
  <c r="T878" i="1"/>
  <c r="U878" i="1"/>
  <c r="V878" i="1" s="1"/>
  <c r="W878" i="1"/>
  <c r="T879" i="1"/>
  <c r="U879" i="1"/>
  <c r="X879" i="1" s="1"/>
  <c r="T880" i="1"/>
  <c r="U880" i="1"/>
  <c r="V880" i="1" s="1"/>
  <c r="T881" i="1"/>
  <c r="U881" i="1"/>
  <c r="W881" i="1" s="1"/>
  <c r="T882" i="1"/>
  <c r="U882" i="1"/>
  <c r="V882" i="1" s="1"/>
  <c r="T883" i="1"/>
  <c r="U883" i="1"/>
  <c r="V883" i="1" s="1"/>
  <c r="T884" i="1"/>
  <c r="U884" i="1"/>
  <c r="V884" i="1" s="1"/>
  <c r="T885" i="1"/>
  <c r="U885" i="1"/>
  <c r="X885" i="1" s="1"/>
  <c r="T886" i="1"/>
  <c r="U886" i="1"/>
  <c r="V886" i="1" s="1"/>
  <c r="T887" i="1"/>
  <c r="U887" i="1"/>
  <c r="T888" i="1"/>
  <c r="U888" i="1"/>
  <c r="V888" i="1" s="1"/>
  <c r="T889" i="1"/>
  <c r="U889" i="1"/>
  <c r="W889" i="1" s="1"/>
  <c r="T890" i="1"/>
  <c r="U890" i="1"/>
  <c r="V890" i="1" s="1"/>
  <c r="T891" i="1"/>
  <c r="U891" i="1"/>
  <c r="V891" i="1" s="1"/>
  <c r="T892" i="1"/>
  <c r="U892" i="1"/>
  <c r="V892" i="1" s="1"/>
  <c r="T893" i="1"/>
  <c r="U893" i="1"/>
  <c r="X893" i="1" s="1"/>
  <c r="T894" i="1"/>
  <c r="U894" i="1"/>
  <c r="V894" i="1" s="1"/>
  <c r="T895" i="1"/>
  <c r="U895" i="1"/>
  <c r="X895" i="1" s="1"/>
  <c r="T896" i="1"/>
  <c r="U896" i="1"/>
  <c r="W896" i="1" s="1"/>
  <c r="T897" i="1"/>
  <c r="U897" i="1"/>
  <c r="W897" i="1" s="1"/>
  <c r="T898" i="1"/>
  <c r="U898" i="1"/>
  <c r="T899" i="1"/>
  <c r="U899" i="1"/>
  <c r="V899" i="1" s="1"/>
  <c r="T900" i="1"/>
  <c r="U900" i="1"/>
  <c r="V900" i="1" s="1"/>
  <c r="T901" i="1"/>
  <c r="U901" i="1"/>
  <c r="X901" i="1" s="1"/>
  <c r="T902" i="1"/>
  <c r="U902" i="1"/>
  <c r="V902" i="1" s="1"/>
  <c r="T903" i="1"/>
  <c r="U903" i="1"/>
  <c r="T904" i="1"/>
  <c r="U904" i="1"/>
  <c r="X904" i="1" s="1"/>
  <c r="T905" i="1"/>
  <c r="U905" i="1"/>
  <c r="W905" i="1" s="1"/>
  <c r="T906" i="1"/>
  <c r="U906" i="1"/>
  <c r="T907" i="1"/>
  <c r="U907" i="1"/>
  <c r="V907" i="1" s="1"/>
  <c r="T908" i="1"/>
  <c r="U908" i="1"/>
  <c r="V908" i="1" s="1"/>
  <c r="T909" i="1"/>
  <c r="U909" i="1"/>
  <c r="X909" i="1" s="1"/>
  <c r="T910" i="1"/>
  <c r="U910" i="1"/>
  <c r="V910" i="1" s="1"/>
  <c r="T911" i="1"/>
  <c r="U911" i="1"/>
  <c r="X911" i="1" s="1"/>
  <c r="T912" i="1"/>
  <c r="U912" i="1"/>
  <c r="X912" i="1" s="1"/>
  <c r="T913" i="1"/>
  <c r="U913" i="1"/>
  <c r="W913" i="1" s="1"/>
  <c r="T914" i="1"/>
  <c r="U914" i="1"/>
  <c r="V914" i="1" s="1"/>
  <c r="T915" i="1"/>
  <c r="U915" i="1"/>
  <c r="V915" i="1" s="1"/>
  <c r="T916" i="1"/>
  <c r="U916" i="1"/>
  <c r="V916" i="1" s="1"/>
  <c r="T917" i="1"/>
  <c r="U917" i="1"/>
  <c r="X917" i="1" s="1"/>
  <c r="T918" i="1"/>
  <c r="U918" i="1"/>
  <c r="V918" i="1" s="1"/>
  <c r="T919" i="1"/>
  <c r="U919" i="1"/>
  <c r="X919" i="1" s="1"/>
  <c r="T920" i="1"/>
  <c r="U920" i="1"/>
  <c r="X920" i="1" s="1"/>
  <c r="T921" i="1"/>
  <c r="U921" i="1"/>
  <c r="W921" i="1" s="1"/>
  <c r="T922" i="1"/>
  <c r="U922" i="1"/>
  <c r="T923" i="1"/>
  <c r="U923" i="1"/>
  <c r="V923" i="1" s="1"/>
  <c r="T924" i="1"/>
  <c r="U924" i="1"/>
  <c r="V924" i="1" s="1"/>
  <c r="T925" i="1"/>
  <c r="U925" i="1"/>
  <c r="X925" i="1" s="1"/>
  <c r="T926" i="1"/>
  <c r="U926" i="1"/>
  <c r="V926" i="1" s="1"/>
  <c r="T927" i="1"/>
  <c r="U927" i="1"/>
  <c r="T928" i="1"/>
  <c r="U928" i="1"/>
  <c r="X928" i="1" s="1"/>
  <c r="T929" i="1"/>
  <c r="U929" i="1"/>
  <c r="W929" i="1" s="1"/>
  <c r="T930" i="1"/>
  <c r="U930" i="1"/>
  <c r="V930" i="1" s="1"/>
  <c r="T931" i="1"/>
  <c r="U931" i="1"/>
  <c r="X931" i="1" s="1"/>
  <c r="T932" i="1"/>
  <c r="U932" i="1"/>
  <c r="V932" i="1" s="1"/>
  <c r="T933" i="1"/>
  <c r="U933" i="1"/>
  <c r="W933" i="1" s="1"/>
  <c r="T934" i="1"/>
  <c r="U934" i="1"/>
  <c r="V934" i="1" s="1"/>
  <c r="T935" i="1"/>
  <c r="U935" i="1"/>
  <c r="W935" i="1" s="1"/>
  <c r="T936" i="1"/>
  <c r="U936" i="1"/>
  <c r="X936" i="1" s="1"/>
  <c r="T937" i="1"/>
  <c r="U937" i="1"/>
  <c r="W937" i="1" s="1"/>
  <c r="T938" i="1"/>
  <c r="U938" i="1"/>
  <c r="X938" i="1" s="1"/>
  <c r="T939" i="1"/>
  <c r="U939" i="1"/>
  <c r="V939" i="1" s="1"/>
  <c r="T940" i="1"/>
  <c r="U940" i="1"/>
  <c r="W940" i="1" s="1"/>
  <c r="T941" i="1"/>
  <c r="U941" i="1"/>
  <c r="V941" i="1" s="1"/>
  <c r="T942" i="1"/>
  <c r="U942" i="1"/>
  <c r="V942" i="1" s="1"/>
  <c r="T943" i="1"/>
  <c r="U943" i="1"/>
  <c r="W943" i="1" s="1"/>
  <c r="T944" i="1"/>
  <c r="U944" i="1"/>
  <c r="W944" i="1" s="1"/>
  <c r="T945" i="1"/>
  <c r="U945" i="1"/>
  <c r="W945" i="1" s="1"/>
  <c r="T946" i="1"/>
  <c r="U946" i="1"/>
  <c r="X946" i="1" s="1"/>
  <c r="T947" i="1"/>
  <c r="U947" i="1"/>
  <c r="X947" i="1" s="1"/>
  <c r="T948" i="1"/>
  <c r="U948" i="1"/>
  <c r="T949" i="1"/>
  <c r="U949" i="1"/>
  <c r="T950" i="1"/>
  <c r="U950" i="1"/>
  <c r="V950" i="1" s="1"/>
  <c r="T951" i="1"/>
  <c r="U951" i="1"/>
  <c r="W951" i="1" s="1"/>
  <c r="T952" i="1"/>
  <c r="U952" i="1"/>
  <c r="V952" i="1" s="1"/>
  <c r="T953" i="1"/>
  <c r="U953" i="1"/>
  <c r="W953" i="1" s="1"/>
  <c r="T954" i="1"/>
  <c r="U954" i="1"/>
  <c r="X954" i="1" s="1"/>
  <c r="T955" i="1"/>
  <c r="U955" i="1"/>
  <c r="V955" i="1" s="1"/>
  <c r="X955" i="1"/>
  <c r="T956" i="1"/>
  <c r="U956" i="1"/>
  <c r="W956" i="1" s="1"/>
  <c r="T957" i="1"/>
  <c r="U957" i="1"/>
  <c r="X957" i="1" s="1"/>
  <c r="T958" i="1"/>
  <c r="U958" i="1"/>
  <c r="V958" i="1" s="1"/>
  <c r="T959" i="1"/>
  <c r="U959" i="1"/>
  <c r="W959" i="1" s="1"/>
  <c r="T960" i="1"/>
  <c r="U960" i="1"/>
  <c r="W960" i="1" s="1"/>
  <c r="T961" i="1"/>
  <c r="U961" i="1"/>
  <c r="W961" i="1" s="1"/>
  <c r="T962" i="1"/>
  <c r="U962" i="1"/>
  <c r="T963" i="1"/>
  <c r="U963" i="1"/>
  <c r="X963" i="1" s="1"/>
  <c r="T964" i="1"/>
  <c r="U964" i="1"/>
  <c r="W964" i="1" s="1"/>
  <c r="T965" i="1"/>
  <c r="U965" i="1"/>
  <c r="W965" i="1" s="1"/>
  <c r="T966" i="1"/>
  <c r="U966" i="1"/>
  <c r="V966" i="1" s="1"/>
  <c r="T967" i="1"/>
  <c r="U967" i="1"/>
  <c r="W967" i="1" s="1"/>
  <c r="T968" i="1"/>
  <c r="U968" i="1"/>
  <c r="X968" i="1" s="1"/>
  <c r="T969" i="1"/>
  <c r="U969" i="1"/>
  <c r="W969" i="1" s="1"/>
  <c r="T970" i="1"/>
  <c r="U970" i="1"/>
  <c r="X970" i="1" s="1"/>
  <c r="T971" i="1"/>
  <c r="U971" i="1"/>
  <c r="X971" i="1" s="1"/>
  <c r="T972" i="1"/>
  <c r="U972" i="1"/>
  <c r="W972" i="1" s="1"/>
  <c r="T973" i="1"/>
  <c r="U973" i="1"/>
  <c r="V973" i="1" s="1"/>
  <c r="T974" i="1"/>
  <c r="U974" i="1"/>
  <c r="V974" i="1" s="1"/>
  <c r="T975" i="1"/>
  <c r="U975" i="1"/>
  <c r="W975" i="1" s="1"/>
  <c r="T976" i="1"/>
  <c r="U976" i="1"/>
  <c r="X976" i="1" s="1"/>
  <c r="T977" i="1"/>
  <c r="U977" i="1"/>
  <c r="W977" i="1" s="1"/>
  <c r="T978" i="1"/>
  <c r="U978" i="1"/>
  <c r="X978" i="1" s="1"/>
  <c r="T979" i="1"/>
  <c r="U979" i="1"/>
  <c r="X979" i="1" s="1"/>
  <c r="T980" i="1"/>
  <c r="U980" i="1"/>
  <c r="T981" i="1"/>
  <c r="U981" i="1"/>
  <c r="W981" i="1" s="1"/>
  <c r="T982" i="1"/>
  <c r="U982" i="1"/>
  <c r="V982" i="1" s="1"/>
  <c r="T983" i="1"/>
  <c r="U983" i="1"/>
  <c r="W983" i="1" s="1"/>
  <c r="T984" i="1"/>
  <c r="U984" i="1"/>
  <c r="V984" i="1" s="1"/>
  <c r="T985" i="1"/>
  <c r="U985" i="1"/>
  <c r="W985" i="1" s="1"/>
  <c r="T986" i="1"/>
  <c r="U986" i="1"/>
  <c r="X986" i="1" s="1"/>
  <c r="T987" i="1"/>
  <c r="U987" i="1"/>
  <c r="V987" i="1" s="1"/>
  <c r="T988" i="1"/>
  <c r="U988" i="1"/>
  <c r="W988" i="1" s="1"/>
  <c r="T989" i="1"/>
  <c r="U989" i="1"/>
  <c r="T990" i="1"/>
  <c r="U990" i="1"/>
  <c r="V990" i="1" s="1"/>
  <c r="T991" i="1"/>
  <c r="U991" i="1"/>
  <c r="W991" i="1" s="1"/>
  <c r="T992" i="1"/>
  <c r="U992" i="1"/>
  <c r="V992" i="1" s="1"/>
  <c r="T993" i="1"/>
  <c r="U993" i="1"/>
  <c r="W993" i="1" s="1"/>
  <c r="T994" i="1"/>
  <c r="U994" i="1"/>
  <c r="T995" i="1"/>
  <c r="U995" i="1"/>
  <c r="V995" i="1" s="1"/>
  <c r="T996" i="1"/>
  <c r="U996" i="1"/>
  <c r="T997" i="1"/>
  <c r="U997" i="1"/>
  <c r="V997" i="1" s="1"/>
  <c r="T998" i="1"/>
  <c r="U998" i="1"/>
  <c r="V998" i="1" s="1"/>
  <c r="T999" i="1"/>
  <c r="U999" i="1"/>
  <c r="W999" i="1" s="1"/>
  <c r="T1000" i="1"/>
  <c r="U1000" i="1"/>
  <c r="W1000" i="1" s="1"/>
  <c r="T1001" i="1"/>
  <c r="U1001" i="1"/>
  <c r="W1001" i="1" s="1"/>
  <c r="T1002" i="1"/>
  <c r="U1002" i="1"/>
  <c r="V1002" i="1" s="1"/>
  <c r="T1003" i="1"/>
  <c r="U1003" i="1"/>
  <c r="W1003" i="1" s="1"/>
  <c r="T1004" i="1"/>
  <c r="U1004" i="1"/>
  <c r="X1004" i="1" s="1"/>
  <c r="T1005" i="1"/>
  <c r="U1005" i="1"/>
  <c r="X1005" i="1" s="1"/>
  <c r="T1006" i="1"/>
  <c r="U1006" i="1"/>
  <c r="X1006" i="1" s="1"/>
  <c r="T1007" i="1"/>
  <c r="U1007" i="1"/>
  <c r="W1007" i="1" s="1"/>
  <c r="T1008" i="1"/>
  <c r="U1008" i="1"/>
  <c r="X1008" i="1" s="1"/>
  <c r="T1009" i="1"/>
  <c r="U1009" i="1"/>
  <c r="W1009" i="1" s="1"/>
  <c r="T1010" i="1"/>
  <c r="U1010" i="1"/>
  <c r="T1011" i="1"/>
  <c r="U1011" i="1"/>
  <c r="V1011" i="1" s="1"/>
  <c r="T1012" i="1"/>
  <c r="U1012" i="1"/>
  <c r="X1012" i="1" s="1"/>
  <c r="T1013" i="1"/>
  <c r="U1013" i="1"/>
  <c r="W1013" i="1" s="1"/>
  <c r="T1014" i="1"/>
  <c r="U1014" i="1"/>
  <c r="V1014" i="1" s="1"/>
  <c r="T1015" i="1"/>
  <c r="U1015" i="1"/>
  <c r="X1015" i="1" s="1"/>
  <c r="T1016" i="1"/>
  <c r="U1016" i="1"/>
  <c r="V1016" i="1" s="1"/>
  <c r="T1017" i="1"/>
  <c r="U1017" i="1"/>
  <c r="W1017" i="1" s="1"/>
  <c r="T1018" i="1"/>
  <c r="U1018" i="1"/>
  <c r="V1018" i="1" s="1"/>
  <c r="T1019" i="1"/>
  <c r="U1019" i="1"/>
  <c r="V1019" i="1" s="1"/>
  <c r="T1020" i="1"/>
  <c r="U1020" i="1"/>
  <c r="V1020" i="1" s="1"/>
  <c r="T1021" i="1"/>
  <c r="U1021" i="1"/>
  <c r="V1021" i="1" s="1"/>
  <c r="T1022" i="1"/>
  <c r="U1022" i="1"/>
  <c r="T1023" i="1"/>
  <c r="U1023" i="1"/>
  <c r="X1023" i="1" s="1"/>
  <c r="T1024" i="1"/>
  <c r="U1024" i="1"/>
  <c r="W1024" i="1" s="1"/>
  <c r="T1025" i="1"/>
  <c r="U1025" i="1"/>
  <c r="V1025" i="1" s="1"/>
  <c r="T1026" i="1"/>
  <c r="U1026" i="1"/>
  <c r="V1026" i="1" s="1"/>
  <c r="T1027" i="1"/>
  <c r="U1027" i="1"/>
  <c r="X1027" i="1" s="1"/>
  <c r="T1028" i="1"/>
  <c r="U1028" i="1"/>
  <c r="X1028" i="1" s="1"/>
  <c r="T1029" i="1"/>
  <c r="U1029" i="1"/>
  <c r="X1029" i="1" s="1"/>
  <c r="T1030" i="1"/>
  <c r="U1030" i="1"/>
  <c r="X1030" i="1" s="1"/>
  <c r="T1031" i="1"/>
  <c r="U1031" i="1"/>
  <c r="X1031" i="1" s="1"/>
  <c r="T1032" i="1"/>
  <c r="U1032" i="1"/>
  <c r="W1032" i="1" s="1"/>
  <c r="T1033" i="1"/>
  <c r="U1033" i="1"/>
  <c r="T1034" i="1"/>
  <c r="U1034" i="1"/>
  <c r="V1034" i="1" s="1"/>
  <c r="T1035" i="1"/>
  <c r="U1035" i="1"/>
  <c r="X1035" i="1" s="1"/>
  <c r="T1036" i="1"/>
  <c r="U1036" i="1"/>
  <c r="X1036" i="1" s="1"/>
  <c r="T1037" i="1"/>
  <c r="U1037" i="1"/>
  <c r="T1038" i="1"/>
  <c r="U1038" i="1"/>
  <c r="X1038" i="1" s="1"/>
  <c r="T1039" i="1"/>
  <c r="U1039" i="1"/>
  <c r="X1039" i="1" s="1"/>
  <c r="T1040" i="1"/>
  <c r="U1040" i="1"/>
  <c r="W1040" i="1" s="1"/>
  <c r="T1041" i="1"/>
  <c r="U1041" i="1"/>
  <c r="V1041" i="1" s="1"/>
  <c r="T1042" i="1"/>
  <c r="U1042" i="1"/>
  <c r="V1042" i="1" s="1"/>
  <c r="T1043" i="1"/>
  <c r="U1043" i="1"/>
  <c r="X1043" i="1" s="1"/>
  <c r="T1044" i="1"/>
  <c r="U1044" i="1"/>
  <c r="X1044" i="1" s="1"/>
  <c r="T1045" i="1"/>
  <c r="U1045" i="1"/>
  <c r="T1046" i="1"/>
  <c r="U1046" i="1"/>
  <c r="T1047" i="1"/>
  <c r="U1047" i="1"/>
  <c r="W1047" i="1" s="1"/>
  <c r="T1048" i="1"/>
  <c r="U1048" i="1"/>
  <c r="W1048" i="1" s="1"/>
  <c r="T1049" i="1"/>
  <c r="U1049" i="1"/>
  <c r="V1049" i="1" s="1"/>
  <c r="T1050" i="1"/>
  <c r="U1050" i="1"/>
  <c r="V1050" i="1" s="1"/>
  <c r="T1051" i="1"/>
  <c r="U1051" i="1"/>
  <c r="X1051" i="1" s="1"/>
  <c r="T1052" i="1"/>
  <c r="U1052" i="1"/>
  <c r="X1052" i="1" s="1"/>
  <c r="T1053" i="1"/>
  <c r="U1053" i="1"/>
  <c r="X1053" i="1" s="1"/>
  <c r="T1054" i="1"/>
  <c r="U1054" i="1"/>
  <c r="T1055" i="1"/>
  <c r="U1055" i="1"/>
  <c r="X1055" i="1" s="1"/>
  <c r="T1056" i="1"/>
  <c r="U1056" i="1"/>
  <c r="W1056" i="1" s="1"/>
  <c r="T1057" i="1"/>
  <c r="U1057" i="1"/>
  <c r="T1058" i="1"/>
  <c r="U1058" i="1"/>
  <c r="V1058" i="1" s="1"/>
  <c r="T1059" i="1"/>
  <c r="U1059" i="1"/>
  <c r="X1059" i="1" s="1"/>
  <c r="T1060" i="1"/>
  <c r="U1060" i="1"/>
  <c r="X1060" i="1" s="1"/>
  <c r="T1061" i="1"/>
  <c r="U1061" i="1"/>
  <c r="T1062" i="1"/>
  <c r="U1062" i="1"/>
  <c r="X1062" i="1" s="1"/>
  <c r="T1063" i="1"/>
  <c r="U1063" i="1"/>
  <c r="X1063" i="1" s="1"/>
  <c r="T1064" i="1"/>
  <c r="U1064" i="1"/>
  <c r="W1064" i="1" s="1"/>
  <c r="T1065" i="1"/>
  <c r="U1065" i="1"/>
  <c r="T1066" i="1"/>
  <c r="U1066" i="1"/>
  <c r="V1066" i="1" s="1"/>
  <c r="T1067" i="1"/>
  <c r="U1067" i="1"/>
  <c r="X1067" i="1" s="1"/>
  <c r="T1068" i="1"/>
  <c r="U1068" i="1"/>
  <c r="X1068" i="1" s="1"/>
  <c r="T1069" i="1"/>
  <c r="U1069" i="1"/>
  <c r="X1069" i="1" s="1"/>
  <c r="T1070" i="1"/>
  <c r="U1070" i="1"/>
  <c r="T1071" i="1"/>
  <c r="U1071" i="1"/>
  <c r="X1071" i="1" s="1"/>
  <c r="T1072" i="1"/>
  <c r="U1072" i="1"/>
  <c r="W1072" i="1" s="1"/>
  <c r="T1073" i="1"/>
  <c r="U1073" i="1"/>
  <c r="V1073" i="1" s="1"/>
  <c r="T1074" i="1"/>
  <c r="U1074" i="1"/>
  <c r="V1074" i="1" s="1"/>
  <c r="T1075" i="1"/>
  <c r="U1075" i="1"/>
  <c r="X1075" i="1" s="1"/>
  <c r="T1076" i="1"/>
  <c r="U1076" i="1"/>
  <c r="X1076" i="1" s="1"/>
  <c r="T1077" i="1"/>
  <c r="U1077" i="1"/>
  <c r="T1078" i="1"/>
  <c r="U1078" i="1"/>
  <c r="X1078" i="1" s="1"/>
  <c r="T1079" i="1"/>
  <c r="U1079" i="1"/>
  <c r="W1079" i="1" s="1"/>
  <c r="T1080" i="1"/>
  <c r="U1080" i="1"/>
  <c r="W1080" i="1" s="1"/>
  <c r="T1081" i="1"/>
  <c r="U1081" i="1"/>
  <c r="T1082" i="1"/>
  <c r="U1082" i="1"/>
  <c r="V1082" i="1" s="1"/>
  <c r="T1083" i="1"/>
  <c r="U1083" i="1"/>
  <c r="X1083" i="1" s="1"/>
  <c r="W1083" i="1"/>
  <c r="T1084" i="1"/>
  <c r="U1084" i="1"/>
  <c r="X1084" i="1" s="1"/>
  <c r="T1085" i="1"/>
  <c r="U1085" i="1"/>
  <c r="X1085" i="1" s="1"/>
  <c r="T1086" i="1"/>
  <c r="U1086" i="1"/>
  <c r="T1087" i="1"/>
  <c r="U1087" i="1"/>
  <c r="W1087" i="1" s="1"/>
  <c r="T1088" i="1"/>
  <c r="U1088" i="1"/>
  <c r="W1088" i="1" s="1"/>
  <c r="T1089" i="1"/>
  <c r="U1089" i="1"/>
  <c r="V1089" i="1" s="1"/>
  <c r="T1090" i="1"/>
  <c r="U1090" i="1"/>
  <c r="V1090" i="1" s="1"/>
  <c r="T1091" i="1"/>
  <c r="U1091" i="1"/>
  <c r="X1091" i="1" s="1"/>
  <c r="T1092" i="1"/>
  <c r="U1092" i="1"/>
  <c r="X1092" i="1" s="1"/>
  <c r="T1093" i="1"/>
  <c r="U1093" i="1"/>
  <c r="X1093" i="1" s="1"/>
  <c r="T1094" i="1"/>
  <c r="U1094" i="1"/>
  <c r="X1094" i="1" s="1"/>
  <c r="T1095" i="1"/>
  <c r="U1095" i="1"/>
  <c r="W1095" i="1" s="1"/>
  <c r="T1096" i="1"/>
  <c r="U1096" i="1"/>
  <c r="W1096" i="1" s="1"/>
  <c r="T1097" i="1"/>
  <c r="U1097" i="1"/>
  <c r="T1098" i="1"/>
  <c r="U1098" i="1"/>
  <c r="V1098" i="1" s="1"/>
  <c r="T1099" i="1"/>
  <c r="U1099" i="1"/>
  <c r="X1099" i="1" s="1"/>
  <c r="T1100" i="1"/>
  <c r="U1100" i="1"/>
  <c r="X1100" i="1" s="1"/>
  <c r="T1101" i="1"/>
  <c r="U1101" i="1"/>
  <c r="T1102" i="1"/>
  <c r="U1102" i="1"/>
  <c r="X1102" i="1" s="1"/>
  <c r="T1103" i="1"/>
  <c r="U1103" i="1"/>
  <c r="W1103" i="1" s="1"/>
  <c r="T1104" i="1"/>
  <c r="U1104" i="1"/>
  <c r="W1104" i="1" s="1"/>
  <c r="T1105" i="1"/>
  <c r="U1105" i="1"/>
  <c r="V1105" i="1" s="1"/>
  <c r="T1106" i="1"/>
  <c r="U1106" i="1"/>
  <c r="V1106" i="1" s="1"/>
  <c r="T1107" i="1"/>
  <c r="U1107" i="1"/>
  <c r="X1107" i="1" s="1"/>
  <c r="T1108" i="1"/>
  <c r="U1108" i="1"/>
  <c r="X1108" i="1" s="1"/>
  <c r="T1109" i="1"/>
  <c r="U1109" i="1"/>
  <c r="T1110" i="1"/>
  <c r="U1110" i="1"/>
  <c r="T1111" i="1"/>
  <c r="U1111" i="1"/>
  <c r="W1111" i="1" s="1"/>
  <c r="T1112" i="1"/>
  <c r="U1112" i="1"/>
  <c r="T1113" i="1"/>
  <c r="U1113" i="1"/>
  <c r="W1113" i="1" s="1"/>
  <c r="X1113" i="1"/>
  <c r="T1114" i="1"/>
  <c r="U1114" i="1"/>
  <c r="V1114" i="1" s="1"/>
  <c r="T1115" i="1"/>
  <c r="U1115" i="1"/>
  <c r="X1115" i="1" s="1"/>
  <c r="T1116" i="1"/>
  <c r="U1116" i="1"/>
  <c r="X1116" i="1" s="1"/>
  <c r="T1117" i="1"/>
  <c r="U1117" i="1"/>
  <c r="X1117" i="1" s="1"/>
  <c r="T1118" i="1"/>
  <c r="U1118" i="1"/>
  <c r="V1118" i="1" s="1"/>
  <c r="T1119" i="1"/>
  <c r="U1119" i="1"/>
  <c r="V1119" i="1" s="1"/>
  <c r="T1120" i="1"/>
  <c r="U1120" i="1"/>
  <c r="T1121" i="1"/>
  <c r="U1121" i="1"/>
  <c r="W1121" i="1" s="1"/>
  <c r="T1122" i="1"/>
  <c r="U1122" i="1"/>
  <c r="V1122" i="1" s="1"/>
  <c r="T1123" i="1"/>
  <c r="U1123" i="1"/>
  <c r="X1123" i="1" s="1"/>
  <c r="T1124" i="1"/>
  <c r="U1124" i="1"/>
  <c r="X1124" i="1" s="1"/>
  <c r="T1125" i="1"/>
  <c r="U1125" i="1"/>
  <c r="X1125" i="1" s="1"/>
  <c r="T1126" i="1"/>
  <c r="U1126" i="1"/>
  <c r="V1126" i="1" s="1"/>
  <c r="T1127" i="1"/>
  <c r="U1127" i="1"/>
  <c r="X1127" i="1" s="1"/>
  <c r="T1128" i="1"/>
  <c r="U1128" i="1"/>
  <c r="V1128" i="1"/>
  <c r="T1129" i="1"/>
  <c r="U1129" i="1"/>
  <c r="W1129" i="1" s="1"/>
  <c r="T1130" i="1"/>
  <c r="U1130" i="1"/>
  <c r="V1130" i="1" s="1"/>
  <c r="T1131" i="1"/>
  <c r="U1131" i="1"/>
  <c r="X1131" i="1" s="1"/>
  <c r="T1132" i="1"/>
  <c r="U1132" i="1"/>
  <c r="X1132" i="1" s="1"/>
  <c r="T1133" i="1"/>
  <c r="U1133" i="1"/>
  <c r="T1134" i="1"/>
  <c r="U1134" i="1"/>
  <c r="V1134" i="1" s="1"/>
  <c r="T1135" i="1"/>
  <c r="U1135" i="1"/>
  <c r="V1135" i="1" s="1"/>
  <c r="T1136" i="1"/>
  <c r="U1136" i="1"/>
  <c r="T1137" i="1"/>
  <c r="U1137" i="1"/>
  <c r="W1137" i="1" s="1"/>
  <c r="T1138" i="1"/>
  <c r="U1138" i="1"/>
  <c r="V1138" i="1" s="1"/>
  <c r="T1139" i="1"/>
  <c r="U1139" i="1"/>
  <c r="X1139" i="1" s="1"/>
  <c r="T1140" i="1"/>
  <c r="U1140" i="1"/>
  <c r="X1140" i="1" s="1"/>
  <c r="T1141" i="1"/>
  <c r="U1141" i="1"/>
  <c r="T1142" i="1"/>
  <c r="U1142" i="1"/>
  <c r="V1142" i="1" s="1"/>
  <c r="T1143" i="1"/>
  <c r="U1143" i="1"/>
  <c r="W1143" i="1" s="1"/>
  <c r="T1144" i="1"/>
  <c r="U1144" i="1"/>
  <c r="V1144" i="1" s="1"/>
  <c r="T1145" i="1"/>
  <c r="U1145" i="1"/>
  <c r="W1145" i="1" s="1"/>
  <c r="T1146" i="1"/>
  <c r="U1146" i="1"/>
  <c r="V1146" i="1" s="1"/>
  <c r="T1147" i="1"/>
  <c r="U1147" i="1"/>
  <c r="X1147" i="1" s="1"/>
  <c r="T1148" i="1"/>
  <c r="U1148" i="1"/>
  <c r="X1148" i="1" s="1"/>
  <c r="T1149" i="1"/>
  <c r="U1149" i="1"/>
  <c r="T1150" i="1"/>
  <c r="U1150" i="1"/>
  <c r="V1150" i="1" s="1"/>
  <c r="T1151" i="1"/>
  <c r="U1151" i="1"/>
  <c r="X1151" i="1" s="1"/>
  <c r="T1152" i="1"/>
  <c r="U1152" i="1"/>
  <c r="V1152" i="1" s="1"/>
  <c r="T1153" i="1"/>
  <c r="U1153" i="1"/>
  <c r="W1153" i="1" s="1"/>
  <c r="T1154" i="1"/>
  <c r="U1154" i="1"/>
  <c r="V1154" i="1" s="1"/>
  <c r="T1155" i="1"/>
  <c r="U1155" i="1"/>
  <c r="W1155" i="1" s="1"/>
  <c r="T1156" i="1"/>
  <c r="U1156" i="1"/>
  <c r="X1156" i="1" s="1"/>
  <c r="T1157" i="1"/>
  <c r="U1157" i="1"/>
  <c r="T1158" i="1"/>
  <c r="U1158" i="1"/>
  <c r="V1158" i="1" s="1"/>
  <c r="T1159" i="1"/>
  <c r="U1159" i="1"/>
  <c r="W1159" i="1" s="1"/>
  <c r="X1159" i="1"/>
  <c r="T1160" i="1"/>
  <c r="U1160" i="1"/>
  <c r="V1160" i="1" s="1"/>
  <c r="T1161" i="1"/>
  <c r="U1161" i="1"/>
  <c r="W1161" i="1" s="1"/>
  <c r="T1162" i="1"/>
  <c r="U1162" i="1"/>
  <c r="V1162" i="1" s="1"/>
  <c r="T1163" i="1"/>
  <c r="U1163" i="1"/>
  <c r="W1163" i="1" s="1"/>
  <c r="T1164" i="1"/>
  <c r="U1164" i="1"/>
  <c r="X1164" i="1" s="1"/>
  <c r="T1165" i="1"/>
  <c r="U1165" i="1"/>
  <c r="T1166" i="1"/>
  <c r="U1166" i="1"/>
  <c r="V1166" i="1" s="1"/>
  <c r="T1167" i="1"/>
  <c r="U1167" i="1"/>
  <c r="W1167" i="1" s="1"/>
  <c r="T1168" i="1"/>
  <c r="U1168" i="1"/>
  <c r="V1168" i="1" s="1"/>
  <c r="T1169" i="1"/>
  <c r="U1169" i="1"/>
  <c r="W1169" i="1" s="1"/>
  <c r="T1170" i="1"/>
  <c r="U1170" i="1"/>
  <c r="V1170" i="1" s="1"/>
  <c r="T1171" i="1"/>
  <c r="U1171" i="1"/>
  <c r="W1171" i="1" s="1"/>
  <c r="T1172" i="1"/>
  <c r="U1172" i="1"/>
  <c r="X1172" i="1" s="1"/>
  <c r="T1173" i="1"/>
  <c r="U1173" i="1"/>
  <c r="T1174" i="1"/>
  <c r="U1174" i="1"/>
  <c r="V1174" i="1" s="1"/>
  <c r="T1175" i="1"/>
  <c r="U1175" i="1"/>
  <c r="W1175" i="1" s="1"/>
  <c r="V1175" i="1"/>
  <c r="T1176" i="1"/>
  <c r="U1176" i="1"/>
  <c r="V1176" i="1" s="1"/>
  <c r="T1177" i="1"/>
  <c r="U1177" i="1"/>
  <c r="W1177" i="1" s="1"/>
  <c r="T1178" i="1"/>
  <c r="U1178" i="1"/>
  <c r="V1178" i="1" s="1"/>
  <c r="T1179" i="1"/>
  <c r="U1179" i="1"/>
  <c r="V1179" i="1" s="1"/>
  <c r="T1180" i="1"/>
  <c r="U1180" i="1"/>
  <c r="X1180" i="1" s="1"/>
  <c r="T1181" i="1"/>
  <c r="U1181" i="1"/>
  <c r="W1181" i="1" s="1"/>
  <c r="T1182" i="1"/>
  <c r="U1182" i="1"/>
  <c r="V1182" i="1" s="1"/>
  <c r="T1183" i="1"/>
  <c r="U1183" i="1"/>
  <c r="X1183" i="1" s="1"/>
  <c r="T1184" i="1"/>
  <c r="U1184" i="1"/>
  <c r="X1184" i="1" s="1"/>
  <c r="T1185" i="1"/>
  <c r="U1185" i="1"/>
  <c r="V1185" i="1" s="1"/>
  <c r="T1186" i="1"/>
  <c r="U1186" i="1"/>
  <c r="V1186" i="1" s="1"/>
  <c r="T1187" i="1"/>
  <c r="U1187" i="1"/>
  <c r="W1187" i="1" s="1"/>
  <c r="T1188" i="1"/>
  <c r="U1188" i="1"/>
  <c r="X1188" i="1" s="1"/>
  <c r="T1189" i="1"/>
  <c r="U1189" i="1"/>
  <c r="W1189" i="1" s="1"/>
  <c r="T1190" i="1"/>
  <c r="U1190" i="1"/>
  <c r="W1190" i="1" s="1"/>
  <c r="T1191" i="1"/>
  <c r="U1191" i="1"/>
  <c r="W1191" i="1" s="1"/>
  <c r="T1192" i="1"/>
  <c r="U1192" i="1"/>
  <c r="X1192" i="1" s="1"/>
  <c r="T1193" i="1"/>
  <c r="U1193" i="1"/>
  <c r="X1193" i="1" s="1"/>
  <c r="T1194" i="1"/>
  <c r="U1194" i="1"/>
  <c r="V1194" i="1" s="1"/>
  <c r="T1195" i="1"/>
  <c r="U1195" i="1"/>
  <c r="X1195" i="1" s="1"/>
  <c r="T1196" i="1"/>
  <c r="U1196" i="1"/>
  <c r="V1196" i="1" s="1"/>
  <c r="T1197" i="1"/>
  <c r="U1197" i="1"/>
  <c r="W1197" i="1" s="1"/>
  <c r="T1198" i="1"/>
  <c r="U1198" i="1"/>
  <c r="X1198" i="1" s="1"/>
  <c r="T1199" i="1"/>
  <c r="U1199" i="1"/>
  <c r="X1199" i="1" s="1"/>
  <c r="T1200" i="1"/>
  <c r="U1200" i="1"/>
  <c r="X1200" i="1" s="1"/>
  <c r="T1201" i="1"/>
  <c r="U1201" i="1"/>
  <c r="X1201" i="1" s="1"/>
  <c r="T1202" i="1"/>
  <c r="U1202" i="1"/>
  <c r="V1202" i="1" s="1"/>
  <c r="T1203" i="1"/>
  <c r="U1203" i="1"/>
  <c r="X1203" i="1" s="1"/>
  <c r="T1204" i="1"/>
  <c r="U1204" i="1"/>
  <c r="V1204" i="1" s="1"/>
  <c r="T1205" i="1"/>
  <c r="U1205" i="1"/>
  <c r="W1205" i="1" s="1"/>
  <c r="T1206" i="1"/>
  <c r="U1206" i="1"/>
  <c r="W1206" i="1" s="1"/>
  <c r="T1207" i="1"/>
  <c r="U1207" i="1"/>
  <c r="X1207" i="1" s="1"/>
  <c r="T1208" i="1"/>
  <c r="U1208" i="1"/>
  <c r="X1208" i="1" s="1"/>
  <c r="T1209" i="1"/>
  <c r="U1209" i="1"/>
  <c r="W1209" i="1" s="1"/>
  <c r="T1210" i="1"/>
  <c r="U1210" i="1"/>
  <c r="V1210" i="1" s="1"/>
  <c r="T1211" i="1"/>
  <c r="U1211" i="1"/>
  <c r="V1211" i="1" s="1"/>
  <c r="T1212" i="1"/>
  <c r="U1212" i="1"/>
  <c r="X1212" i="1" s="1"/>
  <c r="T1213" i="1"/>
  <c r="U1213" i="1"/>
  <c r="W1213" i="1" s="1"/>
  <c r="T1214" i="1"/>
  <c r="U1214" i="1"/>
  <c r="X1214" i="1" s="1"/>
  <c r="T1215" i="1"/>
  <c r="U1215" i="1"/>
  <c r="W1215" i="1" s="1"/>
  <c r="T1216" i="1"/>
  <c r="U1216" i="1"/>
  <c r="X1216" i="1" s="1"/>
  <c r="T1217" i="1"/>
  <c r="U1217" i="1"/>
  <c r="X1217" i="1" s="1"/>
  <c r="T1218" i="1"/>
  <c r="U1218" i="1"/>
  <c r="V1218" i="1" s="1"/>
  <c r="T1219" i="1"/>
  <c r="U1219" i="1"/>
  <c r="X1219" i="1" s="1"/>
  <c r="T1220" i="1"/>
  <c r="U1220" i="1"/>
  <c r="X1220" i="1" s="1"/>
  <c r="T1221" i="1"/>
  <c r="U1221" i="1"/>
  <c r="W1221" i="1" s="1"/>
  <c r="T1222" i="1"/>
  <c r="U1222" i="1"/>
  <c r="W1222" i="1" s="1"/>
  <c r="T1223" i="1"/>
  <c r="U1223" i="1"/>
  <c r="W1223" i="1" s="1"/>
  <c r="T1224" i="1"/>
  <c r="U1224" i="1"/>
  <c r="X1224" i="1" s="1"/>
  <c r="T1225" i="1"/>
  <c r="U1225" i="1"/>
  <c r="W1225" i="1" s="1"/>
  <c r="T1226" i="1"/>
  <c r="U1226" i="1"/>
  <c r="V1226" i="1" s="1"/>
  <c r="T1227" i="1"/>
  <c r="U1227" i="1"/>
  <c r="X1227" i="1" s="1"/>
  <c r="T1228" i="1"/>
  <c r="U1228" i="1"/>
  <c r="W1228" i="1" s="1"/>
  <c r="T1229" i="1"/>
  <c r="U1229" i="1"/>
  <c r="W1229" i="1" s="1"/>
  <c r="T1230" i="1"/>
  <c r="U1230" i="1"/>
  <c r="V1230" i="1" s="1"/>
  <c r="T1231" i="1"/>
  <c r="U1231" i="1"/>
  <c r="X1231" i="1" s="1"/>
  <c r="T1232" i="1"/>
  <c r="U1232" i="1"/>
  <c r="X1232" i="1" s="1"/>
  <c r="T1233" i="1"/>
  <c r="U1233" i="1"/>
  <c r="X1233" i="1" s="1"/>
  <c r="T1234" i="1"/>
  <c r="U1234" i="1"/>
  <c r="V1234" i="1" s="1"/>
  <c r="T1235" i="1"/>
  <c r="U1235" i="1"/>
  <c r="W1235" i="1" s="1"/>
  <c r="T1236" i="1"/>
  <c r="U1236" i="1"/>
  <c r="X1236" i="1" s="1"/>
  <c r="T1237" i="1"/>
  <c r="U1237" i="1"/>
  <c r="W1237" i="1" s="1"/>
  <c r="T1238" i="1"/>
  <c r="U1238" i="1"/>
  <c r="X1238" i="1" s="1"/>
  <c r="T1239" i="1"/>
  <c r="U1239" i="1"/>
  <c r="W1239" i="1" s="1"/>
  <c r="T1240" i="1"/>
  <c r="U1240" i="1"/>
  <c r="X1240" i="1" s="1"/>
  <c r="T1241" i="1"/>
  <c r="U1241" i="1"/>
  <c r="X1241" i="1" s="1"/>
  <c r="T1242" i="1"/>
  <c r="U1242" i="1"/>
  <c r="V1242" i="1" s="1"/>
  <c r="T1243" i="1"/>
  <c r="U1243" i="1"/>
  <c r="X1243" i="1" s="1"/>
  <c r="T1244" i="1"/>
  <c r="U1244" i="1"/>
  <c r="W1244" i="1" s="1"/>
  <c r="T1245" i="1"/>
  <c r="U1245" i="1"/>
  <c r="W1245" i="1" s="1"/>
  <c r="T1246" i="1"/>
  <c r="U1246" i="1"/>
  <c r="X1246" i="1" s="1"/>
  <c r="T1247" i="1"/>
  <c r="U1247" i="1"/>
  <c r="V1247" i="1" s="1"/>
  <c r="T1248" i="1"/>
  <c r="U1248" i="1"/>
  <c r="X1248" i="1" s="1"/>
  <c r="T1249" i="1"/>
  <c r="U1249" i="1"/>
  <c r="V1249" i="1" s="1"/>
  <c r="T1250" i="1"/>
  <c r="U1250" i="1"/>
  <c r="V1250" i="1" s="1"/>
  <c r="T1251" i="1"/>
  <c r="U1251" i="1"/>
  <c r="W1251" i="1" s="1"/>
  <c r="T1252" i="1"/>
  <c r="U1252" i="1"/>
  <c r="X1252" i="1" s="1"/>
  <c r="T1253" i="1"/>
  <c r="U1253" i="1"/>
  <c r="W1253" i="1" s="1"/>
  <c r="T1254" i="1"/>
  <c r="U1254" i="1"/>
  <c r="W1254" i="1" s="1"/>
  <c r="T1255" i="1"/>
  <c r="U1255" i="1"/>
  <c r="W1255" i="1" s="1"/>
  <c r="T1256" i="1"/>
  <c r="U1256" i="1"/>
  <c r="X1256" i="1" s="1"/>
  <c r="T1257" i="1"/>
  <c r="U1257" i="1"/>
  <c r="X1257" i="1" s="1"/>
  <c r="T1258" i="1"/>
  <c r="U1258" i="1"/>
  <c r="V1258" i="1" s="1"/>
  <c r="T1259" i="1"/>
  <c r="U1259" i="1"/>
  <c r="X1259" i="1" s="1"/>
  <c r="T1260" i="1"/>
  <c r="U1260" i="1"/>
  <c r="W1260" i="1" s="1"/>
  <c r="T1261" i="1"/>
  <c r="U1261" i="1"/>
  <c r="W1261" i="1" s="1"/>
  <c r="T1262" i="1"/>
  <c r="U1262" i="1"/>
  <c r="X1262" i="1" s="1"/>
  <c r="T1263" i="1"/>
  <c r="U1263" i="1"/>
  <c r="W1263" i="1" s="1"/>
  <c r="T1264" i="1"/>
  <c r="U1264" i="1"/>
  <c r="X1264" i="1" s="1"/>
  <c r="T1265" i="1"/>
  <c r="U1265" i="1"/>
  <c r="X1265" i="1" s="1"/>
  <c r="T1266" i="1"/>
  <c r="U1266" i="1"/>
  <c r="V1266" i="1" s="1"/>
  <c r="T1267" i="1"/>
  <c r="U1267" i="1"/>
  <c r="X1267" i="1" s="1"/>
  <c r="T1268" i="1"/>
  <c r="U1268" i="1"/>
  <c r="V1268" i="1" s="1"/>
  <c r="T1269" i="1"/>
  <c r="U1269" i="1"/>
  <c r="W1269" i="1" s="1"/>
  <c r="T1270" i="1"/>
  <c r="U1270" i="1"/>
  <c r="W1270" i="1" s="1"/>
  <c r="T1271" i="1"/>
  <c r="U1271" i="1"/>
  <c r="W1271" i="1" s="1"/>
  <c r="T1272" i="1"/>
  <c r="U1272" i="1"/>
  <c r="X1272" i="1" s="1"/>
  <c r="T1273" i="1"/>
  <c r="U1273" i="1"/>
  <c r="W1273" i="1" s="1"/>
  <c r="T1274" i="1"/>
  <c r="U1274" i="1"/>
  <c r="V1274" i="1" s="1"/>
  <c r="T1275" i="1"/>
  <c r="U1275" i="1"/>
  <c r="V1275" i="1" s="1"/>
  <c r="T1276" i="1"/>
  <c r="U1276" i="1"/>
  <c r="X1276" i="1" s="1"/>
  <c r="T1277" i="1"/>
  <c r="U1277" i="1"/>
  <c r="W1277" i="1" s="1"/>
  <c r="T1278" i="1"/>
  <c r="U1278" i="1"/>
  <c r="X1278" i="1" s="1"/>
  <c r="T1279" i="1"/>
  <c r="U1279" i="1"/>
  <c r="X1279" i="1" s="1"/>
  <c r="V1279" i="1"/>
  <c r="T1280" i="1"/>
  <c r="U1280" i="1"/>
  <c r="X1280" i="1" s="1"/>
  <c r="T1281" i="1"/>
  <c r="U1281" i="1"/>
  <c r="X1281" i="1" s="1"/>
  <c r="T1282" i="1"/>
  <c r="U1282" i="1"/>
  <c r="V1282" i="1" s="1"/>
  <c r="T1283" i="1"/>
  <c r="U1283" i="1"/>
  <c r="X1283" i="1" s="1"/>
  <c r="T1284" i="1"/>
  <c r="U1284" i="1"/>
  <c r="X1284" i="1" s="1"/>
  <c r="T1285" i="1"/>
  <c r="U1285" i="1"/>
  <c r="W1285" i="1" s="1"/>
  <c r="T1286" i="1"/>
  <c r="U1286" i="1"/>
  <c r="X1286" i="1" s="1"/>
  <c r="T1287" i="1"/>
  <c r="U1287" i="1"/>
  <c r="W1287" i="1" s="1"/>
  <c r="T1288" i="1"/>
  <c r="U1288" i="1"/>
  <c r="X1288" i="1" s="1"/>
  <c r="T1289" i="1"/>
  <c r="U1289" i="1"/>
  <c r="W1289" i="1" s="1"/>
  <c r="T1290" i="1"/>
  <c r="U1290" i="1"/>
  <c r="V1290" i="1" s="1"/>
  <c r="T1291" i="1"/>
  <c r="U1291" i="1"/>
  <c r="X1291" i="1" s="1"/>
  <c r="T1292" i="1"/>
  <c r="U1292" i="1"/>
  <c r="W1292" i="1" s="1"/>
  <c r="T1293" i="1"/>
  <c r="U1293" i="1"/>
  <c r="W1293" i="1" s="1"/>
  <c r="T1294" i="1"/>
  <c r="U1294" i="1"/>
  <c r="V1294" i="1" s="1"/>
  <c r="T1295" i="1"/>
  <c r="U1295" i="1"/>
  <c r="V1295" i="1" s="1"/>
  <c r="T1296" i="1"/>
  <c r="U1296" i="1"/>
  <c r="X1296" i="1" s="1"/>
  <c r="T1297" i="1"/>
  <c r="U1297" i="1"/>
  <c r="X1297" i="1" s="1"/>
  <c r="T1298" i="1"/>
  <c r="U1298" i="1"/>
  <c r="V1298" i="1" s="1"/>
  <c r="T1299" i="1"/>
  <c r="U1299" i="1"/>
  <c r="W1299" i="1" s="1"/>
  <c r="T1300" i="1"/>
  <c r="U1300" i="1"/>
  <c r="X1300" i="1" s="1"/>
  <c r="T1301" i="1"/>
  <c r="U1301" i="1"/>
  <c r="W1301" i="1" s="1"/>
  <c r="T1302" i="1"/>
  <c r="U1302" i="1"/>
  <c r="X1302" i="1" s="1"/>
  <c r="T1303" i="1"/>
  <c r="U1303" i="1"/>
  <c r="W1303" i="1" s="1"/>
  <c r="T1304" i="1"/>
  <c r="U1304" i="1"/>
  <c r="X1304" i="1" s="1"/>
  <c r="T1305" i="1"/>
  <c r="U1305" i="1"/>
  <c r="V1305" i="1" s="1"/>
  <c r="T1306" i="1"/>
  <c r="U1306" i="1"/>
  <c r="V1306" i="1" s="1"/>
  <c r="T1307" i="1"/>
  <c r="U1307" i="1"/>
  <c r="X1307" i="1" s="1"/>
  <c r="T1308" i="1"/>
  <c r="U1308" i="1"/>
  <c r="W1308" i="1" s="1"/>
  <c r="T1309" i="1"/>
  <c r="U1309" i="1"/>
  <c r="W1309" i="1" s="1"/>
  <c r="T1310" i="1"/>
  <c r="U1310" i="1"/>
  <c r="X1310" i="1" s="1"/>
  <c r="T1311" i="1"/>
  <c r="U1311" i="1"/>
  <c r="W1311" i="1" s="1"/>
  <c r="T1312" i="1"/>
  <c r="U1312" i="1"/>
  <c r="X1312" i="1" s="1"/>
  <c r="T1313" i="1"/>
  <c r="U1313" i="1"/>
  <c r="V1313" i="1" s="1"/>
  <c r="T1314" i="1"/>
  <c r="U1314" i="1"/>
  <c r="V1314" i="1" s="1"/>
  <c r="T1315" i="1"/>
  <c r="U1315" i="1"/>
  <c r="W1315" i="1" s="1"/>
  <c r="T1316" i="1"/>
  <c r="U1316" i="1"/>
  <c r="X1316" i="1" s="1"/>
  <c r="T1317" i="1"/>
  <c r="U1317" i="1"/>
  <c r="W1317" i="1" s="1"/>
  <c r="T1318" i="1"/>
  <c r="U1318" i="1"/>
  <c r="W1318" i="1" s="1"/>
  <c r="T1319" i="1"/>
  <c r="U1319" i="1"/>
  <c r="X1319" i="1" s="1"/>
  <c r="T1320" i="1"/>
  <c r="U1320" i="1"/>
  <c r="X1320" i="1" s="1"/>
  <c r="T1321" i="1"/>
  <c r="U1321" i="1"/>
  <c r="X1321" i="1" s="1"/>
  <c r="T1322" i="1"/>
  <c r="U1322" i="1"/>
  <c r="V1322" i="1" s="1"/>
  <c r="T1323" i="1"/>
  <c r="U1323" i="1"/>
  <c r="X1323" i="1" s="1"/>
  <c r="T1324" i="1"/>
  <c r="U1324" i="1"/>
  <c r="V1324" i="1" s="1"/>
  <c r="T1325" i="1"/>
  <c r="U1325" i="1"/>
  <c r="W1325" i="1" s="1"/>
  <c r="T1326" i="1"/>
  <c r="U1326" i="1"/>
  <c r="X1326" i="1" s="1"/>
  <c r="T1327" i="1"/>
  <c r="U1327" i="1"/>
  <c r="W1327" i="1" s="1"/>
  <c r="T1328" i="1"/>
  <c r="U1328" i="1"/>
  <c r="X1328" i="1" s="1"/>
  <c r="T1329" i="1"/>
  <c r="U1329" i="1"/>
  <c r="X1329" i="1" s="1"/>
  <c r="T1330" i="1"/>
  <c r="U1330" i="1"/>
  <c r="V1330" i="1" s="1"/>
  <c r="T1331" i="1"/>
  <c r="U1331" i="1"/>
  <c r="W1331" i="1" s="1"/>
  <c r="T1332" i="1"/>
  <c r="U1332" i="1"/>
  <c r="V1332" i="1" s="1"/>
  <c r="T1333" i="1"/>
  <c r="U1333" i="1"/>
  <c r="W1333" i="1" s="1"/>
  <c r="T1334" i="1"/>
  <c r="U1334" i="1"/>
  <c r="W1334" i="1" s="1"/>
  <c r="T1335" i="1"/>
  <c r="U1335" i="1"/>
  <c r="X1335" i="1" s="1"/>
  <c r="T1336" i="1"/>
  <c r="U1336" i="1"/>
  <c r="X1336" i="1" s="1"/>
  <c r="T1337" i="1"/>
  <c r="U1337" i="1"/>
  <c r="W1337" i="1" s="1"/>
  <c r="T1338" i="1"/>
  <c r="U1338" i="1"/>
  <c r="V1338" i="1" s="1"/>
  <c r="T1339" i="1"/>
  <c r="U1339" i="1"/>
  <c r="V1339" i="1" s="1"/>
  <c r="T1340" i="1"/>
  <c r="U1340" i="1"/>
  <c r="X1340" i="1" s="1"/>
  <c r="T1341" i="1"/>
  <c r="U1341" i="1"/>
  <c r="W1341" i="1" s="1"/>
  <c r="T1342" i="1"/>
  <c r="U1342" i="1"/>
  <c r="X1342" i="1" s="1"/>
  <c r="T1343" i="1"/>
  <c r="U1343" i="1"/>
  <c r="W1343" i="1" s="1"/>
  <c r="T1344" i="1"/>
  <c r="U1344" i="1"/>
  <c r="X1344" i="1" s="1"/>
  <c r="T1345" i="1"/>
  <c r="U1345" i="1"/>
  <c r="X1345" i="1" s="1"/>
  <c r="T1346" i="1"/>
  <c r="U1346" i="1"/>
  <c r="V1346" i="1" s="1"/>
  <c r="T1347" i="1"/>
  <c r="U1347" i="1"/>
  <c r="X1347" i="1" s="1"/>
  <c r="T1348" i="1"/>
  <c r="U1348" i="1"/>
  <c r="X1348" i="1" s="1"/>
  <c r="T1349" i="1"/>
  <c r="U1349" i="1"/>
  <c r="W1349" i="1" s="1"/>
  <c r="T1350" i="1"/>
  <c r="U1350" i="1"/>
  <c r="V1350" i="1" s="1"/>
  <c r="T1351" i="1"/>
  <c r="U1351" i="1"/>
  <c r="X1351" i="1" s="1"/>
  <c r="T1352" i="1"/>
  <c r="U1352" i="1"/>
  <c r="X1352" i="1" s="1"/>
  <c r="T1353" i="1"/>
  <c r="U1353" i="1"/>
  <c r="W1353" i="1" s="1"/>
  <c r="V1353" i="1"/>
  <c r="T1354" i="1"/>
  <c r="U1354" i="1"/>
  <c r="V1354" i="1" s="1"/>
  <c r="T1355" i="1"/>
  <c r="U1355" i="1"/>
  <c r="X1355" i="1" s="1"/>
  <c r="T1356" i="1"/>
  <c r="U1356" i="1"/>
  <c r="W1356" i="1" s="1"/>
  <c r="T1357" i="1"/>
  <c r="U1357" i="1"/>
  <c r="W1357" i="1" s="1"/>
  <c r="T1358" i="1"/>
  <c r="U1358" i="1"/>
  <c r="V1358" i="1" s="1"/>
  <c r="T1359" i="1"/>
  <c r="U1359" i="1"/>
  <c r="X1359" i="1" s="1"/>
  <c r="T1360" i="1"/>
  <c r="U1360" i="1"/>
  <c r="X1360" i="1" s="1"/>
  <c r="T1361" i="1"/>
  <c r="U1361" i="1"/>
  <c r="X1361" i="1" s="1"/>
  <c r="T1362" i="1"/>
  <c r="U1362" i="1"/>
  <c r="V1362" i="1" s="1"/>
  <c r="T1363" i="1"/>
  <c r="U1363" i="1"/>
  <c r="W1363" i="1" s="1"/>
  <c r="T1364" i="1"/>
  <c r="U1364" i="1"/>
  <c r="X1364" i="1" s="1"/>
  <c r="T1365" i="1"/>
  <c r="U1365" i="1"/>
  <c r="W1365" i="1" s="1"/>
  <c r="T1366" i="1"/>
  <c r="U1366" i="1"/>
  <c r="X1366" i="1" s="1"/>
  <c r="T1367" i="1"/>
  <c r="U1367" i="1"/>
  <c r="W1367" i="1" s="1"/>
  <c r="T1368" i="1"/>
  <c r="U1368" i="1"/>
  <c r="X1368" i="1" s="1"/>
  <c r="T1369" i="1"/>
  <c r="U1369" i="1"/>
  <c r="X1369" i="1" s="1"/>
  <c r="T1370" i="1"/>
  <c r="U1370" i="1"/>
  <c r="V1370" i="1" s="1"/>
  <c r="T1371" i="1"/>
  <c r="U1371" i="1"/>
  <c r="X1371" i="1" s="1"/>
  <c r="T1372" i="1"/>
  <c r="U1372" i="1"/>
  <c r="W1372" i="1" s="1"/>
  <c r="T1373" i="1"/>
  <c r="U1373" i="1"/>
  <c r="W1373" i="1" s="1"/>
  <c r="T1374" i="1"/>
  <c r="U1374" i="1"/>
  <c r="X1374" i="1" s="1"/>
  <c r="T1375" i="1"/>
  <c r="U1375" i="1"/>
  <c r="X1375" i="1" s="1"/>
  <c r="T1376" i="1"/>
  <c r="U1376" i="1"/>
  <c r="X1376" i="1" s="1"/>
  <c r="T1377" i="1"/>
  <c r="U1377" i="1"/>
  <c r="X1377" i="1" s="1"/>
  <c r="T1378" i="1"/>
  <c r="U1378" i="1"/>
  <c r="V1378" i="1" s="1"/>
  <c r="T1379" i="1"/>
  <c r="U1379" i="1"/>
  <c r="W1379" i="1" s="1"/>
  <c r="T1380" i="1"/>
  <c r="U1380" i="1"/>
  <c r="X1380" i="1" s="1"/>
  <c r="T1381" i="1"/>
  <c r="U1381" i="1"/>
  <c r="W1381" i="1" s="1"/>
  <c r="T1382" i="1"/>
  <c r="U1382" i="1"/>
  <c r="W1382" i="1" s="1"/>
  <c r="T1383" i="1"/>
  <c r="U1383" i="1"/>
  <c r="X1383" i="1" s="1"/>
  <c r="T1384" i="1"/>
  <c r="U1384" i="1"/>
  <c r="X1384" i="1" s="1"/>
  <c r="T1385" i="1"/>
  <c r="U1385" i="1"/>
  <c r="X1385" i="1" s="1"/>
  <c r="T1386" i="1"/>
  <c r="U1386" i="1"/>
  <c r="V1386" i="1" s="1"/>
  <c r="T1387" i="1"/>
  <c r="U1387" i="1"/>
  <c r="X1387" i="1" s="1"/>
  <c r="T1388" i="1"/>
  <c r="U1388" i="1"/>
  <c r="W1388" i="1" s="1"/>
  <c r="T1389" i="1"/>
  <c r="U1389" i="1"/>
  <c r="W1389" i="1" s="1"/>
  <c r="T1390" i="1"/>
  <c r="U1390" i="1"/>
  <c r="X1390" i="1" s="1"/>
  <c r="T1391" i="1"/>
  <c r="U1391" i="1"/>
  <c r="V1391" i="1" s="1"/>
  <c r="T1392" i="1"/>
  <c r="U1392" i="1"/>
  <c r="X1392" i="1" s="1"/>
  <c r="T1393" i="1"/>
  <c r="U1393" i="1"/>
  <c r="X1393" i="1" s="1"/>
  <c r="T1394" i="1"/>
  <c r="U1394" i="1"/>
  <c r="V1394" i="1" s="1"/>
  <c r="T1395" i="1"/>
  <c r="U1395" i="1"/>
  <c r="W1395" i="1" s="1"/>
  <c r="T1396" i="1"/>
  <c r="U1396" i="1"/>
  <c r="X1396" i="1" s="1"/>
  <c r="T1397" i="1"/>
  <c r="U1397" i="1"/>
  <c r="W1397" i="1" s="1"/>
  <c r="T1398" i="1"/>
  <c r="U1398" i="1"/>
  <c r="W1398" i="1" s="1"/>
  <c r="T1399" i="1"/>
  <c r="U1399" i="1"/>
  <c r="W1399" i="1" s="1"/>
  <c r="T1400" i="1"/>
  <c r="U1400" i="1"/>
  <c r="X1400" i="1" s="1"/>
  <c r="T1401" i="1"/>
  <c r="U1401" i="1"/>
  <c r="W1401" i="1" s="1"/>
  <c r="T1402" i="1"/>
  <c r="U1402" i="1"/>
  <c r="V1402" i="1" s="1"/>
  <c r="T1403" i="1"/>
  <c r="U1403" i="1"/>
  <c r="X1403" i="1" s="1"/>
  <c r="T1404" i="1"/>
  <c r="U1404" i="1"/>
  <c r="X1404" i="1" s="1"/>
  <c r="T1405" i="1"/>
  <c r="U1405" i="1"/>
  <c r="W1405" i="1" s="1"/>
  <c r="T1406" i="1"/>
  <c r="U1406" i="1"/>
  <c r="X1406" i="1" s="1"/>
  <c r="T1407" i="1"/>
  <c r="U1407" i="1"/>
  <c r="X1407" i="1" s="1"/>
  <c r="V1407" i="1"/>
  <c r="T1408" i="1"/>
  <c r="U1408" i="1"/>
  <c r="X1408" i="1" s="1"/>
  <c r="T1409" i="1"/>
  <c r="U1409" i="1"/>
  <c r="X1409" i="1" s="1"/>
  <c r="T1410" i="1"/>
  <c r="U1410" i="1"/>
  <c r="V1410" i="1" s="1"/>
  <c r="T1411" i="1"/>
  <c r="U1411" i="1"/>
  <c r="X1411" i="1" s="1"/>
  <c r="T1412" i="1"/>
  <c r="U1412" i="1"/>
  <c r="X1412" i="1" s="1"/>
  <c r="T1413" i="1"/>
  <c r="U1413" i="1"/>
  <c r="W1413" i="1" s="1"/>
  <c r="T1414" i="1"/>
  <c r="U1414" i="1"/>
  <c r="W1414" i="1" s="1"/>
  <c r="T1415" i="1"/>
  <c r="U1415" i="1"/>
  <c r="W1415" i="1" s="1"/>
  <c r="T1416" i="1"/>
  <c r="U1416" i="1"/>
  <c r="X1416" i="1" s="1"/>
  <c r="T1417" i="1"/>
  <c r="U1417" i="1"/>
  <c r="W1417" i="1" s="1"/>
  <c r="T1418" i="1"/>
  <c r="U1418" i="1"/>
  <c r="V1418" i="1" s="1"/>
  <c r="T1419" i="1"/>
  <c r="U1419" i="1"/>
  <c r="X1419" i="1" s="1"/>
  <c r="T1420" i="1"/>
  <c r="U1420" i="1"/>
  <c r="W1420" i="1" s="1"/>
  <c r="T1421" i="1"/>
  <c r="U1421" i="1"/>
  <c r="T1422" i="1"/>
  <c r="U1422" i="1"/>
  <c r="X1422" i="1" s="1"/>
  <c r="V1422" i="1"/>
  <c r="T1423" i="1"/>
  <c r="U1423" i="1"/>
  <c r="X1423" i="1" s="1"/>
  <c r="V1423" i="1"/>
  <c r="T1424" i="1"/>
  <c r="U1424" i="1"/>
  <c r="X1424" i="1" s="1"/>
  <c r="T1425" i="1"/>
  <c r="U1425" i="1"/>
  <c r="X1425" i="1" s="1"/>
  <c r="T1426" i="1"/>
  <c r="U1426" i="1"/>
  <c r="V1426" i="1" s="1"/>
  <c r="T1427" i="1"/>
  <c r="U1427" i="1"/>
  <c r="W1427" i="1" s="1"/>
  <c r="T1428" i="1"/>
  <c r="U1428" i="1"/>
  <c r="T1429" i="1"/>
  <c r="U1429" i="1"/>
  <c r="W1429" i="1" s="1"/>
  <c r="V1429" i="1"/>
  <c r="T1430" i="1"/>
  <c r="U1430" i="1"/>
  <c r="X1430" i="1" s="1"/>
  <c r="T1431" i="1"/>
  <c r="U1431" i="1"/>
  <c r="W1431" i="1" s="1"/>
  <c r="T1432" i="1"/>
  <c r="U1432" i="1"/>
  <c r="X1432" i="1" s="1"/>
  <c r="T1433" i="1"/>
  <c r="U1433" i="1"/>
  <c r="X1433" i="1" s="1"/>
  <c r="T1434" i="1"/>
  <c r="U1434" i="1"/>
  <c r="V1434" i="1" s="1"/>
  <c r="T1435" i="1"/>
  <c r="U1435" i="1"/>
  <c r="T1436" i="1"/>
  <c r="U1436" i="1"/>
  <c r="W1436" i="1" s="1"/>
  <c r="X1436" i="1"/>
  <c r="T1437" i="1"/>
  <c r="U1437" i="1"/>
  <c r="W1437" i="1" s="1"/>
  <c r="T1438" i="1"/>
  <c r="U1438" i="1"/>
  <c r="T1439" i="1"/>
  <c r="U1439" i="1"/>
  <c r="X1439" i="1" s="1"/>
  <c r="T1440" i="1"/>
  <c r="U1440" i="1"/>
  <c r="T1441" i="1"/>
  <c r="U1441" i="1"/>
  <c r="X1441" i="1" s="1"/>
  <c r="T1442" i="1"/>
  <c r="U1442" i="1"/>
  <c r="V1442" i="1" s="1"/>
  <c r="T1443" i="1"/>
  <c r="U1443" i="1"/>
  <c r="W1443" i="1" s="1"/>
  <c r="T1444" i="1"/>
  <c r="U1444" i="1"/>
  <c r="X1444" i="1" s="1"/>
  <c r="T1445" i="1"/>
  <c r="U1445" i="1"/>
  <c r="W1445" i="1" s="1"/>
  <c r="T1446" i="1"/>
  <c r="U1446" i="1"/>
  <c r="W1446" i="1" s="1"/>
  <c r="T1447" i="1"/>
  <c r="U1447" i="1"/>
  <c r="W1447" i="1" s="1"/>
  <c r="T1448" i="1"/>
  <c r="U1448" i="1"/>
  <c r="X1448" i="1" s="1"/>
  <c r="T1449" i="1"/>
  <c r="U1449" i="1"/>
  <c r="X1449" i="1" s="1"/>
  <c r="V1449" i="1"/>
  <c r="T1450" i="1"/>
  <c r="U1450" i="1"/>
  <c r="X1450" i="1" s="1"/>
  <c r="T1451" i="1"/>
  <c r="U1451" i="1"/>
  <c r="X1451" i="1" s="1"/>
  <c r="T1452" i="1"/>
  <c r="U1452" i="1"/>
  <c r="W1452" i="1" s="1"/>
  <c r="T1453" i="1"/>
  <c r="U1453" i="1"/>
  <c r="W1453" i="1" s="1"/>
  <c r="T1454" i="1"/>
  <c r="U1454" i="1"/>
  <c r="T1455" i="1"/>
  <c r="U1455" i="1"/>
  <c r="W1455" i="1" s="1"/>
  <c r="T1456" i="1"/>
  <c r="U1456" i="1"/>
  <c r="X1456" i="1" s="1"/>
  <c r="T1457" i="1"/>
  <c r="U1457" i="1"/>
  <c r="T1458" i="1"/>
  <c r="U1458" i="1"/>
  <c r="V1458" i="1" s="1"/>
  <c r="T1459" i="1"/>
  <c r="U1459" i="1"/>
  <c r="W1459" i="1" s="1"/>
  <c r="T1460" i="1"/>
  <c r="U1460" i="1"/>
  <c r="X1460" i="1" s="1"/>
  <c r="T1461" i="1"/>
  <c r="U1461" i="1"/>
  <c r="W1461" i="1" s="1"/>
  <c r="T1462" i="1"/>
  <c r="U1462" i="1"/>
  <c r="W1462" i="1" s="1"/>
  <c r="T1463" i="1"/>
  <c r="U1463" i="1"/>
  <c r="W1463" i="1" s="1"/>
  <c r="T1464" i="1"/>
  <c r="U1464" i="1"/>
  <c r="X1464" i="1" s="1"/>
  <c r="T1465" i="1"/>
  <c r="U1465" i="1"/>
  <c r="W1465" i="1" s="1"/>
  <c r="T1466" i="1"/>
  <c r="U1466" i="1"/>
  <c r="T1467" i="1"/>
  <c r="U1467" i="1"/>
  <c r="X1467" i="1" s="1"/>
  <c r="T1468" i="1"/>
  <c r="U1468" i="1"/>
  <c r="X1468" i="1" s="1"/>
  <c r="T1469" i="1"/>
  <c r="U1469" i="1"/>
  <c r="X1469" i="1" s="1"/>
  <c r="T1470" i="1"/>
  <c r="U1470" i="1"/>
  <c r="X1470" i="1" s="1"/>
  <c r="T1471" i="1"/>
  <c r="U1471" i="1"/>
  <c r="W1471" i="1" s="1"/>
  <c r="T1472" i="1"/>
  <c r="U1472" i="1"/>
  <c r="X1472" i="1" s="1"/>
  <c r="W1472" i="1"/>
  <c r="T1473" i="1"/>
  <c r="U1473" i="1"/>
  <c r="T1474" i="1"/>
  <c r="U1474" i="1"/>
  <c r="V1474" i="1" s="1"/>
  <c r="T1475" i="1"/>
  <c r="U1475" i="1"/>
  <c r="X1475" i="1" s="1"/>
  <c r="T1476" i="1"/>
  <c r="U1476" i="1"/>
  <c r="T1477" i="1"/>
  <c r="U1477" i="1"/>
  <c r="W1477" i="1" s="1"/>
  <c r="T1478" i="1"/>
  <c r="U1478" i="1"/>
  <c r="X1478" i="1" s="1"/>
  <c r="T1479" i="1"/>
  <c r="U1479" i="1"/>
  <c r="X1479" i="1" s="1"/>
  <c r="W1479" i="1"/>
  <c r="T1480" i="1"/>
  <c r="U1480" i="1"/>
  <c r="X1480" i="1" s="1"/>
  <c r="T1481" i="1"/>
  <c r="U1481" i="1"/>
  <c r="W1481" i="1" s="1"/>
  <c r="T1482" i="1"/>
  <c r="U1482" i="1"/>
  <c r="V1482" i="1" s="1"/>
  <c r="T1483" i="1"/>
  <c r="U1483" i="1"/>
  <c r="T1484" i="1"/>
  <c r="U1484" i="1"/>
  <c r="W1484" i="1" s="1"/>
  <c r="T1485" i="1"/>
  <c r="U1485" i="1"/>
  <c r="T1486" i="1"/>
  <c r="U1486" i="1"/>
  <c r="X1486" i="1" s="1"/>
  <c r="T1487" i="1"/>
  <c r="U1487" i="1"/>
  <c r="W1487" i="1" s="1"/>
  <c r="X1487" i="1"/>
  <c r="T1488" i="1"/>
  <c r="U1488" i="1"/>
  <c r="W1488" i="1" s="1"/>
  <c r="T1489" i="1"/>
  <c r="U1489" i="1"/>
  <c r="X1489" i="1" s="1"/>
  <c r="T1490" i="1"/>
  <c r="U1490" i="1"/>
  <c r="V1490" i="1" s="1"/>
  <c r="W1490" i="1"/>
  <c r="T1491" i="1"/>
  <c r="U1491" i="1"/>
  <c r="W1491" i="1" s="1"/>
  <c r="T1492" i="1"/>
  <c r="U1492" i="1"/>
  <c r="T1493" i="1"/>
  <c r="U1493" i="1"/>
  <c r="W1493" i="1" s="1"/>
  <c r="T1494" i="1"/>
  <c r="U1494" i="1"/>
  <c r="X1494" i="1" s="1"/>
  <c r="T1495" i="1"/>
  <c r="U1495" i="1"/>
  <c r="X1495" i="1" s="1"/>
  <c r="T1496" i="1"/>
  <c r="U1496" i="1"/>
  <c r="X1496" i="1" s="1"/>
  <c r="T1497" i="1"/>
  <c r="U1497" i="1"/>
  <c r="W1497" i="1" s="1"/>
  <c r="T1498" i="1"/>
  <c r="U1498" i="1"/>
  <c r="V1498" i="1" s="1"/>
  <c r="T1499" i="1"/>
  <c r="U1499" i="1"/>
  <c r="T1500" i="1"/>
  <c r="U1500" i="1"/>
  <c r="W1500" i="1" s="1"/>
  <c r="T1501" i="1"/>
  <c r="U1501" i="1"/>
  <c r="W1501" i="1" s="1"/>
  <c r="T1502" i="1"/>
  <c r="U1502" i="1"/>
  <c r="W1502" i="1" s="1"/>
  <c r="T1503" i="1"/>
  <c r="U1503" i="1"/>
  <c r="V1503" i="1" s="1"/>
  <c r="T1504" i="1"/>
  <c r="U1504" i="1"/>
  <c r="T1505" i="1"/>
  <c r="U1505" i="1"/>
  <c r="X1505" i="1" s="1"/>
  <c r="T1506" i="1"/>
  <c r="U1506" i="1"/>
  <c r="V1506" i="1" s="1"/>
  <c r="T1507" i="1"/>
  <c r="U1507" i="1"/>
  <c r="W1507" i="1" s="1"/>
  <c r="T1508" i="1"/>
  <c r="U1508" i="1"/>
  <c r="X1508" i="1" s="1"/>
  <c r="T1509" i="1"/>
  <c r="U1509" i="1"/>
  <c r="W1509" i="1" s="1"/>
  <c r="T1510" i="1"/>
  <c r="U1510" i="1"/>
  <c r="W1510" i="1" s="1"/>
  <c r="T1511" i="1"/>
  <c r="U1511" i="1"/>
  <c r="X1511" i="1" s="1"/>
  <c r="T1512" i="1"/>
  <c r="U1512" i="1"/>
  <c r="X1512" i="1" s="1"/>
  <c r="T1513" i="1"/>
  <c r="U1513" i="1"/>
  <c r="X1513" i="1" s="1"/>
  <c r="T1514" i="1"/>
  <c r="U1514" i="1"/>
  <c r="X1514" i="1" s="1"/>
  <c r="T1515" i="1"/>
  <c r="U1515" i="1"/>
  <c r="X1515" i="1" s="1"/>
  <c r="T1516" i="1"/>
  <c r="U1516" i="1"/>
  <c r="X1516" i="1" s="1"/>
  <c r="T1517" i="1"/>
  <c r="U1517" i="1"/>
  <c r="W1517" i="1" s="1"/>
  <c r="T1518" i="1"/>
  <c r="U1518" i="1"/>
  <c r="T1519" i="1"/>
  <c r="U1519" i="1"/>
  <c r="X1519" i="1" s="1"/>
  <c r="T1520" i="1"/>
  <c r="U1520" i="1"/>
  <c r="X1520" i="1" s="1"/>
  <c r="T1521" i="1"/>
  <c r="U1521" i="1"/>
  <c r="W1521" i="1" s="1"/>
  <c r="T1522" i="1"/>
  <c r="U1522" i="1"/>
  <c r="V1522" i="1" s="1"/>
  <c r="T1523" i="1"/>
  <c r="U1523" i="1"/>
  <c r="W1523" i="1" s="1"/>
  <c r="T1524" i="1"/>
  <c r="U1524" i="1"/>
  <c r="X1524" i="1" s="1"/>
  <c r="T1525" i="1"/>
  <c r="U1525" i="1"/>
  <c r="W1525" i="1" s="1"/>
  <c r="T1526" i="1"/>
  <c r="U1526" i="1"/>
  <c r="W1526" i="1" s="1"/>
  <c r="T1527" i="1"/>
  <c r="U1527" i="1"/>
  <c r="W1527" i="1" s="1"/>
  <c r="T1528" i="1"/>
  <c r="U1528" i="1"/>
  <c r="X1528" i="1" s="1"/>
  <c r="T1529" i="1"/>
  <c r="U1529" i="1"/>
  <c r="W1529" i="1" s="1"/>
  <c r="T1530" i="1"/>
  <c r="U1530" i="1"/>
  <c r="T1531" i="1"/>
  <c r="U1531" i="1"/>
  <c r="X1531" i="1" s="1"/>
  <c r="T1532" i="1"/>
  <c r="U1532" i="1"/>
  <c r="X1532" i="1" s="1"/>
  <c r="T1533" i="1"/>
  <c r="U1533" i="1"/>
  <c r="X1533" i="1" s="1"/>
  <c r="T1534" i="1"/>
  <c r="U1534" i="1"/>
  <c r="X1534" i="1" s="1"/>
  <c r="T1535" i="1"/>
  <c r="U1535" i="1"/>
  <c r="X1535" i="1" s="1"/>
  <c r="T1536" i="1"/>
  <c r="U1536" i="1"/>
  <c r="X1536" i="1" s="1"/>
  <c r="T1537" i="1"/>
  <c r="U1537" i="1"/>
  <c r="T1538" i="1"/>
  <c r="U1538" i="1"/>
  <c r="V1538" i="1" s="1"/>
  <c r="T1539" i="1"/>
  <c r="U1539" i="1"/>
  <c r="X1539" i="1" s="1"/>
  <c r="T1540" i="1"/>
  <c r="U1540" i="1"/>
  <c r="W1540" i="1" s="1"/>
  <c r="T1541" i="1"/>
  <c r="U1541" i="1"/>
  <c r="W1541" i="1" s="1"/>
  <c r="T1542" i="1"/>
  <c r="U1542" i="1"/>
  <c r="W1542" i="1" s="1"/>
  <c r="T1543" i="1"/>
  <c r="U1543" i="1"/>
  <c r="X1543" i="1" s="1"/>
  <c r="T1544" i="1"/>
  <c r="U1544" i="1"/>
  <c r="X1544" i="1" s="1"/>
  <c r="T1545" i="1"/>
  <c r="U1545" i="1"/>
  <c r="W1545" i="1" s="1"/>
  <c r="T1546" i="1"/>
  <c r="U1546" i="1"/>
  <c r="T1547" i="1"/>
  <c r="U1547" i="1"/>
  <c r="T1548" i="1"/>
  <c r="U1548" i="1"/>
  <c r="W1548" i="1" s="1"/>
  <c r="T1549" i="1"/>
  <c r="U1549" i="1"/>
  <c r="T1550" i="1"/>
  <c r="U1550" i="1"/>
  <c r="X1550" i="1" s="1"/>
  <c r="T1551" i="1"/>
  <c r="U1551" i="1"/>
  <c r="W1551" i="1" s="1"/>
  <c r="T1552" i="1"/>
  <c r="U1552" i="1"/>
  <c r="W1552" i="1" s="1"/>
  <c r="T1553" i="1"/>
  <c r="U1553" i="1"/>
  <c r="T1554" i="1"/>
  <c r="U1554" i="1"/>
  <c r="V1554" i="1" s="1"/>
  <c r="T1555" i="1"/>
  <c r="U1555" i="1"/>
  <c r="W1555" i="1" s="1"/>
  <c r="T1556" i="1"/>
  <c r="U1556" i="1"/>
  <c r="T1557" i="1"/>
  <c r="U1557" i="1"/>
  <c r="W1557" i="1" s="1"/>
  <c r="T1558" i="1"/>
  <c r="U1558" i="1"/>
  <c r="X1558" i="1" s="1"/>
  <c r="T1559" i="1"/>
  <c r="U1559" i="1"/>
  <c r="V1559" i="1" s="1"/>
  <c r="T1560" i="1"/>
  <c r="U1560" i="1"/>
  <c r="X1560" i="1" s="1"/>
  <c r="T1561" i="1"/>
  <c r="U1561" i="1"/>
  <c r="W1561" i="1" s="1"/>
  <c r="V1561" i="1"/>
  <c r="T1562" i="1"/>
  <c r="U1562" i="1"/>
  <c r="V1562" i="1" s="1"/>
  <c r="T1563" i="1"/>
  <c r="U1563" i="1"/>
  <c r="T1564" i="1"/>
  <c r="U1564" i="1"/>
  <c r="W1564" i="1" s="1"/>
  <c r="T1565" i="1"/>
  <c r="U1565" i="1"/>
  <c r="T1566" i="1"/>
  <c r="U1566" i="1"/>
  <c r="T1567" i="1"/>
  <c r="U1567" i="1"/>
  <c r="X1567" i="1" s="1"/>
  <c r="T1568" i="1"/>
  <c r="U1568" i="1"/>
  <c r="T1569" i="1"/>
  <c r="U1569" i="1"/>
  <c r="X1569" i="1" s="1"/>
  <c r="T1570" i="1"/>
  <c r="U1570" i="1"/>
  <c r="V1570" i="1" s="1"/>
  <c r="T1571" i="1"/>
  <c r="U1571" i="1"/>
  <c r="W1571" i="1" s="1"/>
  <c r="T1572" i="1"/>
  <c r="U1572" i="1"/>
  <c r="T1573" i="1"/>
  <c r="U1573" i="1"/>
  <c r="W1573" i="1" s="1"/>
  <c r="T1574" i="1"/>
  <c r="U1574" i="1"/>
  <c r="V1574" i="1" s="1"/>
  <c r="T1575" i="1"/>
  <c r="U1575" i="1"/>
  <c r="X1575" i="1" s="1"/>
  <c r="W1575" i="1"/>
  <c r="T1576" i="1"/>
  <c r="U1576" i="1"/>
  <c r="X1576" i="1" s="1"/>
  <c r="T1577" i="1"/>
  <c r="U1577" i="1"/>
  <c r="X1577" i="1" s="1"/>
  <c r="T1578" i="1"/>
  <c r="U1578" i="1"/>
  <c r="T1579" i="1"/>
  <c r="U1579" i="1"/>
  <c r="V1579" i="1" s="1"/>
  <c r="W1579" i="1"/>
  <c r="T1580" i="1"/>
  <c r="U1580" i="1"/>
  <c r="W1580" i="1"/>
  <c r="T1581" i="1"/>
  <c r="U1581" i="1"/>
  <c r="W1581" i="1" s="1"/>
  <c r="T1582" i="1"/>
  <c r="U1582" i="1"/>
  <c r="T1583" i="1"/>
  <c r="U1583" i="1"/>
  <c r="V1583" i="1" s="1"/>
  <c r="T1584" i="1"/>
  <c r="U1584" i="1"/>
  <c r="X1584" i="1" s="1"/>
  <c r="T1585" i="1"/>
  <c r="U1585" i="1"/>
  <c r="X1585" i="1" s="1"/>
  <c r="T1586" i="1"/>
  <c r="U1586" i="1"/>
  <c r="T1587" i="1"/>
  <c r="U1587" i="1"/>
  <c r="V1587" i="1" s="1"/>
  <c r="T1588" i="1"/>
  <c r="U1588" i="1"/>
  <c r="T1589" i="1"/>
  <c r="U1589" i="1"/>
  <c r="W1589" i="1" s="1"/>
  <c r="T1590" i="1"/>
  <c r="U1590" i="1"/>
  <c r="T1591" i="1"/>
  <c r="U1591" i="1"/>
  <c r="X1591" i="1" s="1"/>
  <c r="T1592" i="1"/>
  <c r="U1592" i="1"/>
  <c r="X1592" i="1" s="1"/>
  <c r="T1593" i="1"/>
  <c r="U1593" i="1"/>
  <c r="X1593" i="1" s="1"/>
  <c r="T1594" i="1"/>
  <c r="U1594" i="1"/>
  <c r="T1595" i="1"/>
  <c r="U1595" i="1"/>
  <c r="V1595" i="1" s="1"/>
  <c r="T1596" i="1"/>
  <c r="U1596" i="1"/>
  <c r="W1596" i="1" s="1"/>
  <c r="T1597" i="1"/>
  <c r="U1597" i="1"/>
  <c r="W1597" i="1" s="1"/>
  <c r="T1598" i="1"/>
  <c r="U1598" i="1"/>
  <c r="T1599" i="1"/>
  <c r="U1599" i="1"/>
  <c r="W1599" i="1" s="1"/>
  <c r="X1599" i="1"/>
  <c r="T1600" i="1"/>
  <c r="U1600" i="1"/>
  <c r="X1600" i="1" s="1"/>
  <c r="T1601" i="1"/>
  <c r="U1601" i="1"/>
  <c r="X1601" i="1" s="1"/>
  <c r="T1602" i="1"/>
  <c r="U1602" i="1"/>
  <c r="T1603" i="1"/>
  <c r="U1603" i="1"/>
  <c r="V1603" i="1" s="1"/>
  <c r="T1604" i="1"/>
  <c r="U1604" i="1"/>
  <c r="T1605" i="1"/>
  <c r="U1605" i="1"/>
  <c r="W1605" i="1" s="1"/>
  <c r="V1605" i="1"/>
  <c r="T1606" i="1"/>
  <c r="U1606" i="1"/>
  <c r="T1607" i="1"/>
  <c r="U1607" i="1"/>
  <c r="W1607" i="1" s="1"/>
  <c r="T1608" i="1"/>
  <c r="U1608" i="1"/>
  <c r="X1608" i="1" s="1"/>
  <c r="T1609" i="1"/>
  <c r="U1609" i="1"/>
  <c r="X1609" i="1" s="1"/>
  <c r="T1610" i="1"/>
  <c r="U1610" i="1"/>
  <c r="T1611" i="1"/>
  <c r="U1611" i="1"/>
  <c r="V1611" i="1" s="1"/>
  <c r="T1612" i="1"/>
  <c r="U1612" i="1"/>
  <c r="W1612" i="1"/>
  <c r="T1613" i="1"/>
  <c r="U1613" i="1"/>
  <c r="W1613" i="1" s="1"/>
  <c r="T1614" i="1"/>
  <c r="U1614" i="1"/>
  <c r="T1615" i="1"/>
  <c r="U1615" i="1"/>
  <c r="X1615" i="1" s="1"/>
  <c r="T1616" i="1"/>
  <c r="U1616" i="1"/>
  <c r="X1616" i="1" s="1"/>
  <c r="T1617" i="1"/>
  <c r="U1617" i="1"/>
  <c r="X1617" i="1" s="1"/>
  <c r="V1617" i="1"/>
  <c r="T1618" i="1"/>
  <c r="U1618" i="1"/>
  <c r="T1619" i="1"/>
  <c r="U1619" i="1"/>
  <c r="V1619" i="1" s="1"/>
  <c r="T1620" i="1"/>
  <c r="U1620" i="1"/>
  <c r="T1621" i="1"/>
  <c r="U1621" i="1"/>
  <c r="W1621" i="1" s="1"/>
  <c r="T1622" i="1"/>
  <c r="U1622" i="1"/>
  <c r="T1623" i="1"/>
  <c r="U1623" i="1"/>
  <c r="W1623" i="1" s="1"/>
  <c r="T1624" i="1"/>
  <c r="U1624" i="1"/>
  <c r="X1624" i="1" s="1"/>
  <c r="T1625" i="1"/>
  <c r="U1625" i="1"/>
  <c r="X1625" i="1" s="1"/>
  <c r="T1626" i="1"/>
  <c r="U1626" i="1"/>
  <c r="T1627" i="1"/>
  <c r="U1627" i="1"/>
  <c r="V1627" i="1" s="1"/>
  <c r="T1628" i="1"/>
  <c r="U1628" i="1"/>
  <c r="W1628" i="1" s="1"/>
  <c r="T1629" i="1"/>
  <c r="U1629" i="1"/>
  <c r="W1629" i="1" s="1"/>
  <c r="T1630" i="1"/>
  <c r="U1630" i="1"/>
  <c r="T1631" i="1"/>
  <c r="U1631" i="1"/>
  <c r="W1631" i="1" s="1"/>
  <c r="T1632" i="1"/>
  <c r="U1632" i="1"/>
  <c r="X1632" i="1" s="1"/>
  <c r="T1633" i="1"/>
  <c r="U1633" i="1"/>
  <c r="X1633" i="1" s="1"/>
  <c r="T1634" i="1"/>
  <c r="U1634" i="1"/>
  <c r="W1634" i="1" s="1"/>
  <c r="T1635" i="1"/>
  <c r="U1635" i="1"/>
  <c r="V1635" i="1" s="1"/>
  <c r="T1636" i="1"/>
  <c r="U1636" i="1"/>
  <c r="T1637" i="1"/>
  <c r="U1637" i="1"/>
  <c r="W1637" i="1" s="1"/>
  <c r="T1638" i="1"/>
  <c r="U1638" i="1"/>
  <c r="T1639" i="1"/>
  <c r="U1639" i="1"/>
  <c r="X1639" i="1" s="1"/>
  <c r="T1640" i="1"/>
  <c r="U1640" i="1"/>
  <c r="X1640" i="1" s="1"/>
  <c r="T1641" i="1"/>
  <c r="U1641" i="1"/>
  <c r="X1641" i="1" s="1"/>
  <c r="T1642" i="1"/>
  <c r="U1642" i="1"/>
  <c r="T1643" i="1"/>
  <c r="U1643" i="1"/>
  <c r="T1644" i="1"/>
  <c r="U1644" i="1"/>
  <c r="W1644" i="1" s="1"/>
  <c r="T1645" i="1"/>
  <c r="U1645" i="1"/>
  <c r="W1645" i="1" s="1"/>
  <c r="T1646" i="1"/>
  <c r="U1646" i="1"/>
  <c r="T1647" i="1"/>
  <c r="U1647" i="1"/>
  <c r="X1647" i="1" s="1"/>
  <c r="T1648" i="1"/>
  <c r="U1648" i="1"/>
  <c r="X1648" i="1" s="1"/>
  <c r="T1649" i="1"/>
  <c r="U1649" i="1"/>
  <c r="X1649" i="1" s="1"/>
  <c r="T1650" i="1"/>
  <c r="U1650" i="1"/>
  <c r="W1650" i="1" s="1"/>
  <c r="T1651" i="1"/>
  <c r="U1651" i="1"/>
  <c r="V1651" i="1" s="1"/>
  <c r="T1652" i="1"/>
  <c r="U1652" i="1"/>
  <c r="T1653" i="1"/>
  <c r="U1653" i="1"/>
  <c r="W1653" i="1" s="1"/>
  <c r="T1654" i="1"/>
  <c r="U1654" i="1"/>
  <c r="T1655" i="1"/>
  <c r="U1655" i="1"/>
  <c r="T1656" i="1"/>
  <c r="U1656" i="1"/>
  <c r="X1656" i="1" s="1"/>
  <c r="T1657" i="1"/>
  <c r="U1657" i="1"/>
  <c r="V1657" i="1" s="1"/>
  <c r="T1658" i="1"/>
  <c r="U1658" i="1"/>
  <c r="V1658" i="1" s="1"/>
  <c r="T1659" i="1"/>
  <c r="U1659" i="1"/>
  <c r="V1659" i="1" s="1"/>
  <c r="W1659" i="1"/>
  <c r="T1660" i="1"/>
  <c r="U1660" i="1"/>
  <c r="X1660" i="1" s="1"/>
  <c r="T1661" i="1"/>
  <c r="U1661" i="1"/>
  <c r="W1661" i="1" s="1"/>
  <c r="T1662" i="1"/>
  <c r="U1662" i="1"/>
  <c r="T1663" i="1"/>
  <c r="U1663" i="1"/>
  <c r="T1664" i="1"/>
  <c r="U1664" i="1"/>
  <c r="X1664" i="1" s="1"/>
  <c r="T1665" i="1"/>
  <c r="U1665" i="1"/>
  <c r="T1666" i="1"/>
  <c r="U1666" i="1"/>
  <c r="V1666" i="1" s="1"/>
  <c r="T1667" i="1"/>
  <c r="U1667" i="1"/>
  <c r="X1667" i="1" s="1"/>
  <c r="T1668" i="1"/>
  <c r="U1668" i="1"/>
  <c r="X1668" i="1" s="1"/>
  <c r="T1669" i="1"/>
  <c r="U1669" i="1"/>
  <c r="W1669" i="1" s="1"/>
  <c r="T1670" i="1"/>
  <c r="U1670" i="1"/>
  <c r="T1671" i="1"/>
  <c r="U1671" i="1"/>
  <c r="W1671" i="1" s="1"/>
  <c r="T1672" i="1"/>
  <c r="U1672" i="1"/>
  <c r="T1673" i="1"/>
  <c r="U1673" i="1"/>
  <c r="V1673" i="1" s="1"/>
  <c r="T1674" i="1"/>
  <c r="U1674" i="1"/>
  <c r="V1674" i="1" s="1"/>
  <c r="T1675" i="1"/>
  <c r="U1675" i="1"/>
  <c r="V1675" i="1" s="1"/>
  <c r="T1676" i="1"/>
  <c r="U1676" i="1"/>
  <c r="X1676" i="1" s="1"/>
  <c r="T1677" i="1"/>
  <c r="U1677" i="1"/>
  <c r="W1677" i="1" s="1"/>
  <c r="T1678" i="1"/>
  <c r="U1678" i="1"/>
  <c r="T1679" i="1"/>
  <c r="U1679" i="1"/>
  <c r="T1680" i="1"/>
  <c r="U1680" i="1"/>
  <c r="X1680" i="1" s="1"/>
  <c r="T1681" i="1"/>
  <c r="U1681" i="1"/>
  <c r="V1681" i="1" s="1"/>
  <c r="T1682" i="1"/>
  <c r="U1682" i="1"/>
  <c r="V1682" i="1" s="1"/>
  <c r="T1683" i="1"/>
  <c r="U1683" i="1"/>
  <c r="V1683" i="1" s="1"/>
  <c r="T1684" i="1"/>
  <c r="U1684" i="1"/>
  <c r="X1684" i="1" s="1"/>
  <c r="T1685" i="1"/>
  <c r="U1685" i="1"/>
  <c r="X1685" i="1" s="1"/>
  <c r="T1686" i="1"/>
  <c r="U1686" i="1"/>
  <c r="T1687" i="1"/>
  <c r="U1687" i="1"/>
  <c r="X1687" i="1" s="1"/>
  <c r="T1688" i="1"/>
  <c r="U1688" i="1"/>
  <c r="X1688" i="1" s="1"/>
  <c r="T1689" i="1"/>
  <c r="U1689" i="1"/>
  <c r="V1689" i="1" s="1"/>
  <c r="T1690" i="1"/>
  <c r="U1690" i="1"/>
  <c r="V1690" i="1" s="1"/>
  <c r="T1691" i="1"/>
  <c r="U1691" i="1"/>
  <c r="V1691" i="1" s="1"/>
  <c r="T1692" i="1"/>
  <c r="U1692" i="1"/>
  <c r="X1692" i="1" s="1"/>
  <c r="T1693" i="1"/>
  <c r="U1693" i="1"/>
  <c r="T1694" i="1"/>
  <c r="U1694" i="1"/>
  <c r="T1695" i="1"/>
  <c r="U1695" i="1"/>
  <c r="W1695" i="1" s="1"/>
  <c r="T1696" i="1"/>
  <c r="U1696" i="1"/>
  <c r="X1696" i="1" s="1"/>
  <c r="V1696" i="1"/>
  <c r="T1697" i="1"/>
  <c r="U1697" i="1"/>
  <c r="T1698" i="1"/>
  <c r="U1698" i="1"/>
  <c r="V1698" i="1" s="1"/>
  <c r="T1699" i="1"/>
  <c r="U1699" i="1"/>
  <c r="V1699" i="1" s="1"/>
  <c r="T1700" i="1"/>
  <c r="U1700" i="1"/>
  <c r="T1701" i="1"/>
  <c r="U1701" i="1"/>
  <c r="W1701" i="1" s="1"/>
  <c r="T1702" i="1"/>
  <c r="U1702" i="1"/>
  <c r="T1703" i="1"/>
  <c r="U1703" i="1"/>
  <c r="W1703" i="1" s="1"/>
  <c r="T1704" i="1"/>
  <c r="U1704" i="1"/>
  <c r="W1704" i="1" s="1"/>
  <c r="T1705" i="1"/>
  <c r="U1705" i="1"/>
  <c r="V1705" i="1" s="1"/>
  <c r="T1706" i="1"/>
  <c r="U1706" i="1"/>
  <c r="V1706" i="1" s="1"/>
  <c r="T1707" i="1"/>
  <c r="U1707" i="1"/>
  <c r="T1708" i="1"/>
  <c r="U1708" i="1"/>
  <c r="X1708" i="1" s="1"/>
  <c r="T1709" i="1"/>
  <c r="U1709" i="1"/>
  <c r="W1709" i="1" s="1"/>
  <c r="T1710" i="1"/>
  <c r="U1710" i="1"/>
  <c r="T1711" i="1"/>
  <c r="U1711" i="1"/>
  <c r="W1711" i="1" s="1"/>
  <c r="X1711" i="1"/>
  <c r="T1712" i="1"/>
  <c r="U1712" i="1"/>
  <c r="T1713" i="1"/>
  <c r="U1713" i="1"/>
  <c r="T1714" i="1"/>
  <c r="U1714" i="1"/>
  <c r="V1714" i="1" s="1"/>
  <c r="T1715" i="1"/>
  <c r="U1715" i="1"/>
  <c r="T1716" i="1"/>
  <c r="U1716" i="1"/>
  <c r="X1716" i="1" s="1"/>
  <c r="T1717" i="1"/>
  <c r="U1717" i="1"/>
  <c r="X1717" i="1" s="1"/>
  <c r="T1718" i="1"/>
  <c r="U1718" i="1"/>
  <c r="T1719" i="1"/>
  <c r="U1719" i="1"/>
  <c r="X1719" i="1" s="1"/>
  <c r="T1720" i="1"/>
  <c r="U1720" i="1"/>
  <c r="X1720" i="1" s="1"/>
  <c r="T1721" i="1"/>
  <c r="U1721" i="1"/>
  <c r="V1721" i="1" s="1"/>
  <c r="T1722" i="1"/>
  <c r="U1722" i="1"/>
  <c r="T1723" i="1"/>
  <c r="U1723" i="1"/>
  <c r="V1723" i="1" s="1"/>
  <c r="T1724" i="1"/>
  <c r="U1724" i="1"/>
  <c r="X1724" i="1" s="1"/>
  <c r="T1725" i="1"/>
  <c r="U1725" i="1"/>
  <c r="W1725" i="1" s="1"/>
  <c r="T1726" i="1"/>
  <c r="U1726" i="1"/>
  <c r="X1726" i="1" s="1"/>
  <c r="T1727" i="1"/>
  <c r="U1727" i="1"/>
  <c r="T1728" i="1"/>
  <c r="U1728" i="1"/>
  <c r="T1729" i="1"/>
  <c r="U1729" i="1"/>
  <c r="V1729" i="1" s="1"/>
  <c r="T1730" i="1"/>
  <c r="U1730" i="1"/>
  <c r="V1730" i="1" s="1"/>
  <c r="T1731" i="1"/>
  <c r="U1731" i="1"/>
  <c r="V1731" i="1" s="1"/>
  <c r="T1732" i="1"/>
  <c r="U1732" i="1"/>
  <c r="X1732" i="1" s="1"/>
  <c r="T1733" i="1"/>
  <c r="U1733" i="1"/>
  <c r="W1733" i="1" s="1"/>
  <c r="T1734" i="1"/>
  <c r="U1734" i="1"/>
  <c r="X1734" i="1" s="1"/>
  <c r="T1735" i="1"/>
  <c r="U1735" i="1"/>
  <c r="W1735" i="1" s="1"/>
  <c r="T1736" i="1"/>
  <c r="U1736" i="1"/>
  <c r="X1736" i="1" s="1"/>
  <c r="T1737" i="1"/>
  <c r="U1737" i="1"/>
  <c r="V1737" i="1" s="1"/>
  <c r="T1738" i="1"/>
  <c r="U1738" i="1"/>
  <c r="V1738" i="1" s="1"/>
  <c r="T1739" i="1"/>
  <c r="U1739" i="1"/>
  <c r="V1739" i="1" s="1"/>
  <c r="T1740" i="1"/>
  <c r="U1740" i="1"/>
  <c r="X1740" i="1" s="1"/>
  <c r="T1741" i="1"/>
  <c r="U1741" i="1"/>
  <c r="W1741" i="1" s="1"/>
  <c r="T1742" i="1"/>
  <c r="U1742" i="1"/>
  <c r="T1743" i="1"/>
  <c r="U1743" i="1"/>
  <c r="W1743" i="1" s="1"/>
  <c r="T1744" i="1"/>
  <c r="U1744" i="1"/>
  <c r="X1744" i="1" s="1"/>
  <c r="T1745" i="1"/>
  <c r="U1745" i="1"/>
  <c r="T1746" i="1"/>
  <c r="U1746" i="1"/>
  <c r="V1746" i="1" s="1"/>
  <c r="X1746" i="1"/>
  <c r="T1747" i="1"/>
  <c r="U1747" i="1"/>
  <c r="T1748" i="1"/>
  <c r="U1748" i="1"/>
  <c r="X1748" i="1" s="1"/>
  <c r="T1749" i="1"/>
  <c r="U1749" i="1"/>
  <c r="W1749" i="1" s="1"/>
  <c r="T1750" i="1"/>
  <c r="U1750" i="1"/>
  <c r="X1750" i="1" s="1"/>
  <c r="T1751" i="1"/>
  <c r="U1751" i="1"/>
  <c r="X1751" i="1" s="1"/>
  <c r="T1752" i="1"/>
  <c r="U1752" i="1"/>
  <c r="X1752" i="1" s="1"/>
  <c r="T1753" i="1"/>
  <c r="U1753" i="1"/>
  <c r="T1754" i="1"/>
  <c r="U1754" i="1"/>
  <c r="V1754" i="1" s="1"/>
  <c r="T1755" i="1"/>
  <c r="U1755" i="1"/>
  <c r="X1755" i="1" s="1"/>
  <c r="T1756" i="1"/>
  <c r="U1756" i="1"/>
  <c r="X1756" i="1" s="1"/>
  <c r="T1757" i="1"/>
  <c r="U1757" i="1"/>
  <c r="W1757" i="1" s="1"/>
  <c r="T1758" i="1"/>
  <c r="U1758" i="1"/>
  <c r="X1758" i="1" s="1"/>
  <c r="T1759" i="1"/>
  <c r="U1759" i="1"/>
  <c r="W1759" i="1" s="1"/>
  <c r="V1759" i="1"/>
  <c r="X1759" i="1"/>
  <c r="T1760" i="1"/>
  <c r="U1760" i="1"/>
  <c r="T1761" i="1"/>
  <c r="U1761" i="1"/>
  <c r="T1762" i="1"/>
  <c r="U1762" i="1"/>
  <c r="T1763" i="1"/>
  <c r="U1763" i="1"/>
  <c r="V1763" i="1" s="1"/>
  <c r="T1764" i="1"/>
  <c r="U1764" i="1"/>
  <c r="X1764" i="1" s="1"/>
  <c r="T1765" i="1"/>
  <c r="U1765" i="1"/>
  <c r="X1765" i="1" s="1"/>
  <c r="T1766" i="1"/>
  <c r="U1766" i="1"/>
  <c r="X1766" i="1" s="1"/>
  <c r="T1767" i="1"/>
  <c r="U1767" i="1"/>
  <c r="W1767" i="1" s="1"/>
  <c r="T1768" i="1"/>
  <c r="U1768" i="1"/>
  <c r="X1768" i="1" s="1"/>
  <c r="T1769" i="1"/>
  <c r="U1769" i="1"/>
  <c r="V1769" i="1" s="1"/>
  <c r="T1770" i="1"/>
  <c r="U1770" i="1"/>
  <c r="V1770" i="1" s="1"/>
  <c r="T1771" i="1"/>
  <c r="U1771" i="1"/>
  <c r="X1771" i="1" s="1"/>
  <c r="T1772" i="1"/>
  <c r="U1772" i="1"/>
  <c r="T1773" i="1"/>
  <c r="U1773" i="1"/>
  <c r="W1773" i="1" s="1"/>
  <c r="T1774" i="1"/>
  <c r="U1774" i="1"/>
  <c r="T1775" i="1"/>
  <c r="U1775" i="1"/>
  <c r="X1775" i="1" s="1"/>
  <c r="T1776" i="1"/>
  <c r="U1776" i="1"/>
  <c r="W1776" i="1" s="1"/>
  <c r="T1777" i="1"/>
  <c r="U1777" i="1"/>
  <c r="T1778" i="1"/>
  <c r="U1778" i="1"/>
  <c r="V1778" i="1" s="1"/>
  <c r="T1779" i="1"/>
  <c r="U1779" i="1"/>
  <c r="X1779" i="1" s="1"/>
  <c r="T1780" i="1"/>
  <c r="U1780" i="1"/>
  <c r="X1780" i="1" s="1"/>
  <c r="T1781" i="1"/>
  <c r="U1781" i="1"/>
  <c r="W1781" i="1" s="1"/>
  <c r="T1782" i="1"/>
  <c r="U1782" i="1"/>
  <c r="T1783" i="1"/>
  <c r="U1783" i="1"/>
  <c r="X1783" i="1" s="1"/>
  <c r="T1784" i="1"/>
  <c r="U1784" i="1"/>
  <c r="X1784" i="1" s="1"/>
  <c r="T1785" i="1"/>
  <c r="U1785" i="1"/>
  <c r="V1785" i="1" s="1"/>
  <c r="T1786" i="1"/>
  <c r="U1786" i="1"/>
  <c r="T1787" i="1"/>
  <c r="U1787" i="1"/>
  <c r="V1787" i="1" s="1"/>
  <c r="T1788" i="1"/>
  <c r="U1788" i="1"/>
  <c r="X1788" i="1" s="1"/>
  <c r="T1789" i="1"/>
  <c r="U1789" i="1"/>
  <c r="T1790" i="1"/>
  <c r="U1790" i="1"/>
  <c r="T1791" i="1"/>
  <c r="U1791" i="1"/>
  <c r="W1791" i="1" s="1"/>
  <c r="T1792" i="1"/>
  <c r="U1792" i="1"/>
  <c r="T1793" i="1"/>
  <c r="U1793" i="1"/>
  <c r="V1793" i="1" s="1"/>
  <c r="T1794" i="1"/>
  <c r="U1794" i="1"/>
  <c r="T1795" i="1"/>
  <c r="U1795" i="1"/>
  <c r="V1795" i="1" s="1"/>
  <c r="T1796" i="1"/>
  <c r="U1796" i="1"/>
  <c r="W1796" i="1" s="1"/>
  <c r="T1797" i="1"/>
  <c r="U1797" i="1"/>
  <c r="W1797" i="1" s="1"/>
  <c r="T1798" i="1"/>
  <c r="U1798" i="1"/>
  <c r="X1798" i="1"/>
  <c r="T1799" i="1"/>
  <c r="U1799" i="1"/>
  <c r="T1800" i="1"/>
  <c r="U1800" i="1"/>
  <c r="X1800" i="1" s="1"/>
  <c r="T1801" i="1"/>
  <c r="U1801" i="1"/>
  <c r="V1801" i="1" s="1"/>
  <c r="T1802" i="1"/>
  <c r="U1802" i="1"/>
  <c r="T1803" i="1"/>
  <c r="U1803" i="1"/>
  <c r="V1803" i="1" s="1"/>
  <c r="T1804" i="1"/>
  <c r="U1804" i="1"/>
  <c r="X1804" i="1" s="1"/>
  <c r="T1805" i="1"/>
  <c r="U1805" i="1"/>
  <c r="W1805" i="1" s="1"/>
  <c r="T1806" i="1"/>
  <c r="U1806" i="1"/>
  <c r="T1807" i="1"/>
  <c r="U1807" i="1"/>
  <c r="X1807" i="1" s="1"/>
  <c r="T1808" i="1"/>
  <c r="U1808" i="1"/>
  <c r="X1808" i="1" s="1"/>
  <c r="T1809" i="1"/>
  <c r="U1809" i="1"/>
  <c r="T1810" i="1"/>
  <c r="U1810" i="1"/>
  <c r="V1810" i="1" s="1"/>
  <c r="T1811" i="1"/>
  <c r="U1811" i="1"/>
  <c r="V1811" i="1" s="1"/>
  <c r="T1812" i="1"/>
  <c r="U1812" i="1"/>
  <c r="X1812" i="1" s="1"/>
  <c r="T1813" i="1"/>
  <c r="U1813" i="1"/>
  <c r="W1813" i="1" s="1"/>
  <c r="T1814" i="1"/>
  <c r="U1814" i="1"/>
  <c r="X1814" i="1" s="1"/>
  <c r="T1815" i="1"/>
  <c r="U1815" i="1"/>
  <c r="W1815" i="1" s="1"/>
  <c r="T1816" i="1"/>
  <c r="U1816" i="1"/>
  <c r="V1816" i="1" s="1"/>
  <c r="T1817" i="1"/>
  <c r="U1817" i="1"/>
  <c r="T1818" i="1"/>
  <c r="U1818" i="1"/>
  <c r="V1818" i="1" s="1"/>
  <c r="T1819" i="1"/>
  <c r="U1819" i="1"/>
  <c r="X1819" i="1" s="1"/>
  <c r="T1820" i="1"/>
  <c r="U1820" i="1"/>
  <c r="T1821" i="1"/>
  <c r="U1821" i="1"/>
  <c r="W1821" i="1" s="1"/>
  <c r="T1822" i="1"/>
  <c r="U1822" i="1"/>
  <c r="X1822" i="1" s="1"/>
  <c r="T1823" i="1"/>
  <c r="U1823" i="1"/>
  <c r="W1823" i="1" s="1"/>
  <c r="X1823" i="1"/>
  <c r="T1824" i="1"/>
  <c r="U1824" i="1"/>
  <c r="T1825" i="1"/>
  <c r="U1825" i="1"/>
  <c r="T1826" i="1"/>
  <c r="U1826" i="1"/>
  <c r="V1826" i="1" s="1"/>
  <c r="T1827" i="1"/>
  <c r="U1827" i="1"/>
  <c r="V1827" i="1" s="1"/>
  <c r="T1828" i="1"/>
  <c r="U1828" i="1"/>
  <c r="W1828" i="1" s="1"/>
  <c r="T1829" i="1"/>
  <c r="U1829" i="1"/>
  <c r="W1829" i="1" s="1"/>
  <c r="T1830" i="1"/>
  <c r="U1830" i="1"/>
  <c r="W1830" i="1" s="1"/>
  <c r="T1831" i="1"/>
  <c r="U1831" i="1"/>
  <c r="W1831" i="1" s="1"/>
  <c r="T1832" i="1"/>
  <c r="U1832" i="1"/>
  <c r="T1833" i="1"/>
  <c r="U1833" i="1"/>
  <c r="X1833" i="1" s="1"/>
  <c r="T1834" i="1"/>
  <c r="U1834" i="1"/>
  <c r="X1834" i="1" s="1"/>
  <c r="T1835" i="1"/>
  <c r="U1835" i="1"/>
  <c r="V1835" i="1" s="1"/>
  <c r="T1836" i="1"/>
  <c r="U1836" i="1"/>
  <c r="X1836" i="1" s="1"/>
  <c r="T1837" i="1"/>
  <c r="U1837" i="1"/>
  <c r="W1837" i="1" s="1"/>
  <c r="T1838" i="1"/>
  <c r="U1838" i="1"/>
  <c r="W1838" i="1" s="1"/>
  <c r="T1839" i="1"/>
  <c r="U1839" i="1"/>
  <c r="T1840" i="1"/>
  <c r="U1840" i="1"/>
  <c r="X1840" i="1" s="1"/>
  <c r="V1840" i="1"/>
  <c r="T1841" i="1"/>
  <c r="U1841" i="1"/>
  <c r="X1841" i="1" s="1"/>
  <c r="T1842" i="1"/>
  <c r="U1842" i="1"/>
  <c r="X1842" i="1" s="1"/>
  <c r="T1843" i="1"/>
  <c r="U1843" i="1"/>
  <c r="T1844" i="1"/>
  <c r="U1844" i="1"/>
  <c r="X1844" i="1" s="1"/>
  <c r="T1845" i="1"/>
  <c r="U1845" i="1"/>
  <c r="W1845" i="1" s="1"/>
  <c r="T1846" i="1"/>
  <c r="U1846" i="1"/>
  <c r="W1846" i="1" s="1"/>
  <c r="T1847" i="1"/>
  <c r="U1847" i="1"/>
  <c r="V1847" i="1" s="1"/>
  <c r="T1848" i="1"/>
  <c r="U1848" i="1"/>
  <c r="X1848" i="1" s="1"/>
  <c r="T1849" i="1"/>
  <c r="U1849" i="1"/>
  <c r="X1849" i="1" s="1"/>
  <c r="T1850" i="1"/>
  <c r="U1850" i="1"/>
  <c r="V1850" i="1" s="1"/>
  <c r="T1851" i="1"/>
  <c r="U1851" i="1"/>
  <c r="V1851" i="1" s="1"/>
  <c r="T1852" i="1"/>
  <c r="U1852" i="1"/>
  <c r="W1852" i="1" s="1"/>
  <c r="T1853" i="1"/>
  <c r="U1853" i="1"/>
  <c r="W1853" i="1" s="1"/>
  <c r="T1854" i="1"/>
  <c r="U1854" i="1"/>
  <c r="T1855" i="1"/>
  <c r="U1855" i="1"/>
  <c r="W1855" i="1" s="1"/>
  <c r="T1856" i="1"/>
  <c r="U1856" i="1"/>
  <c r="W1856" i="1" s="1"/>
  <c r="T1857" i="1"/>
  <c r="U1857" i="1"/>
  <c r="W1857" i="1" s="1"/>
  <c r="T1858" i="1"/>
  <c r="U1858" i="1"/>
  <c r="T1859" i="1"/>
  <c r="U1859" i="1"/>
  <c r="W1859" i="1" s="1"/>
  <c r="T1860" i="1"/>
  <c r="U1860" i="1"/>
  <c r="W1860" i="1" s="1"/>
  <c r="T1861" i="1"/>
  <c r="U1861" i="1"/>
  <c r="W1861" i="1" s="1"/>
  <c r="T1862" i="1"/>
  <c r="U1862" i="1"/>
  <c r="W1862" i="1" s="1"/>
  <c r="T1863" i="1"/>
  <c r="U1863" i="1"/>
  <c r="W1863" i="1" s="1"/>
  <c r="T1864" i="1"/>
  <c r="U1864" i="1"/>
  <c r="W1864" i="1" s="1"/>
  <c r="T1865" i="1"/>
  <c r="U1865" i="1"/>
  <c r="X1865" i="1" s="1"/>
  <c r="T1866" i="1"/>
  <c r="U1866" i="1"/>
  <c r="V1866" i="1" s="1"/>
  <c r="X1866" i="1"/>
  <c r="T1867" i="1"/>
  <c r="U1867" i="1"/>
  <c r="V1867" i="1" s="1"/>
  <c r="T1868" i="1"/>
  <c r="U1868" i="1"/>
  <c r="V1868" i="1" s="1"/>
  <c r="T1869" i="1"/>
  <c r="U1869" i="1"/>
  <c r="W1869" i="1" s="1"/>
  <c r="T1870" i="1"/>
  <c r="U1870" i="1"/>
  <c r="W1870" i="1" s="1"/>
  <c r="T1871" i="1"/>
  <c r="U1871" i="1"/>
  <c r="X1871" i="1" s="1"/>
  <c r="T1872" i="1"/>
  <c r="U1872" i="1"/>
  <c r="X1872" i="1" s="1"/>
  <c r="T1873" i="1"/>
  <c r="U1873" i="1"/>
  <c r="X1873" i="1" s="1"/>
  <c r="T1874" i="1"/>
  <c r="U1874" i="1"/>
  <c r="X1874" i="1" s="1"/>
  <c r="T1875" i="1"/>
  <c r="U1875" i="1"/>
  <c r="V1875" i="1" s="1"/>
  <c r="T1876" i="1"/>
  <c r="U1876" i="1"/>
  <c r="X1876" i="1" s="1"/>
  <c r="T1877" i="1"/>
  <c r="U1877" i="1"/>
  <c r="W1877" i="1" s="1"/>
  <c r="T1878" i="1"/>
  <c r="U1878" i="1"/>
  <c r="W1878" i="1" s="1"/>
  <c r="T1879" i="1"/>
  <c r="U1879" i="1"/>
  <c r="T1880" i="1"/>
  <c r="U1880" i="1"/>
  <c r="V1880" i="1" s="1"/>
  <c r="T1881" i="1"/>
  <c r="U1881" i="1"/>
  <c r="X1881" i="1" s="1"/>
  <c r="W1881" i="1"/>
  <c r="T1882" i="1"/>
  <c r="U1882" i="1"/>
  <c r="V1882" i="1" s="1"/>
  <c r="T1883" i="1"/>
  <c r="U1883" i="1"/>
  <c r="V1883" i="1" s="1"/>
  <c r="T1884" i="1"/>
  <c r="U1884" i="1"/>
  <c r="W1884" i="1" s="1"/>
  <c r="X1884" i="1"/>
  <c r="T1885" i="1"/>
  <c r="U1885" i="1"/>
  <c r="W1885" i="1" s="1"/>
  <c r="T1886" i="1"/>
  <c r="U1886" i="1"/>
  <c r="T1887" i="1"/>
  <c r="U1887" i="1"/>
  <c r="V1887" i="1" s="1"/>
  <c r="T1888" i="1"/>
  <c r="U1888" i="1"/>
  <c r="W1888" i="1" s="1"/>
  <c r="T1889" i="1"/>
  <c r="U1889" i="1"/>
  <c r="X1889" i="1" s="1"/>
  <c r="T1890" i="1"/>
  <c r="U1890" i="1"/>
  <c r="T1891" i="1"/>
  <c r="U1891" i="1"/>
  <c r="V1891" i="1" s="1"/>
  <c r="T1892" i="1"/>
  <c r="U1892" i="1"/>
  <c r="W1892" i="1" s="1"/>
  <c r="T1893" i="1"/>
  <c r="U1893" i="1"/>
  <c r="W1893" i="1" s="1"/>
  <c r="T1894" i="1"/>
  <c r="U1894" i="1"/>
  <c r="W1894" i="1" s="1"/>
  <c r="T1895" i="1"/>
  <c r="U1895" i="1"/>
  <c r="T1896" i="1"/>
  <c r="U1896" i="1"/>
  <c r="V1896" i="1" s="1"/>
  <c r="T1897" i="1"/>
  <c r="U1897" i="1"/>
  <c r="X1897" i="1" s="1"/>
  <c r="T1898" i="1"/>
  <c r="U1898" i="1"/>
  <c r="V1898" i="1" s="1"/>
  <c r="T1899" i="1"/>
  <c r="U1899" i="1"/>
  <c r="V1899" i="1" s="1"/>
  <c r="T1900" i="1"/>
  <c r="U1900" i="1"/>
  <c r="X1900" i="1" s="1"/>
  <c r="T1901" i="1"/>
  <c r="U1901" i="1"/>
  <c r="X1901" i="1" s="1"/>
  <c r="T1902" i="1"/>
  <c r="U1902" i="1"/>
  <c r="W1902" i="1" s="1"/>
  <c r="T1903" i="1"/>
  <c r="U1903" i="1"/>
  <c r="X1903" i="1" s="1"/>
  <c r="T1904" i="1"/>
  <c r="U1904" i="1"/>
  <c r="X1904" i="1" s="1"/>
  <c r="T1905" i="1"/>
  <c r="U1905" i="1"/>
  <c r="X1905" i="1" s="1"/>
  <c r="T1906" i="1"/>
  <c r="U1906" i="1"/>
  <c r="X1906" i="1" s="1"/>
  <c r="T1907" i="1"/>
  <c r="U1907" i="1"/>
  <c r="W1907" i="1" s="1"/>
  <c r="T1908" i="1"/>
  <c r="U1908" i="1"/>
  <c r="X1908" i="1" s="1"/>
  <c r="T1909" i="1"/>
  <c r="U1909" i="1"/>
  <c r="X1909" i="1" s="1"/>
  <c r="T1910" i="1"/>
  <c r="U1910" i="1"/>
  <c r="T1911" i="1"/>
  <c r="U1911" i="1"/>
  <c r="W1911" i="1" s="1"/>
  <c r="T1912" i="1"/>
  <c r="U1912" i="1"/>
  <c r="T1913" i="1"/>
  <c r="U1913" i="1"/>
  <c r="X1913" i="1" s="1"/>
  <c r="T1914" i="1"/>
  <c r="U1914" i="1"/>
  <c r="V1914" i="1" s="1"/>
  <c r="T1915" i="1"/>
  <c r="U1915" i="1"/>
  <c r="X1915" i="1" s="1"/>
  <c r="T1916" i="1"/>
  <c r="U1916" i="1"/>
  <c r="V1916" i="1" s="1"/>
  <c r="T1917" i="1"/>
  <c r="U1917" i="1"/>
  <c r="W1917" i="1" s="1"/>
  <c r="T1918" i="1"/>
  <c r="U1918" i="1"/>
  <c r="X1918" i="1" s="1"/>
  <c r="T1919" i="1"/>
  <c r="U1919" i="1"/>
  <c r="W1919" i="1" s="1"/>
  <c r="T1920" i="1"/>
  <c r="U1920" i="1"/>
  <c r="X1920" i="1" s="1"/>
  <c r="T1921" i="1"/>
  <c r="U1921" i="1"/>
  <c r="X1921" i="1" s="1"/>
  <c r="T1922" i="1"/>
  <c r="U1922" i="1"/>
  <c r="V1922" i="1" s="1"/>
  <c r="T1923" i="1"/>
  <c r="U1923" i="1"/>
  <c r="X1923" i="1" s="1"/>
  <c r="T1924" i="1"/>
  <c r="U1924" i="1"/>
  <c r="W1924" i="1" s="1"/>
  <c r="T1925" i="1"/>
  <c r="U1925" i="1"/>
  <c r="T1926" i="1"/>
  <c r="U1926" i="1"/>
  <c r="T1927" i="1"/>
  <c r="U1927" i="1"/>
  <c r="V1927" i="1" s="1"/>
  <c r="T1928" i="1"/>
  <c r="U1928" i="1"/>
  <c r="X1928" i="1" s="1"/>
  <c r="T1929" i="1"/>
  <c r="U1929" i="1"/>
  <c r="W1929" i="1" s="1"/>
  <c r="T1930" i="1"/>
  <c r="U1930" i="1"/>
  <c r="V1930" i="1" s="1"/>
  <c r="T1931" i="1"/>
  <c r="U1931" i="1"/>
  <c r="T1932" i="1"/>
  <c r="U1932" i="1"/>
  <c r="X1932" i="1" s="1"/>
  <c r="T1933" i="1"/>
  <c r="U1933" i="1"/>
  <c r="T1934" i="1"/>
  <c r="U1934" i="1"/>
  <c r="X1934" i="1" s="1"/>
  <c r="T1935" i="1"/>
  <c r="U1935" i="1"/>
  <c r="W1935" i="1" s="1"/>
  <c r="T1936" i="1"/>
  <c r="U1936" i="1"/>
  <c r="W1936" i="1" s="1"/>
  <c r="T1937" i="1"/>
  <c r="U1937" i="1"/>
  <c r="X1937" i="1" s="1"/>
  <c r="T1938" i="1"/>
  <c r="U1938" i="1"/>
  <c r="T1939" i="1"/>
  <c r="U1939" i="1"/>
  <c r="X1939" i="1" s="1"/>
  <c r="V1939" i="1"/>
  <c r="T1940" i="1"/>
  <c r="U1940" i="1"/>
  <c r="X1940" i="1" s="1"/>
  <c r="T1941" i="1"/>
  <c r="U1941" i="1"/>
  <c r="W1941" i="1" s="1"/>
  <c r="T1942" i="1"/>
  <c r="U1942" i="1"/>
  <c r="X1942" i="1" s="1"/>
  <c r="T1943" i="1"/>
  <c r="U1943" i="1"/>
  <c r="X1943" i="1" s="1"/>
  <c r="T1944" i="1"/>
  <c r="U1944" i="1"/>
  <c r="T1945" i="1"/>
  <c r="U1945" i="1"/>
  <c r="X1945" i="1" s="1"/>
  <c r="T1946" i="1"/>
  <c r="U1946" i="1"/>
  <c r="V1946" i="1" s="1"/>
  <c r="T1947" i="1"/>
  <c r="U1947" i="1"/>
  <c r="T1948" i="1"/>
  <c r="U1948" i="1"/>
  <c r="W1948" i="1" s="1"/>
  <c r="T1949" i="1"/>
  <c r="U1949" i="1"/>
  <c r="W1949" i="1" s="1"/>
  <c r="T1950" i="1"/>
  <c r="U1950" i="1"/>
  <c r="W1950" i="1" s="1"/>
  <c r="T1951" i="1"/>
  <c r="U1951" i="1"/>
  <c r="X1951" i="1" s="1"/>
  <c r="T1952" i="1"/>
  <c r="U1952" i="1"/>
  <c r="X1952" i="1" s="1"/>
  <c r="T1953" i="1"/>
  <c r="U1953" i="1"/>
  <c r="X1953" i="1" s="1"/>
  <c r="T1954" i="1"/>
  <c r="U1954" i="1"/>
  <c r="X1954" i="1" s="1"/>
  <c r="T1955" i="1"/>
  <c r="U1955" i="1"/>
  <c r="T1956" i="1"/>
  <c r="U1956" i="1"/>
  <c r="X1956" i="1" s="1"/>
  <c r="T1957" i="1"/>
  <c r="U1957" i="1"/>
  <c r="W1957" i="1" s="1"/>
  <c r="T1958" i="1"/>
  <c r="U1958" i="1"/>
  <c r="T1959" i="1"/>
  <c r="U1959" i="1"/>
  <c r="T1960" i="1"/>
  <c r="U1960" i="1"/>
  <c r="X1960" i="1" s="1"/>
  <c r="T1961" i="1"/>
  <c r="U1961" i="1"/>
  <c r="W1961" i="1" s="1"/>
  <c r="T1962" i="1"/>
  <c r="U1962" i="1"/>
  <c r="T1963" i="1"/>
  <c r="U1963" i="1"/>
  <c r="X1963" i="1" s="1"/>
  <c r="T1964" i="1"/>
  <c r="U1964" i="1"/>
  <c r="T1965" i="1"/>
  <c r="U1965" i="1"/>
  <c r="W1965" i="1" s="1"/>
  <c r="T1966" i="1"/>
  <c r="U1966" i="1"/>
  <c r="T1967" i="1"/>
  <c r="U1967" i="1"/>
  <c r="W1967" i="1" s="1"/>
  <c r="T1968" i="1"/>
  <c r="U1968" i="1"/>
  <c r="X1968" i="1" s="1"/>
  <c r="T1969" i="1"/>
  <c r="U1969" i="1"/>
  <c r="W1969" i="1" s="1"/>
  <c r="T1970" i="1"/>
  <c r="U1970" i="1"/>
  <c r="V1970" i="1" s="1"/>
  <c r="T1971" i="1"/>
  <c r="U1971" i="1"/>
  <c r="X1971" i="1" s="1"/>
  <c r="T1972" i="1"/>
  <c r="U1972" i="1"/>
  <c r="X1972" i="1" s="1"/>
  <c r="T1973" i="1"/>
  <c r="U1973" i="1"/>
  <c r="T1974" i="1"/>
  <c r="U1974" i="1"/>
  <c r="T1975" i="1"/>
  <c r="U1975" i="1"/>
  <c r="W1975" i="1" s="1"/>
  <c r="T1976" i="1"/>
  <c r="U1976" i="1"/>
  <c r="T1977" i="1"/>
  <c r="U1977" i="1"/>
  <c r="V1977" i="1" s="1"/>
  <c r="T1978" i="1"/>
  <c r="U1978" i="1"/>
  <c r="V1978" i="1" s="1"/>
  <c r="T1979" i="1"/>
  <c r="U1979" i="1"/>
  <c r="X1979" i="1" s="1"/>
  <c r="T1980" i="1"/>
  <c r="U1980" i="1"/>
  <c r="W1980" i="1" s="1"/>
  <c r="T1981" i="1"/>
  <c r="U1981" i="1"/>
  <c r="W1981" i="1" s="1"/>
  <c r="T1982" i="1"/>
  <c r="U1982" i="1"/>
  <c r="T1983" i="1"/>
  <c r="U1983" i="1"/>
  <c r="W1983" i="1" s="1"/>
  <c r="T1984" i="1"/>
  <c r="U1984" i="1"/>
  <c r="X1984" i="1" s="1"/>
  <c r="T1985" i="1"/>
  <c r="U1985" i="1"/>
  <c r="X1985" i="1" s="1"/>
  <c r="T1986" i="1"/>
  <c r="U1986" i="1"/>
  <c r="V1986" i="1" s="1"/>
  <c r="T1987" i="1"/>
  <c r="U1987" i="1"/>
  <c r="X1987" i="1" s="1"/>
  <c r="T1988" i="1"/>
  <c r="U1988" i="1"/>
  <c r="X1988" i="1" s="1"/>
  <c r="T1989" i="1"/>
  <c r="U1989" i="1"/>
  <c r="V1989" i="1" s="1"/>
  <c r="T1990" i="1"/>
  <c r="U1990" i="1"/>
  <c r="W1990" i="1" s="1"/>
  <c r="T1991" i="1"/>
  <c r="U1991" i="1"/>
  <c r="W1991" i="1" s="1"/>
  <c r="T1992" i="1"/>
  <c r="U1992" i="1"/>
  <c r="X1992" i="1" s="1"/>
  <c r="T1993" i="1"/>
  <c r="U1993" i="1"/>
  <c r="T1994" i="1"/>
  <c r="U1994" i="1"/>
  <c r="V1994" i="1" s="1"/>
  <c r="T1995" i="1"/>
  <c r="U1995" i="1"/>
  <c r="X1995" i="1" s="1"/>
  <c r="T1996" i="1"/>
  <c r="U1996" i="1"/>
  <c r="X1996" i="1" s="1"/>
  <c r="T1997" i="1"/>
  <c r="U1997" i="1"/>
  <c r="W1997" i="1" s="1"/>
  <c r="T1998" i="1"/>
  <c r="U1998" i="1"/>
  <c r="X1998" i="1" s="1"/>
  <c r="T1999" i="1"/>
  <c r="U1999" i="1"/>
  <c r="W1999" i="1" s="1"/>
  <c r="X1999" i="1"/>
  <c r="T2000" i="1"/>
  <c r="U2000" i="1"/>
  <c r="X2000" i="1" s="1"/>
  <c r="T2001" i="1"/>
  <c r="U2001" i="1"/>
  <c r="X2001" i="1" s="1"/>
  <c r="T2002" i="1"/>
  <c r="U2002" i="1"/>
  <c r="V2002" i="1" s="1"/>
  <c r="T2003" i="1"/>
  <c r="U2003" i="1"/>
  <c r="V2003" i="1" s="1"/>
  <c r="T2004" i="1"/>
  <c r="U2004" i="1"/>
  <c r="X2004" i="1" s="1"/>
  <c r="T2005" i="1"/>
  <c r="U2005" i="1"/>
  <c r="W2005" i="1" s="1"/>
  <c r="T2006" i="1"/>
  <c r="U2006" i="1"/>
  <c r="W2006" i="1" s="1"/>
  <c r="T2007" i="1"/>
  <c r="U2007" i="1"/>
  <c r="W2007" i="1" s="1"/>
  <c r="T2008" i="1"/>
  <c r="U2008" i="1"/>
  <c r="X2008" i="1" s="1"/>
  <c r="T2009" i="1"/>
  <c r="U2009" i="1"/>
  <c r="W2009" i="1" s="1"/>
  <c r="T2010" i="1"/>
  <c r="U2010" i="1"/>
  <c r="V2010" i="1" s="1"/>
  <c r="T2011" i="1"/>
  <c r="U2011" i="1"/>
  <c r="X2011" i="1" s="1"/>
  <c r="T2012" i="1"/>
  <c r="U2012" i="1"/>
  <c r="W2012" i="1" s="1"/>
  <c r="T2013" i="1"/>
  <c r="U2013" i="1"/>
  <c r="T2014" i="1"/>
  <c r="U2014" i="1"/>
  <c r="X2014" i="1" s="1"/>
  <c r="T2015" i="1"/>
  <c r="U2015" i="1"/>
  <c r="V2015" i="1" s="1"/>
  <c r="T2016" i="1"/>
  <c r="U2016" i="1"/>
  <c r="X2016" i="1" s="1"/>
  <c r="T2017" i="1"/>
  <c r="U2017" i="1"/>
  <c r="X2017" i="1" s="1"/>
  <c r="T2018" i="1"/>
  <c r="U2018" i="1"/>
  <c r="V2018" i="1" s="1"/>
  <c r="T2019" i="1"/>
  <c r="U2019" i="1"/>
  <c r="W2019" i="1" s="1"/>
  <c r="T2020" i="1"/>
  <c r="U2020" i="1"/>
  <c r="X2020" i="1" s="1"/>
  <c r="T2021" i="1"/>
  <c r="U2021" i="1"/>
  <c r="T2022" i="1"/>
  <c r="U2022" i="1"/>
  <c r="X2022" i="1" s="1"/>
  <c r="T2023" i="1"/>
  <c r="U2023" i="1"/>
  <c r="W2023" i="1" s="1"/>
  <c r="T2024" i="1"/>
  <c r="U2024" i="1"/>
  <c r="X2024" i="1" s="1"/>
  <c r="T2025" i="1"/>
  <c r="U2025" i="1"/>
  <c r="X2025" i="1" s="1"/>
  <c r="T2026" i="1"/>
  <c r="U2026" i="1"/>
  <c r="V2026" i="1" s="1"/>
  <c r="T2027" i="1"/>
  <c r="U2027" i="1"/>
  <c r="X2027" i="1" s="1"/>
  <c r="T2028" i="1"/>
  <c r="U2028" i="1"/>
  <c r="W2028" i="1" s="1"/>
  <c r="T2029" i="1"/>
  <c r="U2029" i="1"/>
  <c r="W2029" i="1" s="1"/>
  <c r="T2030" i="1"/>
  <c r="U2030" i="1"/>
  <c r="X2030" i="1" s="1"/>
  <c r="T2031" i="1"/>
  <c r="U2031" i="1"/>
  <c r="W2031" i="1" s="1"/>
  <c r="T2032" i="1"/>
  <c r="U2032" i="1"/>
  <c r="X2032" i="1" s="1"/>
  <c r="T2033" i="1"/>
  <c r="U2033" i="1"/>
  <c r="T2034" i="1"/>
  <c r="U2034" i="1"/>
  <c r="V2034" i="1" s="1"/>
  <c r="X2034" i="1"/>
  <c r="T2035" i="1"/>
  <c r="U2035" i="1"/>
  <c r="T2036" i="1"/>
  <c r="U2036" i="1"/>
  <c r="X2036" i="1" s="1"/>
  <c r="T2037" i="1"/>
  <c r="U2037" i="1"/>
  <c r="W2037" i="1" s="1"/>
  <c r="T2038" i="1"/>
  <c r="U2038" i="1"/>
  <c r="W2038" i="1" s="1"/>
  <c r="T2039" i="1"/>
  <c r="U2039" i="1"/>
  <c r="V2039" i="1" s="1"/>
  <c r="T2040" i="1"/>
  <c r="U2040" i="1"/>
  <c r="X2040" i="1" s="1"/>
  <c r="T2041" i="1"/>
  <c r="U2041" i="1"/>
  <c r="X2041" i="1" s="1"/>
  <c r="T2042" i="1"/>
  <c r="U2042" i="1"/>
  <c r="V2042" i="1" s="1"/>
  <c r="T2043" i="1"/>
  <c r="U2043" i="1"/>
  <c r="X2043" i="1" s="1"/>
  <c r="T2044" i="1"/>
  <c r="U2044" i="1"/>
  <c r="X2044" i="1" s="1"/>
  <c r="T2045" i="1"/>
  <c r="U2045" i="1"/>
  <c r="W2045" i="1" s="1"/>
  <c r="T2046" i="1"/>
  <c r="U2046" i="1"/>
  <c r="X2046" i="1" s="1"/>
  <c r="T2047" i="1"/>
  <c r="U2047" i="1"/>
  <c r="X2047" i="1" s="1"/>
  <c r="T2048" i="1"/>
  <c r="U2048" i="1"/>
  <c r="X2048" i="1" s="1"/>
  <c r="T2049" i="1"/>
  <c r="U2049" i="1"/>
  <c r="T2050" i="1"/>
  <c r="U2050" i="1"/>
  <c r="V2050" i="1" s="1"/>
  <c r="T2051" i="1"/>
  <c r="U2051" i="1"/>
  <c r="X2051" i="1" s="1"/>
  <c r="T2052" i="1"/>
  <c r="U2052" i="1"/>
  <c r="X2052" i="1" s="1"/>
  <c r="T2053" i="1"/>
  <c r="U2053" i="1"/>
  <c r="W2053" i="1" s="1"/>
  <c r="T2054" i="1"/>
  <c r="U2054" i="1"/>
  <c r="W2054" i="1" s="1"/>
  <c r="T2055" i="1"/>
  <c r="U2055" i="1"/>
  <c r="X2055" i="1" s="1"/>
  <c r="T2056" i="1"/>
  <c r="U2056" i="1"/>
  <c r="X2056" i="1" s="1"/>
  <c r="V2056" i="1"/>
  <c r="T2057" i="1"/>
  <c r="U2057" i="1"/>
  <c r="W2057" i="1" s="1"/>
  <c r="T2058" i="1"/>
  <c r="U2058" i="1"/>
  <c r="V2058" i="1" s="1"/>
  <c r="T2059" i="1"/>
  <c r="U2059" i="1"/>
  <c r="X2059" i="1" s="1"/>
  <c r="T2060" i="1"/>
  <c r="U2060" i="1"/>
  <c r="T2061" i="1"/>
  <c r="U2061" i="1"/>
  <c r="W2061" i="1" s="1"/>
  <c r="T2062" i="1"/>
  <c r="U2062" i="1"/>
  <c r="X2062" i="1" s="1"/>
  <c r="T2063" i="1"/>
  <c r="U2063" i="1"/>
  <c r="W2063" i="1" s="1"/>
  <c r="T2064" i="1"/>
  <c r="U2064" i="1"/>
  <c r="X2064" i="1" s="1"/>
  <c r="T2065" i="1"/>
  <c r="U2065" i="1"/>
  <c r="X2065" i="1" s="1"/>
  <c r="T2066" i="1"/>
  <c r="U2066" i="1"/>
  <c r="V2066" i="1" s="1"/>
  <c r="T2067" i="1"/>
  <c r="U2067" i="1"/>
  <c r="V2067" i="1" s="1"/>
  <c r="T2068" i="1"/>
  <c r="U2068" i="1"/>
  <c r="X2068" i="1" s="1"/>
  <c r="T2069" i="1"/>
  <c r="U2069" i="1"/>
  <c r="W2069" i="1" s="1"/>
  <c r="T2070" i="1"/>
  <c r="U2070" i="1"/>
  <c r="V2070" i="1" s="1"/>
  <c r="T2071" i="1"/>
  <c r="U2071" i="1"/>
  <c r="X2071" i="1" s="1"/>
  <c r="T2072" i="1"/>
  <c r="U2072" i="1"/>
  <c r="X2072" i="1" s="1"/>
  <c r="T2073" i="1"/>
  <c r="U2073" i="1"/>
  <c r="W2073" i="1" s="1"/>
  <c r="T2074" i="1"/>
  <c r="U2074" i="1"/>
  <c r="V2074" i="1" s="1"/>
  <c r="T2075" i="1"/>
  <c r="U2075" i="1"/>
  <c r="X2075" i="1" s="1"/>
  <c r="T2076" i="1"/>
  <c r="U2076" i="1"/>
  <c r="W2076" i="1" s="1"/>
  <c r="T2077" i="1"/>
  <c r="U2077" i="1"/>
  <c r="W2077" i="1" s="1"/>
  <c r="T2078" i="1"/>
  <c r="U2078" i="1"/>
  <c r="X2078" i="1" s="1"/>
  <c r="T2079" i="1"/>
  <c r="U2079" i="1"/>
  <c r="V2079" i="1" s="1"/>
  <c r="T2080" i="1"/>
  <c r="U2080" i="1"/>
  <c r="X2080" i="1" s="1"/>
  <c r="T2081" i="1"/>
  <c r="U2081" i="1"/>
  <c r="X2081" i="1" s="1"/>
  <c r="T2082" i="1"/>
  <c r="U2082" i="1"/>
  <c r="V2082" i="1" s="1"/>
  <c r="T2083" i="1"/>
  <c r="U2083" i="1"/>
  <c r="W2083" i="1" s="1"/>
  <c r="T2084" i="1"/>
  <c r="U2084" i="1"/>
  <c r="X2084" i="1" s="1"/>
  <c r="T2085" i="1"/>
  <c r="U2085" i="1"/>
  <c r="W2085" i="1" s="1"/>
  <c r="T2086" i="1"/>
  <c r="U2086" i="1"/>
  <c r="X2086" i="1" s="1"/>
  <c r="T2087" i="1"/>
  <c r="U2087" i="1"/>
  <c r="X2087" i="1" s="1"/>
  <c r="V2087" i="1"/>
  <c r="T2088" i="1"/>
  <c r="U2088" i="1"/>
  <c r="X2088" i="1" s="1"/>
  <c r="T2089" i="1"/>
  <c r="U2089" i="1"/>
  <c r="X2089" i="1" s="1"/>
  <c r="T2090" i="1"/>
  <c r="U2090" i="1"/>
  <c r="V2090" i="1" s="1"/>
  <c r="T2091" i="1"/>
  <c r="U2091" i="1"/>
  <c r="X2091" i="1" s="1"/>
  <c r="T2092" i="1"/>
  <c r="U2092" i="1"/>
  <c r="W2092" i="1" s="1"/>
  <c r="T2093" i="1"/>
  <c r="U2093" i="1"/>
  <c r="W2093" i="1" s="1"/>
  <c r="T2094" i="1"/>
  <c r="U2094" i="1"/>
  <c r="X2094" i="1" s="1"/>
  <c r="T2095" i="1"/>
  <c r="U2095" i="1"/>
  <c r="W2095" i="1" s="1"/>
  <c r="T2096" i="1"/>
  <c r="U2096" i="1"/>
  <c r="X2096" i="1" s="1"/>
  <c r="T2097" i="1"/>
  <c r="U2097" i="1"/>
  <c r="X2097" i="1" s="1"/>
  <c r="T2098" i="1"/>
  <c r="U2098" i="1"/>
  <c r="T2099" i="1"/>
  <c r="U2099" i="1"/>
  <c r="W2099" i="1" s="1"/>
  <c r="T2100" i="1"/>
  <c r="U2100" i="1"/>
  <c r="X2100" i="1" s="1"/>
  <c r="T2101" i="1"/>
  <c r="U2101" i="1"/>
  <c r="W2101" i="1" s="1"/>
  <c r="T2102" i="1"/>
  <c r="U2102" i="1"/>
  <c r="W2102" i="1" s="1"/>
  <c r="T2103" i="1"/>
  <c r="U2103" i="1"/>
  <c r="W2103" i="1" s="1"/>
  <c r="T2104" i="1"/>
  <c r="U2104" i="1"/>
  <c r="X2104" i="1" s="1"/>
  <c r="T2105" i="1"/>
  <c r="U2105" i="1"/>
  <c r="X2105" i="1" s="1"/>
  <c r="T2106" i="1"/>
  <c r="U2106" i="1"/>
  <c r="V2106" i="1" s="1"/>
  <c r="T2107" i="1"/>
  <c r="U2107" i="1"/>
  <c r="X2107" i="1" s="1"/>
  <c r="T2108" i="1"/>
  <c r="U2108" i="1"/>
  <c r="W2108" i="1" s="1"/>
  <c r="T2109" i="1"/>
  <c r="U2109" i="1"/>
  <c r="V2109" i="1" s="1"/>
  <c r="T2110" i="1"/>
  <c r="U2110" i="1"/>
  <c r="X2110" i="1" s="1"/>
  <c r="T2111" i="1"/>
  <c r="U2111" i="1"/>
  <c r="X2111" i="1" s="1"/>
  <c r="T2112" i="1"/>
  <c r="U2112" i="1"/>
  <c r="W2112" i="1" s="1"/>
  <c r="T2113" i="1"/>
  <c r="U2113" i="1"/>
  <c r="X2113" i="1" s="1"/>
  <c r="T2114" i="1"/>
  <c r="U2114" i="1"/>
  <c r="W2114" i="1" s="1"/>
  <c r="T2115" i="1"/>
  <c r="U2115" i="1"/>
  <c r="X2115" i="1" s="1"/>
  <c r="T2116" i="1"/>
  <c r="U2116" i="1"/>
  <c r="X2116" i="1" s="1"/>
  <c r="T2117" i="1"/>
  <c r="U2117" i="1"/>
  <c r="X2117" i="1" s="1"/>
  <c r="V2117" i="1"/>
  <c r="W2117" i="1"/>
  <c r="T2118" i="1"/>
  <c r="U2118" i="1"/>
  <c r="X2118" i="1" s="1"/>
  <c r="T2119" i="1"/>
  <c r="U2119" i="1"/>
  <c r="X2119" i="1" s="1"/>
  <c r="T2120" i="1"/>
  <c r="U2120" i="1"/>
  <c r="W2120" i="1" s="1"/>
  <c r="X2120" i="1"/>
  <c r="T2121" i="1"/>
  <c r="U2121" i="1"/>
  <c r="X2121" i="1" s="1"/>
  <c r="T2122" i="1"/>
  <c r="U2122" i="1"/>
  <c r="X2122" i="1" s="1"/>
  <c r="T2123" i="1"/>
  <c r="U2123" i="1"/>
  <c r="X2123" i="1" s="1"/>
  <c r="T2124" i="1"/>
  <c r="U2124" i="1"/>
  <c r="X2124" i="1" s="1"/>
  <c r="T2125" i="1"/>
  <c r="U2125" i="1"/>
  <c r="X2125" i="1" s="1"/>
  <c r="T2126" i="1"/>
  <c r="U2126" i="1"/>
  <c r="T2127" i="1"/>
  <c r="U2127" i="1"/>
  <c r="X2127" i="1" s="1"/>
  <c r="T2128" i="1"/>
  <c r="U2128" i="1"/>
  <c r="W2128" i="1" s="1"/>
  <c r="T2129" i="1"/>
  <c r="U2129" i="1"/>
  <c r="X2129" i="1" s="1"/>
  <c r="T2130" i="1"/>
  <c r="U2130" i="1"/>
  <c r="W2130" i="1" s="1"/>
  <c r="T2131" i="1"/>
  <c r="U2131" i="1"/>
  <c r="X2131" i="1" s="1"/>
  <c r="T2132" i="1"/>
  <c r="U2132" i="1"/>
  <c r="W2132" i="1" s="1"/>
  <c r="T2133" i="1"/>
  <c r="U2133" i="1"/>
  <c r="X2133" i="1" s="1"/>
  <c r="T2134" i="1"/>
  <c r="U2134" i="1"/>
  <c r="X2134" i="1" s="1"/>
  <c r="T2135" i="1"/>
  <c r="U2135" i="1"/>
  <c r="X2135" i="1" s="1"/>
  <c r="T2136" i="1"/>
  <c r="U2136" i="1"/>
  <c r="W2136" i="1" s="1"/>
  <c r="T2137" i="1"/>
  <c r="U2137" i="1"/>
  <c r="X2137" i="1" s="1"/>
  <c r="T2138" i="1"/>
  <c r="U2138" i="1"/>
  <c r="W2138" i="1" s="1"/>
  <c r="T2139" i="1"/>
  <c r="U2139" i="1"/>
  <c r="X2139" i="1" s="1"/>
  <c r="T2140" i="1"/>
  <c r="U2140" i="1"/>
  <c r="X2140" i="1" s="1"/>
  <c r="T2141" i="1"/>
  <c r="U2141" i="1"/>
  <c r="X2141" i="1" s="1"/>
  <c r="T2142" i="1"/>
  <c r="U2142" i="1"/>
  <c r="X2142" i="1" s="1"/>
  <c r="T2143" i="1"/>
  <c r="U2143" i="1"/>
  <c r="X2143" i="1" s="1"/>
  <c r="T2144" i="1"/>
  <c r="U2144" i="1"/>
  <c r="W2144" i="1" s="1"/>
  <c r="T2145" i="1"/>
  <c r="U2145" i="1"/>
  <c r="X2145" i="1" s="1"/>
  <c r="T2146" i="1"/>
  <c r="U2146" i="1"/>
  <c r="W2146" i="1" s="1"/>
  <c r="T2147" i="1"/>
  <c r="U2147" i="1"/>
  <c r="X2147" i="1" s="1"/>
  <c r="T2148" i="1"/>
  <c r="U2148" i="1"/>
  <c r="W2148" i="1" s="1"/>
  <c r="T2149" i="1"/>
  <c r="U2149" i="1"/>
  <c r="X2149" i="1" s="1"/>
  <c r="V2149" i="1"/>
  <c r="T2150" i="1"/>
  <c r="U2150" i="1"/>
  <c r="X2150" i="1" s="1"/>
  <c r="W2150" i="1"/>
  <c r="T2151" i="1"/>
  <c r="U2151" i="1"/>
  <c r="X2151" i="1" s="1"/>
  <c r="T2152" i="1"/>
  <c r="U2152" i="1"/>
  <c r="W2152" i="1" s="1"/>
  <c r="X2152" i="1"/>
  <c r="T2153" i="1"/>
  <c r="U2153" i="1"/>
  <c r="X2153" i="1" s="1"/>
  <c r="T2154" i="1"/>
  <c r="U2154" i="1"/>
  <c r="W2154" i="1" s="1"/>
  <c r="T2155" i="1"/>
  <c r="U2155" i="1"/>
  <c r="X2155" i="1" s="1"/>
  <c r="T2156" i="1"/>
  <c r="U2156" i="1"/>
  <c r="X2156" i="1" s="1"/>
  <c r="T2157" i="1"/>
  <c r="U2157" i="1"/>
  <c r="X2157" i="1" s="1"/>
  <c r="T2158" i="1"/>
  <c r="U2158" i="1"/>
  <c r="X2158" i="1" s="1"/>
  <c r="T2159" i="1"/>
  <c r="U2159" i="1"/>
  <c r="X2159" i="1" s="1"/>
  <c r="T2160" i="1"/>
  <c r="U2160" i="1"/>
  <c r="W2160" i="1" s="1"/>
  <c r="T2161" i="1"/>
  <c r="U2161" i="1"/>
  <c r="X2161" i="1" s="1"/>
  <c r="T2162" i="1"/>
  <c r="U2162" i="1"/>
  <c r="W2162" i="1" s="1"/>
  <c r="T2163" i="1"/>
  <c r="U2163" i="1"/>
  <c r="X2163" i="1" s="1"/>
  <c r="T2164" i="1"/>
  <c r="U2164" i="1"/>
  <c r="V2164" i="1" s="1"/>
  <c r="T2165" i="1"/>
  <c r="U2165" i="1"/>
  <c r="X2165" i="1" s="1"/>
  <c r="T2166" i="1"/>
  <c r="U2166" i="1"/>
  <c r="X2166" i="1" s="1"/>
  <c r="T2167" i="1"/>
  <c r="U2167" i="1"/>
  <c r="X2167" i="1" s="1"/>
  <c r="T2168" i="1"/>
  <c r="U2168" i="1"/>
  <c r="W2168" i="1" s="1"/>
  <c r="T2169" i="1"/>
  <c r="U2169" i="1"/>
  <c r="X2169" i="1" s="1"/>
  <c r="T2170" i="1"/>
  <c r="U2170" i="1"/>
  <c r="W2170" i="1" s="1"/>
  <c r="T2171" i="1"/>
  <c r="U2171" i="1"/>
  <c r="X2171" i="1" s="1"/>
  <c r="T2172" i="1"/>
  <c r="U2172" i="1"/>
  <c r="X2172" i="1" s="1"/>
  <c r="T2173" i="1"/>
  <c r="U2173" i="1"/>
  <c r="X2173" i="1" s="1"/>
  <c r="T2174" i="1"/>
  <c r="U2174" i="1"/>
  <c r="X2174" i="1" s="1"/>
  <c r="T2175" i="1"/>
  <c r="U2175" i="1"/>
  <c r="X2175" i="1" s="1"/>
  <c r="T2176" i="1"/>
  <c r="U2176" i="1"/>
  <c r="W2176" i="1" s="1"/>
  <c r="T2177" i="1"/>
  <c r="U2177" i="1"/>
  <c r="X2177" i="1" s="1"/>
  <c r="T2178" i="1"/>
  <c r="U2178" i="1"/>
  <c r="W2178" i="1" s="1"/>
  <c r="T2179" i="1"/>
  <c r="U2179" i="1"/>
  <c r="X2179" i="1" s="1"/>
  <c r="T2180" i="1"/>
  <c r="U2180" i="1"/>
  <c r="W2180" i="1" s="1"/>
  <c r="T2181" i="1"/>
  <c r="U2181" i="1"/>
  <c r="X2181" i="1" s="1"/>
  <c r="T2182" i="1"/>
  <c r="U2182" i="1"/>
  <c r="X2182" i="1" s="1"/>
  <c r="T2183" i="1"/>
  <c r="U2183" i="1"/>
  <c r="X2183" i="1" s="1"/>
  <c r="T2184" i="1"/>
  <c r="U2184" i="1"/>
  <c r="W2184" i="1" s="1"/>
  <c r="T2185" i="1"/>
  <c r="U2185" i="1"/>
  <c r="X2185" i="1" s="1"/>
  <c r="T2186" i="1"/>
  <c r="U2186" i="1"/>
  <c r="W2186" i="1" s="1"/>
  <c r="T2187" i="1"/>
  <c r="U2187" i="1"/>
  <c r="X2187" i="1" s="1"/>
  <c r="T2188" i="1"/>
  <c r="U2188" i="1"/>
  <c r="X2188" i="1" s="1"/>
  <c r="T2189" i="1"/>
  <c r="U2189" i="1"/>
  <c r="X2189" i="1" s="1"/>
  <c r="T2190" i="1"/>
  <c r="U2190" i="1"/>
  <c r="X2190" i="1" s="1"/>
  <c r="T2191" i="1"/>
  <c r="U2191" i="1"/>
  <c r="X2191" i="1" s="1"/>
  <c r="T2192" i="1"/>
  <c r="U2192" i="1"/>
  <c r="W2192" i="1" s="1"/>
  <c r="T2193" i="1"/>
  <c r="U2193" i="1"/>
  <c r="X2193" i="1" s="1"/>
  <c r="T2194" i="1"/>
  <c r="U2194" i="1"/>
  <c r="W2194" i="1" s="1"/>
  <c r="T2195" i="1"/>
  <c r="U2195" i="1"/>
  <c r="X2195" i="1" s="1"/>
  <c r="T2196" i="1"/>
  <c r="U2196" i="1"/>
  <c r="V2196" i="1" s="1"/>
  <c r="T2197" i="1"/>
  <c r="U2197" i="1"/>
  <c r="X2197" i="1" s="1"/>
  <c r="T2198" i="1"/>
  <c r="U2198" i="1"/>
  <c r="X2198" i="1" s="1"/>
  <c r="T2199" i="1"/>
  <c r="U2199" i="1"/>
  <c r="X2199" i="1" s="1"/>
  <c r="T2200" i="1"/>
  <c r="U2200" i="1"/>
  <c r="W2200" i="1" s="1"/>
  <c r="T2201" i="1"/>
  <c r="U2201" i="1"/>
  <c r="X2201" i="1" s="1"/>
  <c r="T2202" i="1"/>
  <c r="U2202" i="1"/>
  <c r="W2202" i="1" s="1"/>
  <c r="T2203" i="1"/>
  <c r="U2203" i="1"/>
  <c r="X2203" i="1" s="1"/>
  <c r="T2204" i="1"/>
  <c r="U2204" i="1"/>
  <c r="X2204" i="1" s="1"/>
  <c r="T2205" i="1"/>
  <c r="U2205" i="1"/>
  <c r="X2205" i="1" s="1"/>
  <c r="T2206" i="1"/>
  <c r="U2206" i="1"/>
  <c r="X2206" i="1" s="1"/>
  <c r="T2207" i="1"/>
  <c r="U2207" i="1"/>
  <c r="W2207" i="1" s="1"/>
  <c r="T2208" i="1"/>
  <c r="U2208" i="1"/>
  <c r="W2208" i="1" s="1"/>
  <c r="T2209" i="1"/>
  <c r="U2209" i="1"/>
  <c r="T2210" i="1"/>
  <c r="U2210" i="1"/>
  <c r="W2210" i="1" s="1"/>
  <c r="T2211" i="1"/>
  <c r="U2211" i="1"/>
  <c r="X2211" i="1" s="1"/>
  <c r="T2212" i="1"/>
  <c r="U2212" i="1"/>
  <c r="W2212" i="1" s="1"/>
  <c r="T2213" i="1"/>
  <c r="U2213" i="1"/>
  <c r="X2213" i="1" s="1"/>
  <c r="T2214" i="1"/>
  <c r="U2214" i="1"/>
  <c r="X2214" i="1" s="1"/>
  <c r="T2215" i="1"/>
  <c r="U2215" i="1"/>
  <c r="W2215" i="1" s="1"/>
  <c r="T2216" i="1"/>
  <c r="U2216" i="1"/>
  <c r="W2216" i="1" s="1"/>
  <c r="T2217" i="1"/>
  <c r="U2217" i="1"/>
  <c r="T2218" i="1"/>
  <c r="U2218" i="1"/>
  <c r="W2218" i="1" s="1"/>
  <c r="T2219" i="1"/>
  <c r="U2219" i="1"/>
  <c r="X2219" i="1" s="1"/>
  <c r="T2220" i="1"/>
  <c r="U2220" i="1"/>
  <c r="W2220" i="1" s="1"/>
  <c r="T2221" i="1"/>
  <c r="U2221" i="1"/>
  <c r="X2221" i="1" s="1"/>
  <c r="T2222" i="1"/>
  <c r="U2222" i="1"/>
  <c r="X2222" i="1" s="1"/>
  <c r="T2223" i="1"/>
  <c r="U2223" i="1"/>
  <c r="W2223" i="1" s="1"/>
  <c r="T2224" i="1"/>
  <c r="U2224" i="1"/>
  <c r="W2224" i="1" s="1"/>
  <c r="T2225" i="1"/>
  <c r="U2225" i="1"/>
  <c r="T2226" i="1"/>
  <c r="U2226" i="1"/>
  <c r="W2226" i="1" s="1"/>
  <c r="T2227" i="1"/>
  <c r="U2227" i="1"/>
  <c r="X2227" i="1" s="1"/>
  <c r="T2228" i="1"/>
  <c r="U2228" i="1"/>
  <c r="X2228" i="1" s="1"/>
  <c r="T2229" i="1"/>
  <c r="U2229" i="1"/>
  <c r="X2229" i="1" s="1"/>
  <c r="T2230" i="1"/>
  <c r="U2230" i="1"/>
  <c r="X2230" i="1" s="1"/>
  <c r="T2231" i="1"/>
  <c r="U2231" i="1"/>
  <c r="W2231" i="1" s="1"/>
  <c r="T2232" i="1"/>
  <c r="U2232" i="1"/>
  <c r="W2232" i="1" s="1"/>
  <c r="T2233" i="1"/>
  <c r="U2233" i="1"/>
  <c r="T2234" i="1"/>
  <c r="U2234" i="1"/>
  <c r="W2234" i="1" s="1"/>
  <c r="T2235" i="1"/>
  <c r="U2235" i="1"/>
  <c r="X2235" i="1" s="1"/>
  <c r="T2236" i="1"/>
  <c r="U2236" i="1"/>
  <c r="W2236" i="1" s="1"/>
  <c r="T2237" i="1"/>
  <c r="U2237" i="1"/>
  <c r="X2237" i="1" s="1"/>
  <c r="T2238" i="1"/>
  <c r="U2238" i="1"/>
  <c r="X2238" i="1" s="1"/>
  <c r="T2239" i="1"/>
  <c r="U2239" i="1"/>
  <c r="T2240" i="1"/>
  <c r="U2240" i="1"/>
  <c r="W2240" i="1" s="1"/>
  <c r="T2241" i="1"/>
  <c r="U2241" i="1"/>
  <c r="T2242" i="1"/>
  <c r="U2242" i="1"/>
  <c r="W2242" i="1" s="1"/>
  <c r="T2243" i="1"/>
  <c r="U2243" i="1"/>
  <c r="T2244" i="1"/>
  <c r="U2244" i="1"/>
  <c r="W2244" i="1" s="1"/>
  <c r="X2244" i="1"/>
  <c r="T2245" i="1"/>
  <c r="U2245" i="1"/>
  <c r="X2245" i="1" s="1"/>
  <c r="T2246" i="1"/>
  <c r="U2246" i="1"/>
  <c r="X2246" i="1" s="1"/>
  <c r="T2247" i="1"/>
  <c r="U2247" i="1"/>
  <c r="W2247" i="1" s="1"/>
  <c r="T2248" i="1"/>
  <c r="U2248" i="1"/>
  <c r="W2248" i="1" s="1"/>
  <c r="T2249" i="1"/>
  <c r="U2249" i="1"/>
  <c r="W2249" i="1" s="1"/>
  <c r="T2250" i="1"/>
  <c r="U2250" i="1"/>
  <c r="W2250" i="1" s="1"/>
  <c r="T2251" i="1"/>
  <c r="U2251" i="1"/>
  <c r="T2252" i="1"/>
  <c r="U2252" i="1"/>
  <c r="X2252" i="1" s="1"/>
  <c r="T2253" i="1"/>
  <c r="U2253" i="1"/>
  <c r="X2253" i="1" s="1"/>
  <c r="T2254" i="1"/>
  <c r="U2254" i="1"/>
  <c r="X2254" i="1" s="1"/>
  <c r="T2255" i="1"/>
  <c r="U2255" i="1"/>
  <c r="T2256" i="1"/>
  <c r="U2256" i="1"/>
  <c r="W2256" i="1" s="1"/>
  <c r="T2257" i="1"/>
  <c r="U2257" i="1"/>
  <c r="T2258" i="1"/>
  <c r="U2258" i="1"/>
  <c r="W2258" i="1" s="1"/>
  <c r="T2259" i="1"/>
  <c r="U2259" i="1"/>
  <c r="T2260" i="1"/>
  <c r="U2260" i="1"/>
  <c r="W2260" i="1" s="1"/>
  <c r="T2261" i="1"/>
  <c r="U2261" i="1"/>
  <c r="X2261" i="1" s="1"/>
  <c r="T2262" i="1"/>
  <c r="U2262" i="1"/>
  <c r="X2262" i="1" s="1"/>
  <c r="T2263" i="1"/>
  <c r="U2263" i="1"/>
  <c r="W2263" i="1" s="1"/>
  <c r="T2264" i="1"/>
  <c r="U2264" i="1"/>
  <c r="W2264" i="1" s="1"/>
  <c r="T2265" i="1"/>
  <c r="U2265" i="1"/>
  <c r="W2265" i="1"/>
  <c r="T2266" i="1"/>
  <c r="U2266" i="1"/>
  <c r="W2266" i="1" s="1"/>
  <c r="T2267" i="1"/>
  <c r="U2267" i="1"/>
  <c r="T2268" i="1"/>
  <c r="U2268" i="1"/>
  <c r="W2268" i="1" s="1"/>
  <c r="T2269" i="1"/>
  <c r="U2269" i="1"/>
  <c r="X2269" i="1" s="1"/>
  <c r="T2270" i="1"/>
  <c r="U2270" i="1"/>
  <c r="X2270" i="1" s="1"/>
  <c r="T2271" i="1"/>
  <c r="U2271" i="1"/>
  <c r="T2272" i="1"/>
  <c r="U2272" i="1"/>
  <c r="W2272" i="1" s="1"/>
  <c r="T2273" i="1"/>
  <c r="U2273" i="1"/>
  <c r="T2274" i="1"/>
  <c r="U2274" i="1"/>
  <c r="W2274" i="1" s="1"/>
  <c r="T2275" i="1"/>
  <c r="U2275" i="1"/>
  <c r="T2276" i="1"/>
  <c r="U2276" i="1"/>
  <c r="W2276" i="1" s="1"/>
  <c r="X2276" i="1"/>
  <c r="T2277" i="1"/>
  <c r="U2277" i="1"/>
  <c r="X2277" i="1" s="1"/>
  <c r="T2278" i="1"/>
  <c r="U2278" i="1"/>
  <c r="X2278" i="1" s="1"/>
  <c r="T2279" i="1"/>
  <c r="U2279" i="1"/>
  <c r="W2279" i="1" s="1"/>
  <c r="T2280" i="1"/>
  <c r="U2280" i="1"/>
  <c r="W2280" i="1" s="1"/>
  <c r="T2281" i="1"/>
  <c r="U2281" i="1"/>
  <c r="T2282" i="1"/>
  <c r="U2282" i="1"/>
  <c r="W2282" i="1" s="1"/>
  <c r="T2283" i="1"/>
  <c r="U2283" i="1"/>
  <c r="T2284" i="1"/>
  <c r="U2284" i="1"/>
  <c r="W2284" i="1" s="1"/>
  <c r="T2285" i="1"/>
  <c r="U2285" i="1"/>
  <c r="X2285" i="1" s="1"/>
  <c r="T2286" i="1"/>
  <c r="U2286" i="1"/>
  <c r="X2286" i="1" s="1"/>
  <c r="T2287" i="1"/>
  <c r="U2287" i="1"/>
  <c r="T2288" i="1"/>
  <c r="U2288" i="1"/>
  <c r="W2288" i="1" s="1"/>
  <c r="T2289" i="1"/>
  <c r="U2289" i="1"/>
  <c r="T2290" i="1"/>
  <c r="U2290" i="1"/>
  <c r="W2290" i="1" s="1"/>
  <c r="T2291" i="1"/>
  <c r="U2291" i="1"/>
  <c r="T2292" i="1"/>
  <c r="U2292" i="1"/>
  <c r="W2292" i="1" s="1"/>
  <c r="T2293" i="1"/>
  <c r="U2293" i="1"/>
  <c r="X2293" i="1" s="1"/>
  <c r="T2294" i="1"/>
  <c r="U2294" i="1"/>
  <c r="X2294" i="1" s="1"/>
  <c r="T2295" i="1"/>
  <c r="U2295" i="1"/>
  <c r="W2295" i="1" s="1"/>
  <c r="T2296" i="1"/>
  <c r="U2296" i="1"/>
  <c r="W2296" i="1" s="1"/>
  <c r="T2297" i="1"/>
  <c r="U2297" i="1"/>
  <c r="T2298" i="1"/>
  <c r="U2298" i="1"/>
  <c r="W2298" i="1" s="1"/>
  <c r="V2298" i="1"/>
  <c r="T2299" i="1"/>
  <c r="U2299" i="1"/>
  <c r="T2300" i="1"/>
  <c r="U2300" i="1"/>
  <c r="W2300" i="1" s="1"/>
  <c r="T2301" i="1"/>
  <c r="U2301" i="1"/>
  <c r="X2301" i="1" s="1"/>
  <c r="T2302" i="1"/>
  <c r="U2302" i="1"/>
  <c r="X2302" i="1" s="1"/>
  <c r="T2303" i="1"/>
  <c r="U2303" i="1"/>
  <c r="T2304" i="1"/>
  <c r="U2304" i="1"/>
  <c r="W2304" i="1" s="1"/>
  <c r="T2305" i="1"/>
  <c r="U2305" i="1"/>
  <c r="T2306" i="1"/>
  <c r="U2306" i="1"/>
  <c r="W2306" i="1" s="1"/>
  <c r="T2307" i="1"/>
  <c r="U2307" i="1"/>
  <c r="T2308" i="1"/>
  <c r="U2308" i="1"/>
  <c r="W2308" i="1" s="1"/>
  <c r="T2309" i="1"/>
  <c r="U2309" i="1"/>
  <c r="X2309" i="1" s="1"/>
  <c r="T2310" i="1"/>
  <c r="U2310" i="1"/>
  <c r="X2310" i="1" s="1"/>
  <c r="T2311" i="1"/>
  <c r="U2311" i="1"/>
  <c r="W2311" i="1" s="1"/>
  <c r="T2312" i="1"/>
  <c r="U2312" i="1"/>
  <c r="W2312" i="1" s="1"/>
  <c r="T2313" i="1"/>
  <c r="U2313" i="1"/>
  <c r="T2314" i="1"/>
  <c r="U2314" i="1"/>
  <c r="W2314" i="1" s="1"/>
  <c r="T2315" i="1"/>
  <c r="U2315" i="1"/>
  <c r="T2316" i="1"/>
  <c r="U2316" i="1"/>
  <c r="X2316" i="1" s="1"/>
  <c r="T2317" i="1"/>
  <c r="U2317" i="1"/>
  <c r="X2317" i="1" s="1"/>
  <c r="T2318" i="1"/>
  <c r="U2318" i="1"/>
  <c r="X2318" i="1" s="1"/>
  <c r="T2319" i="1"/>
  <c r="U2319" i="1"/>
  <c r="T2320" i="1"/>
  <c r="U2320" i="1"/>
  <c r="W2320" i="1" s="1"/>
  <c r="T2321" i="1"/>
  <c r="U2321" i="1"/>
  <c r="T2322" i="1"/>
  <c r="U2322" i="1"/>
  <c r="W2322" i="1" s="1"/>
  <c r="T2323" i="1"/>
  <c r="U2323" i="1"/>
  <c r="T2324" i="1"/>
  <c r="U2324" i="1"/>
  <c r="V2324" i="1"/>
  <c r="W2324" i="1"/>
  <c r="X2324" i="1"/>
  <c r="T2325" i="1"/>
  <c r="U2325" i="1"/>
  <c r="X2325" i="1" s="1"/>
  <c r="T2326" i="1"/>
  <c r="U2326" i="1"/>
  <c r="X2326" i="1" s="1"/>
  <c r="T2327" i="1"/>
  <c r="U2327" i="1"/>
  <c r="W2327" i="1" s="1"/>
  <c r="T2328" i="1"/>
  <c r="U2328" i="1"/>
  <c r="W2328" i="1" s="1"/>
  <c r="T2329" i="1"/>
  <c r="U2329" i="1"/>
  <c r="T2330" i="1"/>
  <c r="U2330" i="1"/>
  <c r="W2330" i="1" s="1"/>
  <c r="T2331" i="1"/>
  <c r="U2331" i="1"/>
  <c r="T2332" i="1"/>
  <c r="U2332" i="1"/>
  <c r="W2332" i="1" s="1"/>
  <c r="T2333" i="1"/>
  <c r="U2333" i="1"/>
  <c r="X2333" i="1" s="1"/>
  <c r="T2334" i="1"/>
  <c r="U2334" i="1"/>
  <c r="X2334" i="1" s="1"/>
  <c r="W2334" i="1"/>
  <c r="T2335" i="1"/>
  <c r="U2335" i="1"/>
  <c r="T2336" i="1"/>
  <c r="U2336" i="1"/>
  <c r="W2336" i="1" s="1"/>
  <c r="T2337" i="1"/>
  <c r="U2337" i="1"/>
  <c r="T2338" i="1"/>
  <c r="U2338" i="1"/>
  <c r="W2338" i="1" s="1"/>
  <c r="T2339" i="1"/>
  <c r="U2339" i="1"/>
  <c r="T2340" i="1"/>
  <c r="U2340" i="1"/>
  <c r="W2340" i="1" s="1"/>
  <c r="T2341" i="1"/>
  <c r="U2341" i="1"/>
  <c r="X2341" i="1" s="1"/>
  <c r="T2342" i="1"/>
  <c r="U2342" i="1"/>
  <c r="X2342" i="1" s="1"/>
  <c r="T2343" i="1"/>
  <c r="U2343" i="1"/>
  <c r="W2343" i="1" s="1"/>
  <c r="T2344" i="1"/>
  <c r="U2344" i="1"/>
  <c r="W2344" i="1" s="1"/>
  <c r="T2345" i="1"/>
  <c r="U2345" i="1"/>
  <c r="T2346" i="1"/>
  <c r="U2346" i="1"/>
  <c r="W2346" i="1" s="1"/>
  <c r="T2347" i="1"/>
  <c r="U2347" i="1"/>
  <c r="T2348" i="1"/>
  <c r="U2348" i="1"/>
  <c r="X2348" i="1" s="1"/>
  <c r="T2349" i="1"/>
  <c r="U2349" i="1"/>
  <c r="X2349" i="1" s="1"/>
  <c r="T2350" i="1"/>
  <c r="U2350" i="1"/>
  <c r="X2350" i="1" s="1"/>
  <c r="T2351" i="1"/>
  <c r="U2351" i="1"/>
  <c r="T2352" i="1"/>
  <c r="U2352" i="1"/>
  <c r="W2352" i="1" s="1"/>
  <c r="T2353" i="1"/>
  <c r="U2353" i="1"/>
  <c r="T2354" i="1"/>
  <c r="U2354" i="1"/>
  <c r="W2354" i="1" s="1"/>
  <c r="T2355" i="1"/>
  <c r="U2355" i="1"/>
  <c r="T2356" i="1"/>
  <c r="U2356" i="1"/>
  <c r="W2356" i="1" s="1"/>
  <c r="T2357" i="1"/>
  <c r="U2357" i="1"/>
  <c r="X2357" i="1" s="1"/>
  <c r="T2358" i="1"/>
  <c r="U2358" i="1"/>
  <c r="X2358" i="1" s="1"/>
  <c r="T2359" i="1"/>
  <c r="U2359" i="1"/>
  <c r="W2359" i="1" s="1"/>
  <c r="T2360" i="1"/>
  <c r="U2360" i="1"/>
  <c r="W2360" i="1" s="1"/>
  <c r="T2361" i="1"/>
  <c r="U2361" i="1"/>
  <c r="T2362" i="1"/>
  <c r="U2362" i="1"/>
  <c r="W2362" i="1" s="1"/>
  <c r="T2363" i="1"/>
  <c r="U2363" i="1"/>
  <c r="T2364" i="1"/>
  <c r="U2364" i="1"/>
  <c r="W2364" i="1" s="1"/>
  <c r="T2365" i="1"/>
  <c r="U2365" i="1"/>
  <c r="X2365" i="1" s="1"/>
  <c r="T2366" i="1"/>
  <c r="U2366" i="1"/>
  <c r="X2366" i="1" s="1"/>
  <c r="T2367" i="1"/>
  <c r="U2367" i="1"/>
  <c r="W2367" i="1" s="1"/>
  <c r="T2368" i="1"/>
  <c r="U2368" i="1"/>
  <c r="W2368" i="1" s="1"/>
  <c r="T2369" i="1"/>
  <c r="U2369" i="1"/>
  <c r="W2369" i="1"/>
  <c r="T2370" i="1"/>
  <c r="U2370" i="1"/>
  <c r="W2370" i="1" s="1"/>
  <c r="T2371" i="1"/>
  <c r="U2371" i="1"/>
  <c r="T2372" i="1"/>
  <c r="U2372" i="1"/>
  <c r="X2372" i="1" s="1"/>
  <c r="T2373" i="1"/>
  <c r="U2373" i="1"/>
  <c r="X2373" i="1" s="1"/>
  <c r="T2374" i="1"/>
  <c r="U2374" i="1"/>
  <c r="X2374" i="1" s="1"/>
  <c r="T2375" i="1"/>
  <c r="U2375" i="1"/>
  <c r="T2376" i="1"/>
  <c r="U2376" i="1"/>
  <c r="W2376" i="1" s="1"/>
  <c r="T2377" i="1"/>
  <c r="U2377" i="1"/>
  <c r="T2378" i="1"/>
  <c r="U2378" i="1"/>
  <c r="W2378" i="1" s="1"/>
  <c r="T2379" i="1"/>
  <c r="U2379" i="1"/>
  <c r="T2380" i="1"/>
  <c r="U2380" i="1"/>
  <c r="X2380" i="1" s="1"/>
  <c r="V2380" i="1"/>
  <c r="W2380" i="1"/>
  <c r="T2381" i="1"/>
  <c r="U2381" i="1"/>
  <c r="X2381" i="1" s="1"/>
  <c r="T2382" i="1"/>
  <c r="U2382" i="1"/>
  <c r="X2382" i="1" s="1"/>
  <c r="T2383" i="1"/>
  <c r="U2383" i="1"/>
  <c r="W2383" i="1" s="1"/>
  <c r="T2384" i="1"/>
  <c r="U2384" i="1"/>
  <c r="W2384" i="1" s="1"/>
  <c r="T2385" i="1"/>
  <c r="U2385" i="1"/>
  <c r="T2386" i="1"/>
  <c r="U2386" i="1"/>
  <c r="W2386" i="1" s="1"/>
  <c r="T2387" i="1"/>
  <c r="U2387" i="1"/>
  <c r="T2388" i="1"/>
  <c r="U2388" i="1"/>
  <c r="W2388" i="1" s="1"/>
  <c r="T2389" i="1"/>
  <c r="U2389" i="1"/>
  <c r="X2389" i="1" s="1"/>
  <c r="T2390" i="1"/>
  <c r="U2390" i="1"/>
  <c r="X2390" i="1" s="1"/>
  <c r="T2391" i="1"/>
  <c r="U2391" i="1"/>
  <c r="T2392" i="1"/>
  <c r="U2392" i="1"/>
  <c r="W2392" i="1" s="1"/>
  <c r="T2393" i="1"/>
  <c r="U2393" i="1"/>
  <c r="T2394" i="1"/>
  <c r="U2394" i="1"/>
  <c r="W2394" i="1" s="1"/>
  <c r="T2395" i="1"/>
  <c r="U2395" i="1"/>
  <c r="T2396" i="1"/>
  <c r="U2396" i="1"/>
  <c r="X2396" i="1" s="1"/>
  <c r="T2397" i="1"/>
  <c r="U2397" i="1"/>
  <c r="X2397" i="1" s="1"/>
  <c r="T2398" i="1"/>
  <c r="U2398" i="1"/>
  <c r="X2398" i="1" s="1"/>
  <c r="T2399" i="1"/>
  <c r="U2399" i="1"/>
  <c r="T2400" i="1"/>
  <c r="U2400" i="1"/>
  <c r="W2400" i="1" s="1"/>
  <c r="T2401" i="1"/>
  <c r="U2401" i="1"/>
  <c r="W2401" i="1" s="1"/>
  <c r="T2402" i="1"/>
  <c r="U2402" i="1"/>
  <c r="W2402" i="1" s="1"/>
  <c r="T2403" i="1"/>
  <c r="U2403" i="1"/>
  <c r="T2404" i="1"/>
  <c r="U2404" i="1"/>
  <c r="V2404" i="1" s="1"/>
  <c r="T2405" i="1"/>
  <c r="U2405" i="1"/>
  <c r="X2405" i="1" s="1"/>
  <c r="T2406" i="1"/>
  <c r="U2406" i="1"/>
  <c r="X2406" i="1" s="1"/>
  <c r="T2407" i="1"/>
  <c r="U2407" i="1"/>
  <c r="W2407" i="1" s="1"/>
  <c r="T2408" i="1"/>
  <c r="U2408" i="1"/>
  <c r="W2408" i="1" s="1"/>
  <c r="T2409" i="1"/>
  <c r="U2409" i="1"/>
  <c r="W2409" i="1" s="1"/>
  <c r="T2410" i="1"/>
  <c r="U2410" i="1"/>
  <c r="W2410" i="1" s="1"/>
  <c r="T2411" i="1"/>
  <c r="U2411" i="1"/>
  <c r="T2412" i="1"/>
  <c r="U2412" i="1"/>
  <c r="W2412" i="1" s="1"/>
  <c r="T2413" i="1"/>
  <c r="U2413" i="1"/>
  <c r="X2413" i="1" s="1"/>
  <c r="T2414" i="1"/>
  <c r="U2414" i="1"/>
  <c r="X2414" i="1" s="1"/>
  <c r="T2415" i="1"/>
  <c r="U2415" i="1"/>
  <c r="T2416" i="1"/>
  <c r="U2416" i="1"/>
  <c r="W2416" i="1" s="1"/>
  <c r="T2417" i="1"/>
  <c r="U2417" i="1"/>
  <c r="V2417" i="1" s="1"/>
  <c r="T2418" i="1"/>
  <c r="U2418" i="1"/>
  <c r="W2418" i="1" s="1"/>
  <c r="T2419" i="1"/>
  <c r="U2419" i="1"/>
  <c r="V2419" i="1" s="1"/>
  <c r="T2420" i="1"/>
  <c r="U2420" i="1"/>
  <c r="W2420" i="1" s="1"/>
  <c r="T2421" i="1"/>
  <c r="U2421" i="1"/>
  <c r="X2421" i="1" s="1"/>
  <c r="T2422" i="1"/>
  <c r="U2422" i="1"/>
  <c r="X2422" i="1" s="1"/>
  <c r="T2423" i="1"/>
  <c r="U2423" i="1"/>
  <c r="W2423" i="1" s="1"/>
  <c r="T2424" i="1"/>
  <c r="U2424" i="1"/>
  <c r="X2424" i="1" s="1"/>
  <c r="T2425" i="1"/>
  <c r="U2425" i="1"/>
  <c r="V2425" i="1" s="1"/>
  <c r="T2426" i="1"/>
  <c r="U2426" i="1"/>
  <c r="W2426" i="1" s="1"/>
  <c r="T2427" i="1"/>
  <c r="U2427" i="1"/>
  <c r="V2427" i="1" s="1"/>
  <c r="T2428" i="1"/>
  <c r="U2428" i="1"/>
  <c r="W2428" i="1" s="1"/>
  <c r="T2429" i="1"/>
  <c r="U2429" i="1"/>
  <c r="X2429" i="1" s="1"/>
  <c r="T2430" i="1"/>
  <c r="U2430" i="1"/>
  <c r="X2430" i="1" s="1"/>
  <c r="T2431" i="1"/>
  <c r="U2431" i="1"/>
  <c r="V2431" i="1" s="1"/>
  <c r="T2432" i="1"/>
  <c r="U2432" i="1"/>
  <c r="T2433" i="1"/>
  <c r="U2433" i="1"/>
  <c r="X2433" i="1" s="1"/>
  <c r="T2434" i="1"/>
  <c r="U2434" i="1"/>
  <c r="W2434" i="1" s="1"/>
  <c r="T2435" i="1"/>
  <c r="U2435" i="1"/>
  <c r="V2435" i="1" s="1"/>
  <c r="T2436" i="1"/>
  <c r="U2436" i="1"/>
  <c r="X2436" i="1" s="1"/>
  <c r="T2437" i="1"/>
  <c r="U2437" i="1"/>
  <c r="X2437" i="1" s="1"/>
  <c r="T2438" i="1"/>
  <c r="U2438" i="1"/>
  <c r="X2438" i="1" s="1"/>
  <c r="T2439" i="1"/>
  <c r="U2439" i="1"/>
  <c r="V2439" i="1" s="1"/>
  <c r="T2440" i="1"/>
  <c r="U2440" i="1"/>
  <c r="T2441" i="1"/>
  <c r="U2441" i="1"/>
  <c r="X2441" i="1" s="1"/>
  <c r="T2442" i="1"/>
  <c r="U2442" i="1"/>
  <c r="W2442" i="1" s="1"/>
  <c r="T2443" i="1"/>
  <c r="U2443" i="1"/>
  <c r="V2443" i="1" s="1"/>
  <c r="T2444" i="1"/>
  <c r="U2444" i="1"/>
  <c r="W2444" i="1" s="1"/>
  <c r="T2445" i="1"/>
  <c r="U2445" i="1"/>
  <c r="X2445" i="1" s="1"/>
  <c r="T2446" i="1"/>
  <c r="U2446" i="1"/>
  <c r="X2446" i="1" s="1"/>
  <c r="T2447" i="1"/>
  <c r="U2447" i="1"/>
  <c r="V2447" i="1" s="1"/>
  <c r="T2448" i="1"/>
  <c r="U2448" i="1"/>
  <c r="T2449" i="1"/>
  <c r="U2449" i="1"/>
  <c r="X2449" i="1" s="1"/>
  <c r="T2450" i="1"/>
  <c r="U2450" i="1"/>
  <c r="W2450" i="1" s="1"/>
  <c r="T2451" i="1"/>
  <c r="U2451" i="1"/>
  <c r="V2451" i="1" s="1"/>
  <c r="T2452" i="1"/>
  <c r="U2452" i="1"/>
  <c r="V2452" i="1" s="1"/>
  <c r="T2453" i="1"/>
  <c r="U2453" i="1"/>
  <c r="X2453" i="1" s="1"/>
  <c r="T2454" i="1"/>
  <c r="U2454" i="1"/>
  <c r="X2454" i="1" s="1"/>
  <c r="T2455" i="1"/>
  <c r="U2455" i="1"/>
  <c r="V2455" i="1" s="1"/>
  <c r="T2456" i="1"/>
  <c r="U2456" i="1"/>
  <c r="T2457" i="1"/>
  <c r="U2457" i="1"/>
  <c r="X2457" i="1" s="1"/>
  <c r="T2458" i="1"/>
  <c r="U2458" i="1"/>
  <c r="W2458" i="1" s="1"/>
  <c r="T2459" i="1"/>
  <c r="U2459" i="1"/>
  <c r="V2459" i="1" s="1"/>
  <c r="T2460" i="1"/>
  <c r="U2460" i="1"/>
  <c r="W2460" i="1" s="1"/>
  <c r="T2461" i="1"/>
  <c r="U2461" i="1"/>
  <c r="X2461" i="1" s="1"/>
  <c r="T2462" i="1"/>
  <c r="U2462" i="1"/>
  <c r="X2462" i="1" s="1"/>
  <c r="T2463" i="1"/>
  <c r="U2463" i="1"/>
  <c r="V2463" i="1" s="1"/>
  <c r="T2464" i="1"/>
  <c r="U2464" i="1"/>
  <c r="V2464" i="1" s="1"/>
  <c r="T2465" i="1"/>
  <c r="U2465" i="1"/>
  <c r="W2465" i="1" s="1"/>
  <c r="T2466" i="1"/>
  <c r="U2466" i="1"/>
  <c r="W2466" i="1" s="1"/>
  <c r="T2467" i="1"/>
  <c r="U2467" i="1"/>
  <c r="W2467" i="1" s="1"/>
  <c r="T2468" i="1"/>
  <c r="U2468" i="1"/>
  <c r="W2468" i="1" s="1"/>
  <c r="T2469" i="1"/>
  <c r="U2469" i="1"/>
  <c r="X2469" i="1" s="1"/>
  <c r="T2470" i="1"/>
  <c r="U2470" i="1"/>
  <c r="X2470" i="1" s="1"/>
  <c r="T2471" i="1"/>
  <c r="U2471" i="1"/>
  <c r="V2471" i="1" s="1"/>
  <c r="T2472" i="1"/>
  <c r="U2472" i="1"/>
  <c r="V2472" i="1" s="1"/>
  <c r="T2473" i="1"/>
  <c r="U2473" i="1"/>
  <c r="V2473" i="1" s="1"/>
  <c r="W2473" i="1"/>
  <c r="T2474" i="1"/>
  <c r="U2474" i="1"/>
  <c r="W2474" i="1" s="1"/>
  <c r="T2475" i="1"/>
  <c r="U2475" i="1"/>
  <c r="W2475" i="1" s="1"/>
  <c r="T2476" i="1"/>
  <c r="U2476" i="1"/>
  <c r="W2476" i="1" s="1"/>
  <c r="T2477" i="1"/>
  <c r="U2477" i="1"/>
  <c r="X2477" i="1" s="1"/>
  <c r="T2478" i="1"/>
  <c r="U2478" i="1"/>
  <c r="X2478" i="1" s="1"/>
  <c r="T2479" i="1"/>
  <c r="U2479" i="1"/>
  <c r="V2479" i="1" s="1"/>
  <c r="T2480" i="1"/>
  <c r="U2480" i="1"/>
  <c r="V2480" i="1" s="1"/>
  <c r="T2481" i="1"/>
  <c r="U2481" i="1"/>
  <c r="V2481" i="1" s="1"/>
  <c r="T2482" i="1"/>
  <c r="U2482" i="1"/>
  <c r="W2482" i="1" s="1"/>
  <c r="T2483" i="1"/>
  <c r="U2483" i="1"/>
  <c r="W2483" i="1" s="1"/>
  <c r="T2484" i="1"/>
  <c r="U2484" i="1"/>
  <c r="W2484" i="1" s="1"/>
  <c r="T2485" i="1"/>
  <c r="U2485" i="1"/>
  <c r="X2485" i="1" s="1"/>
  <c r="T2486" i="1"/>
  <c r="U2486" i="1"/>
  <c r="X2486" i="1" s="1"/>
  <c r="T2487" i="1"/>
  <c r="U2487" i="1"/>
  <c r="V2487" i="1" s="1"/>
  <c r="X2487" i="1"/>
  <c r="T2488" i="1"/>
  <c r="U2488" i="1"/>
  <c r="V2488" i="1" s="1"/>
  <c r="T2489" i="1"/>
  <c r="U2489" i="1"/>
  <c r="V2489" i="1" s="1"/>
  <c r="T2490" i="1"/>
  <c r="U2490" i="1"/>
  <c r="W2490" i="1" s="1"/>
  <c r="T2491" i="1"/>
  <c r="U2491" i="1"/>
  <c r="W2491" i="1" s="1"/>
  <c r="T2492" i="1"/>
  <c r="U2492" i="1"/>
  <c r="W2492" i="1" s="1"/>
  <c r="T2493" i="1"/>
  <c r="U2493" i="1"/>
  <c r="X2493" i="1" s="1"/>
  <c r="T2494" i="1"/>
  <c r="U2494" i="1"/>
  <c r="X2494" i="1" s="1"/>
  <c r="T2495" i="1"/>
  <c r="U2495" i="1"/>
  <c r="V2495" i="1" s="1"/>
  <c r="T2496" i="1"/>
  <c r="U2496" i="1"/>
  <c r="V2496" i="1" s="1"/>
  <c r="T2497" i="1"/>
  <c r="U2497" i="1"/>
  <c r="W2497" i="1" s="1"/>
  <c r="T2498" i="1"/>
  <c r="U2498" i="1"/>
  <c r="W2498" i="1" s="1"/>
  <c r="T2499" i="1"/>
  <c r="U2499" i="1"/>
  <c r="W2499" i="1" s="1"/>
  <c r="T2500" i="1"/>
  <c r="U2500" i="1"/>
  <c r="W2500" i="1" s="1"/>
  <c r="T2501" i="1"/>
  <c r="U2501" i="1"/>
  <c r="X2501" i="1" s="1"/>
  <c r="T2502" i="1"/>
  <c r="U2502" i="1"/>
  <c r="X2502" i="1" s="1"/>
  <c r="T2503" i="1"/>
  <c r="U2503" i="1"/>
  <c r="V2503" i="1" s="1"/>
  <c r="T2504" i="1"/>
  <c r="U2504" i="1"/>
  <c r="V2504" i="1" s="1"/>
  <c r="T2505" i="1"/>
  <c r="U2505" i="1"/>
  <c r="V2505" i="1" s="1"/>
  <c r="T2506" i="1"/>
  <c r="U2506" i="1"/>
  <c r="W2506" i="1" s="1"/>
  <c r="T2507" i="1"/>
  <c r="U2507" i="1"/>
  <c r="W2507" i="1" s="1"/>
  <c r="T2508" i="1"/>
  <c r="U2508" i="1"/>
  <c r="W2508" i="1" s="1"/>
  <c r="T2509" i="1"/>
  <c r="U2509" i="1"/>
  <c r="X2509" i="1" s="1"/>
  <c r="T2510" i="1"/>
  <c r="U2510" i="1"/>
  <c r="X2510" i="1" s="1"/>
  <c r="T2511" i="1"/>
  <c r="U2511" i="1"/>
  <c r="V2511" i="1" s="1"/>
  <c r="T2512" i="1"/>
  <c r="U2512" i="1"/>
  <c r="V2512" i="1" s="1"/>
  <c r="T2513" i="1"/>
  <c r="U2513" i="1"/>
  <c r="V2513" i="1" s="1"/>
  <c r="T2514" i="1"/>
  <c r="U2514" i="1"/>
  <c r="W2514" i="1" s="1"/>
  <c r="X2514" i="1"/>
  <c r="T2515" i="1"/>
  <c r="U2515" i="1"/>
  <c r="W2515" i="1" s="1"/>
  <c r="T2516" i="1"/>
  <c r="U2516" i="1"/>
  <c r="W2516" i="1" s="1"/>
  <c r="T2517" i="1"/>
  <c r="U2517" i="1"/>
  <c r="X2517" i="1" s="1"/>
  <c r="T2518" i="1"/>
  <c r="U2518" i="1"/>
  <c r="X2518" i="1" s="1"/>
  <c r="T2519" i="1"/>
  <c r="U2519" i="1"/>
  <c r="V2519" i="1" s="1"/>
  <c r="T2520" i="1"/>
  <c r="U2520" i="1"/>
  <c r="V2520" i="1" s="1"/>
  <c r="T2521" i="1"/>
  <c r="U2521" i="1"/>
  <c r="V2521" i="1" s="1"/>
  <c r="T2522" i="1"/>
  <c r="U2522" i="1"/>
  <c r="W2522" i="1" s="1"/>
  <c r="T2523" i="1"/>
  <c r="U2523" i="1"/>
  <c r="W2523" i="1" s="1"/>
  <c r="T2524" i="1"/>
  <c r="U2524" i="1"/>
  <c r="W2524" i="1" s="1"/>
  <c r="T2525" i="1"/>
  <c r="U2525" i="1"/>
  <c r="X2525" i="1" s="1"/>
  <c r="V2525" i="1"/>
  <c r="T2526" i="1"/>
  <c r="U2526" i="1"/>
  <c r="X2526" i="1" s="1"/>
  <c r="T2527" i="1"/>
  <c r="U2527" i="1"/>
  <c r="V2527" i="1" s="1"/>
  <c r="T2528" i="1"/>
  <c r="U2528" i="1"/>
  <c r="V2528" i="1" s="1"/>
  <c r="T2529" i="1"/>
  <c r="U2529" i="1"/>
  <c r="W2529" i="1" s="1"/>
  <c r="T2530" i="1"/>
  <c r="U2530" i="1"/>
  <c r="W2530" i="1" s="1"/>
  <c r="T2531" i="1"/>
  <c r="U2531" i="1"/>
  <c r="W2531" i="1" s="1"/>
  <c r="T2532" i="1"/>
  <c r="U2532" i="1"/>
  <c r="W2532" i="1" s="1"/>
  <c r="T2533" i="1"/>
  <c r="U2533" i="1"/>
  <c r="X2533" i="1" s="1"/>
  <c r="T2534" i="1"/>
  <c r="U2534" i="1"/>
  <c r="X2534" i="1" s="1"/>
  <c r="T2535" i="1"/>
  <c r="U2535" i="1"/>
  <c r="V2535" i="1" s="1"/>
  <c r="X2535" i="1"/>
  <c r="T2536" i="1"/>
  <c r="U2536" i="1"/>
  <c r="V2536" i="1" s="1"/>
  <c r="T2537" i="1"/>
  <c r="U2537" i="1"/>
  <c r="V2537" i="1" s="1"/>
  <c r="T2538" i="1"/>
  <c r="U2538" i="1"/>
  <c r="W2538" i="1" s="1"/>
  <c r="T2539" i="1"/>
  <c r="U2539" i="1"/>
  <c r="W2539" i="1" s="1"/>
  <c r="T2540" i="1"/>
  <c r="U2540" i="1"/>
  <c r="W2540" i="1" s="1"/>
  <c r="T2541" i="1"/>
  <c r="U2541" i="1"/>
  <c r="X2541" i="1" s="1"/>
  <c r="T2542" i="1"/>
  <c r="U2542" i="1"/>
  <c r="X2542" i="1" s="1"/>
  <c r="T2543" i="1"/>
  <c r="U2543" i="1"/>
  <c r="V2543" i="1" s="1"/>
  <c r="T2544" i="1"/>
  <c r="U2544" i="1"/>
  <c r="V2544" i="1" s="1"/>
  <c r="T2545" i="1"/>
  <c r="U2545" i="1"/>
  <c r="V2545" i="1" s="1"/>
  <c r="T2546" i="1"/>
  <c r="U2546" i="1"/>
  <c r="W2546" i="1" s="1"/>
  <c r="T2547" i="1"/>
  <c r="U2547" i="1"/>
  <c r="W2547" i="1" s="1"/>
  <c r="T2548" i="1"/>
  <c r="U2548" i="1"/>
  <c r="X2548" i="1" s="1"/>
  <c r="W2548" i="1"/>
  <c r="T2549" i="1"/>
  <c r="U2549" i="1"/>
  <c r="X2549" i="1" s="1"/>
  <c r="T2550" i="1"/>
  <c r="U2550" i="1"/>
  <c r="X2550" i="1" s="1"/>
  <c r="T2551" i="1"/>
  <c r="U2551" i="1"/>
  <c r="V2551" i="1" s="1"/>
  <c r="T2552" i="1"/>
  <c r="U2552" i="1"/>
  <c r="V2552" i="1" s="1"/>
  <c r="T2553" i="1"/>
  <c r="U2553" i="1"/>
  <c r="T2554" i="1"/>
  <c r="U2554" i="1"/>
  <c r="W2554" i="1" s="1"/>
  <c r="T2555" i="1"/>
  <c r="U2555" i="1"/>
  <c r="W2555" i="1" s="1"/>
  <c r="T2556" i="1"/>
  <c r="U2556" i="1"/>
  <c r="W2556" i="1" s="1"/>
  <c r="T2557" i="1"/>
  <c r="U2557" i="1"/>
  <c r="X2557" i="1" s="1"/>
  <c r="T2558" i="1"/>
  <c r="U2558" i="1"/>
  <c r="X2558" i="1" s="1"/>
  <c r="T2559" i="1"/>
  <c r="U2559" i="1"/>
  <c r="V2559" i="1" s="1"/>
  <c r="T2560" i="1"/>
  <c r="U2560" i="1"/>
  <c r="V2560" i="1" s="1"/>
  <c r="T2561" i="1"/>
  <c r="U2561" i="1"/>
  <c r="W2561" i="1" s="1"/>
  <c r="T2562" i="1"/>
  <c r="U2562" i="1"/>
  <c r="W2562" i="1" s="1"/>
  <c r="T2563" i="1"/>
  <c r="U2563" i="1"/>
  <c r="W2563" i="1" s="1"/>
  <c r="T2564" i="1"/>
  <c r="U2564" i="1"/>
  <c r="W2564" i="1" s="1"/>
  <c r="T2565" i="1"/>
  <c r="U2565" i="1"/>
  <c r="X2565" i="1" s="1"/>
  <c r="T2566" i="1"/>
  <c r="U2566" i="1"/>
  <c r="X2566" i="1" s="1"/>
  <c r="T2567" i="1"/>
  <c r="U2567" i="1"/>
  <c r="V2567" i="1" s="1"/>
  <c r="T2568" i="1"/>
  <c r="U2568" i="1"/>
  <c r="V2568" i="1" s="1"/>
  <c r="T2569" i="1"/>
  <c r="U2569" i="1"/>
  <c r="V2569" i="1" s="1"/>
  <c r="T2570" i="1"/>
  <c r="U2570" i="1"/>
  <c r="W2570" i="1" s="1"/>
  <c r="T2571" i="1"/>
  <c r="U2571" i="1"/>
  <c r="W2571" i="1" s="1"/>
  <c r="T2572" i="1"/>
  <c r="U2572" i="1"/>
  <c r="T2573" i="1"/>
  <c r="U2573" i="1"/>
  <c r="X2573" i="1" s="1"/>
  <c r="V2573" i="1"/>
  <c r="T2574" i="1"/>
  <c r="U2574" i="1"/>
  <c r="X2574" i="1" s="1"/>
  <c r="T2575" i="1"/>
  <c r="U2575" i="1"/>
  <c r="V2575" i="1" s="1"/>
  <c r="T2576" i="1"/>
  <c r="U2576" i="1"/>
  <c r="V2576" i="1" s="1"/>
  <c r="T2577" i="1"/>
  <c r="U2577" i="1"/>
  <c r="V2577" i="1" s="1"/>
  <c r="T2578" i="1"/>
  <c r="U2578" i="1"/>
  <c r="W2578" i="1" s="1"/>
  <c r="T2579" i="1"/>
  <c r="U2579" i="1"/>
  <c r="W2579" i="1" s="1"/>
  <c r="T2580" i="1"/>
  <c r="U2580" i="1"/>
  <c r="X2580" i="1" s="1"/>
  <c r="T2581" i="1"/>
  <c r="U2581" i="1"/>
  <c r="X2581" i="1" s="1"/>
  <c r="T2582" i="1"/>
  <c r="U2582" i="1"/>
  <c r="X2582" i="1" s="1"/>
  <c r="T2583" i="1"/>
  <c r="U2583" i="1"/>
  <c r="T2584" i="1"/>
  <c r="U2584" i="1"/>
  <c r="V2584" i="1" s="1"/>
  <c r="T2585" i="1"/>
  <c r="U2585" i="1"/>
  <c r="T2586" i="1"/>
  <c r="U2586" i="1"/>
  <c r="W2586" i="1" s="1"/>
  <c r="T2587" i="1"/>
  <c r="U2587" i="1"/>
  <c r="W2587" i="1" s="1"/>
  <c r="T2588" i="1"/>
  <c r="U2588" i="1"/>
  <c r="W2588" i="1" s="1"/>
  <c r="T2589" i="1"/>
  <c r="U2589" i="1"/>
  <c r="W2589" i="1" s="1"/>
  <c r="T2590" i="1"/>
  <c r="U2590" i="1"/>
  <c r="X2590" i="1" s="1"/>
  <c r="T2591" i="1"/>
  <c r="U2591" i="1"/>
  <c r="V2591" i="1" s="1"/>
  <c r="T2592" i="1"/>
  <c r="U2592" i="1"/>
  <c r="V2592" i="1" s="1"/>
  <c r="T2593" i="1"/>
  <c r="U2593" i="1"/>
  <c r="T2594" i="1"/>
  <c r="U2594" i="1"/>
  <c r="T2595" i="1"/>
  <c r="U2595" i="1"/>
  <c r="W2595" i="1" s="1"/>
  <c r="T2596" i="1"/>
  <c r="U2596" i="1"/>
  <c r="T2597" i="1"/>
  <c r="U2597" i="1"/>
  <c r="X2597" i="1" s="1"/>
  <c r="T2598" i="1"/>
  <c r="U2598" i="1"/>
  <c r="X2598" i="1" s="1"/>
  <c r="T2599" i="1"/>
  <c r="U2599" i="1"/>
  <c r="V2599" i="1" s="1"/>
  <c r="T2600" i="1"/>
  <c r="U2600" i="1"/>
  <c r="V2600" i="1" s="1"/>
  <c r="T2601" i="1"/>
  <c r="U2601" i="1"/>
  <c r="V2601" i="1" s="1"/>
  <c r="T2602" i="1"/>
  <c r="U2602" i="1"/>
  <c r="W2602" i="1" s="1"/>
  <c r="T2603" i="1"/>
  <c r="U2603" i="1"/>
  <c r="W2603" i="1" s="1"/>
  <c r="T2604" i="1"/>
  <c r="U2604" i="1"/>
  <c r="X2604" i="1" s="1"/>
  <c r="T2605" i="1"/>
  <c r="U2605" i="1"/>
  <c r="X2605" i="1" s="1"/>
  <c r="V2605" i="1"/>
  <c r="T2606" i="1"/>
  <c r="U2606" i="1"/>
  <c r="X2606" i="1" s="1"/>
  <c r="T2607" i="1"/>
  <c r="U2607" i="1"/>
  <c r="V2607" i="1" s="1"/>
  <c r="T2608" i="1"/>
  <c r="U2608" i="1"/>
  <c r="V2608" i="1" s="1"/>
  <c r="T2609" i="1"/>
  <c r="U2609" i="1"/>
  <c r="V2609" i="1" s="1"/>
  <c r="T2610" i="1"/>
  <c r="U2610" i="1"/>
  <c r="T2611" i="1"/>
  <c r="U2611" i="1"/>
  <c r="W2611" i="1" s="1"/>
  <c r="T2612" i="1"/>
  <c r="U2612" i="1"/>
  <c r="T2613" i="1"/>
  <c r="U2613" i="1"/>
  <c r="T2614" i="1"/>
  <c r="U2614" i="1"/>
  <c r="X2614" i="1" s="1"/>
  <c r="T2615" i="1"/>
  <c r="U2615" i="1"/>
  <c r="V2615" i="1" s="1"/>
  <c r="T2616" i="1"/>
  <c r="U2616" i="1"/>
  <c r="V2616" i="1" s="1"/>
  <c r="T2617" i="1"/>
  <c r="U2617" i="1"/>
  <c r="V2617" i="1" s="1"/>
  <c r="T2618" i="1"/>
  <c r="U2618" i="1"/>
  <c r="W2618" i="1" s="1"/>
  <c r="T2619" i="1"/>
  <c r="U2619" i="1"/>
  <c r="W2619" i="1" s="1"/>
  <c r="T2620" i="1"/>
  <c r="U2620" i="1"/>
  <c r="W2620" i="1" s="1"/>
  <c r="T2621" i="1"/>
  <c r="U2621" i="1"/>
  <c r="X2621" i="1" s="1"/>
  <c r="T2622" i="1"/>
  <c r="U2622" i="1"/>
  <c r="X2622" i="1" s="1"/>
  <c r="T2623" i="1"/>
  <c r="U2623" i="1"/>
  <c r="V2623" i="1" s="1"/>
  <c r="T2624" i="1"/>
  <c r="U2624" i="1"/>
  <c r="V2624" i="1" s="1"/>
  <c r="T2625" i="1"/>
  <c r="U2625" i="1"/>
  <c r="W2625" i="1" s="1"/>
  <c r="T2626" i="1"/>
  <c r="U2626" i="1"/>
  <c r="W2626" i="1" s="1"/>
  <c r="T2627" i="1"/>
  <c r="U2627" i="1"/>
  <c r="W2627" i="1" s="1"/>
  <c r="T2628" i="1"/>
  <c r="U2628" i="1"/>
  <c r="X2628" i="1" s="1"/>
  <c r="T2629" i="1"/>
  <c r="U2629" i="1"/>
  <c r="X2629" i="1" s="1"/>
  <c r="T2630" i="1"/>
  <c r="U2630" i="1"/>
  <c r="X2630" i="1" s="1"/>
  <c r="T2631" i="1"/>
  <c r="U2631" i="1"/>
  <c r="V2631" i="1" s="1"/>
  <c r="T2632" i="1"/>
  <c r="U2632" i="1"/>
  <c r="V2632" i="1" s="1"/>
  <c r="T2633" i="1"/>
  <c r="U2633" i="1"/>
  <c r="T2634" i="1"/>
  <c r="U2634" i="1"/>
  <c r="W2634" i="1" s="1"/>
  <c r="T2635" i="1"/>
  <c r="U2635" i="1"/>
  <c r="W2635" i="1" s="1"/>
  <c r="T2636" i="1"/>
  <c r="U2636" i="1"/>
  <c r="W2636" i="1" s="1"/>
  <c r="T2637" i="1"/>
  <c r="U2637" i="1"/>
  <c r="X2637" i="1" s="1"/>
  <c r="T2638" i="1"/>
  <c r="U2638" i="1"/>
  <c r="X2638" i="1" s="1"/>
  <c r="T2639" i="1"/>
  <c r="U2639" i="1"/>
  <c r="V2639" i="1" s="1"/>
  <c r="T2640" i="1"/>
  <c r="U2640" i="1"/>
  <c r="V2640" i="1" s="1"/>
  <c r="T2641" i="1"/>
  <c r="U2641" i="1"/>
  <c r="V2641" i="1" s="1"/>
  <c r="T2642" i="1"/>
  <c r="U2642" i="1"/>
  <c r="W2642" i="1" s="1"/>
  <c r="T2643" i="1"/>
  <c r="U2643" i="1"/>
  <c r="W2643" i="1" s="1"/>
  <c r="T2644" i="1"/>
  <c r="U2644" i="1"/>
  <c r="W2644" i="1" s="1"/>
  <c r="T2645" i="1"/>
  <c r="U2645" i="1"/>
  <c r="X2645" i="1" s="1"/>
  <c r="T2646" i="1"/>
  <c r="U2646" i="1"/>
  <c r="X2646" i="1" s="1"/>
  <c r="T2647" i="1"/>
  <c r="U2647" i="1"/>
  <c r="V2647" i="1" s="1"/>
  <c r="T2648" i="1"/>
  <c r="U2648" i="1"/>
  <c r="V2648" i="1" s="1"/>
  <c r="T2649" i="1"/>
  <c r="U2649" i="1"/>
  <c r="V2649" i="1" s="1"/>
  <c r="T2650" i="1"/>
  <c r="U2650" i="1"/>
  <c r="W2650" i="1" s="1"/>
  <c r="T2651" i="1"/>
  <c r="U2651" i="1"/>
  <c r="W2651" i="1" s="1"/>
  <c r="T2652" i="1"/>
  <c r="U2652" i="1"/>
  <c r="T2653" i="1"/>
  <c r="U2653" i="1"/>
  <c r="X2653" i="1" s="1"/>
  <c r="T2654" i="1"/>
  <c r="U2654" i="1"/>
  <c r="X2654" i="1" s="1"/>
  <c r="T2655" i="1"/>
  <c r="U2655" i="1"/>
  <c r="V2655" i="1" s="1"/>
  <c r="T2656" i="1"/>
  <c r="U2656" i="1"/>
  <c r="V2656" i="1" s="1"/>
  <c r="T2657" i="1"/>
  <c r="U2657" i="1"/>
  <c r="T2658" i="1"/>
  <c r="U2658" i="1"/>
  <c r="W2658" i="1" s="1"/>
  <c r="T2659" i="1"/>
  <c r="U2659" i="1"/>
  <c r="W2659" i="1" s="1"/>
  <c r="T2660" i="1"/>
  <c r="U2660" i="1"/>
  <c r="T2661" i="1"/>
  <c r="U2661" i="1"/>
  <c r="T2662" i="1"/>
  <c r="U2662" i="1"/>
  <c r="X2662" i="1" s="1"/>
  <c r="T2663" i="1"/>
  <c r="U2663" i="1"/>
  <c r="T2664" i="1"/>
  <c r="U2664" i="1"/>
  <c r="V2664" i="1" s="1"/>
  <c r="T2665" i="1"/>
  <c r="U2665" i="1"/>
  <c r="V2665" i="1" s="1"/>
  <c r="T2666" i="1"/>
  <c r="U2666" i="1"/>
  <c r="W2666" i="1" s="1"/>
  <c r="T2667" i="1"/>
  <c r="U2667" i="1"/>
  <c r="W2667" i="1" s="1"/>
  <c r="T2668" i="1"/>
  <c r="U2668" i="1"/>
  <c r="W2668" i="1" s="1"/>
  <c r="V2668" i="1"/>
  <c r="T2669" i="1"/>
  <c r="U2669" i="1"/>
  <c r="T2670" i="1"/>
  <c r="U2670" i="1"/>
  <c r="X2670" i="1" s="1"/>
  <c r="T2671" i="1"/>
  <c r="U2671" i="1"/>
  <c r="V2671" i="1" s="1"/>
  <c r="T2672" i="1"/>
  <c r="U2672" i="1"/>
  <c r="V2672" i="1" s="1"/>
  <c r="T2673" i="1"/>
  <c r="U2673" i="1"/>
  <c r="V2673" i="1" s="1"/>
  <c r="T2674" i="1"/>
  <c r="U2674" i="1"/>
  <c r="W2674" i="1" s="1"/>
  <c r="T2675" i="1"/>
  <c r="U2675" i="1"/>
  <c r="W2675" i="1" s="1"/>
  <c r="T2676" i="1"/>
  <c r="U2676" i="1"/>
  <c r="X2676" i="1" s="1"/>
  <c r="T2677" i="1"/>
  <c r="U2677" i="1"/>
  <c r="T2678" i="1"/>
  <c r="U2678" i="1"/>
  <c r="X2678" i="1" s="1"/>
  <c r="T2679" i="1"/>
  <c r="U2679" i="1"/>
  <c r="T2680" i="1"/>
  <c r="U2680" i="1"/>
  <c r="V2680" i="1" s="1"/>
  <c r="T2681" i="1"/>
  <c r="U2681" i="1"/>
  <c r="T2682" i="1"/>
  <c r="U2682" i="1"/>
  <c r="W2682" i="1" s="1"/>
  <c r="T2683" i="1"/>
  <c r="U2683" i="1"/>
  <c r="W2683" i="1" s="1"/>
  <c r="T2684" i="1"/>
  <c r="U2684" i="1"/>
  <c r="W2684" i="1" s="1"/>
  <c r="T2685" i="1"/>
  <c r="U2685" i="1"/>
  <c r="T2686" i="1"/>
  <c r="U2686" i="1"/>
  <c r="X2686" i="1" s="1"/>
  <c r="T2687" i="1"/>
  <c r="U2687" i="1"/>
  <c r="V2687" i="1" s="1"/>
  <c r="T2688" i="1"/>
  <c r="U2688" i="1"/>
  <c r="V2688" i="1" s="1"/>
  <c r="T2689" i="1"/>
  <c r="U2689" i="1"/>
  <c r="W2689" i="1" s="1"/>
  <c r="T2690" i="1"/>
  <c r="U2690" i="1"/>
  <c r="T2691" i="1"/>
  <c r="U2691" i="1"/>
  <c r="W2691" i="1" s="1"/>
  <c r="T2692" i="1"/>
  <c r="U2692" i="1"/>
  <c r="W2692" i="1" s="1"/>
  <c r="T2693" i="1"/>
  <c r="U2693" i="1"/>
  <c r="X2693" i="1" s="1"/>
  <c r="T2694" i="1"/>
  <c r="U2694" i="1"/>
  <c r="X2694" i="1" s="1"/>
  <c r="T2695" i="1"/>
  <c r="U2695" i="1"/>
  <c r="V2695" i="1" s="1"/>
  <c r="T2696" i="1"/>
  <c r="U2696" i="1"/>
  <c r="V2696" i="1" s="1"/>
  <c r="T2697" i="1"/>
  <c r="U2697" i="1"/>
  <c r="V2697" i="1" s="1"/>
  <c r="T2698" i="1"/>
  <c r="U2698" i="1"/>
  <c r="W2698" i="1" s="1"/>
  <c r="T2699" i="1"/>
  <c r="U2699" i="1"/>
  <c r="W2699" i="1" s="1"/>
  <c r="T2700" i="1"/>
  <c r="U2700" i="1"/>
  <c r="T2701" i="1"/>
  <c r="U2701" i="1"/>
  <c r="X2701" i="1" s="1"/>
  <c r="T2702" i="1"/>
  <c r="U2702" i="1"/>
  <c r="T2703" i="1"/>
  <c r="U2703" i="1"/>
  <c r="V2703" i="1" s="1"/>
  <c r="T2704" i="1"/>
  <c r="U2704" i="1"/>
  <c r="V2704" i="1" s="1"/>
  <c r="T2705" i="1"/>
  <c r="U2705" i="1"/>
  <c r="T2706" i="1"/>
  <c r="U2706" i="1"/>
  <c r="T2707" i="1"/>
  <c r="U2707" i="1"/>
  <c r="W2707" i="1" s="1"/>
  <c r="T2708" i="1"/>
  <c r="U2708" i="1"/>
  <c r="X2708" i="1"/>
  <c r="T2709" i="1"/>
  <c r="U2709" i="1"/>
  <c r="X2709" i="1" s="1"/>
  <c r="W2709" i="1"/>
  <c r="T2710" i="1"/>
  <c r="U2710" i="1"/>
  <c r="X2710" i="1" s="1"/>
  <c r="T2711" i="1"/>
  <c r="U2711" i="1"/>
  <c r="V2711" i="1" s="1"/>
  <c r="X2711" i="1"/>
  <c r="T2712" i="1"/>
  <c r="U2712" i="1"/>
  <c r="V2712" i="1" s="1"/>
  <c r="T2713" i="1"/>
  <c r="U2713" i="1"/>
  <c r="V2713" i="1" s="1"/>
  <c r="T2714" i="1"/>
  <c r="U2714" i="1"/>
  <c r="W2714" i="1" s="1"/>
  <c r="T2715" i="1"/>
  <c r="U2715" i="1"/>
  <c r="W2715" i="1" s="1"/>
  <c r="T2716" i="1"/>
  <c r="U2716" i="1"/>
  <c r="X2716" i="1"/>
  <c r="T2717" i="1"/>
  <c r="U2717" i="1"/>
  <c r="X2717" i="1" s="1"/>
  <c r="T2718" i="1"/>
  <c r="U2718" i="1"/>
  <c r="X2718" i="1" s="1"/>
  <c r="T2719" i="1"/>
  <c r="U2719" i="1"/>
  <c r="V2719" i="1" s="1"/>
  <c r="T2720" i="1"/>
  <c r="U2720" i="1"/>
  <c r="V2720" i="1" s="1"/>
  <c r="T2721" i="1"/>
  <c r="U2721" i="1"/>
  <c r="W2721" i="1" s="1"/>
  <c r="T2722" i="1"/>
  <c r="U2722" i="1"/>
  <c r="T2723" i="1"/>
  <c r="U2723" i="1"/>
  <c r="W2723" i="1" s="1"/>
  <c r="T2724" i="1"/>
  <c r="U2724" i="1"/>
  <c r="W2724" i="1" s="1"/>
  <c r="T2725" i="1"/>
  <c r="U2725" i="1"/>
  <c r="T2726" i="1"/>
  <c r="U2726" i="1"/>
  <c r="T2727" i="1"/>
  <c r="U2727" i="1"/>
  <c r="X2727" i="1" s="1"/>
  <c r="T2728" i="1"/>
  <c r="U2728" i="1"/>
  <c r="T2729" i="1"/>
  <c r="U2729" i="1"/>
  <c r="X2729" i="1" s="1"/>
  <c r="T2730" i="1"/>
  <c r="U2730" i="1"/>
  <c r="W2730" i="1" s="1"/>
  <c r="T2731" i="1"/>
  <c r="U2731" i="1"/>
  <c r="W2731" i="1" s="1"/>
  <c r="T2732" i="1"/>
  <c r="U2732" i="1"/>
  <c r="W2732" i="1" s="1"/>
  <c r="T2733" i="1"/>
  <c r="U2733" i="1"/>
  <c r="X2733" i="1" s="1"/>
  <c r="T2734" i="1"/>
  <c r="U2734" i="1"/>
  <c r="X2734" i="1" s="1"/>
  <c r="T2735" i="1"/>
  <c r="U2735" i="1"/>
  <c r="V2735" i="1" s="1"/>
  <c r="T2736" i="1"/>
  <c r="U2736" i="1"/>
  <c r="V2736" i="1" s="1"/>
  <c r="T2737" i="1"/>
  <c r="U2737" i="1"/>
  <c r="V2737" i="1" s="1"/>
  <c r="T2738" i="1"/>
  <c r="U2738" i="1"/>
  <c r="W2738" i="1" s="1"/>
  <c r="T2739" i="1"/>
  <c r="U2739" i="1"/>
  <c r="W2739" i="1" s="1"/>
  <c r="T2740" i="1"/>
  <c r="U2740" i="1"/>
  <c r="W2740" i="1" s="1"/>
  <c r="X2740" i="1"/>
  <c r="T2741" i="1"/>
  <c r="U2741" i="1"/>
  <c r="X2741" i="1" s="1"/>
  <c r="T2742" i="1"/>
  <c r="U2742" i="1"/>
  <c r="X2742" i="1" s="1"/>
  <c r="T2743" i="1"/>
  <c r="U2743" i="1"/>
  <c r="V2743" i="1" s="1"/>
  <c r="T2744" i="1"/>
  <c r="U2744" i="1"/>
  <c r="V2744" i="1" s="1"/>
  <c r="T2745" i="1"/>
  <c r="U2745" i="1"/>
  <c r="W2745" i="1" s="1"/>
  <c r="T2746" i="1"/>
  <c r="U2746" i="1"/>
  <c r="W2746" i="1" s="1"/>
  <c r="T2747" i="1"/>
  <c r="U2747" i="1"/>
  <c r="W2747" i="1" s="1"/>
  <c r="T2748" i="1"/>
  <c r="U2748" i="1"/>
  <c r="X2748" i="1" s="1"/>
  <c r="T2749" i="1"/>
  <c r="U2749" i="1"/>
  <c r="T2750" i="1"/>
  <c r="U2750" i="1"/>
  <c r="X2750" i="1" s="1"/>
  <c r="T2751" i="1"/>
  <c r="U2751" i="1"/>
  <c r="V2751" i="1" s="1"/>
  <c r="T2752" i="1"/>
  <c r="U2752" i="1"/>
  <c r="V2752" i="1" s="1"/>
  <c r="T2753" i="1"/>
  <c r="U2753" i="1"/>
  <c r="W2753" i="1" s="1"/>
  <c r="T2754" i="1"/>
  <c r="U2754" i="1"/>
  <c r="W2754" i="1" s="1"/>
  <c r="T2755" i="1"/>
  <c r="U2755" i="1"/>
  <c r="T2756" i="1"/>
  <c r="U2756" i="1"/>
  <c r="V2756" i="1" s="1"/>
  <c r="T2757" i="1"/>
  <c r="U2757" i="1"/>
  <c r="T2758" i="1"/>
  <c r="U2758" i="1"/>
  <c r="X2758" i="1" s="1"/>
  <c r="V2758" i="1"/>
  <c r="W2758" i="1"/>
  <c r="T2759" i="1"/>
  <c r="U2759" i="1"/>
  <c r="T2760" i="1"/>
  <c r="U2760" i="1"/>
  <c r="T2761" i="1"/>
  <c r="U2761" i="1"/>
  <c r="T2762" i="1"/>
  <c r="U2762" i="1"/>
  <c r="W2762" i="1" s="1"/>
  <c r="T2763" i="1"/>
  <c r="U2763" i="1"/>
  <c r="W2763" i="1" s="1"/>
  <c r="T2764" i="1"/>
  <c r="U2764" i="1"/>
  <c r="W2764" i="1" s="1"/>
  <c r="V2764" i="1"/>
  <c r="T2765" i="1"/>
  <c r="U2765" i="1"/>
  <c r="X2765" i="1" s="1"/>
  <c r="T2766" i="1"/>
  <c r="U2766" i="1"/>
  <c r="X2766" i="1" s="1"/>
  <c r="T2767" i="1"/>
  <c r="U2767" i="1"/>
  <c r="V2767" i="1" s="1"/>
  <c r="T2768" i="1"/>
  <c r="U2768" i="1"/>
  <c r="V2768" i="1" s="1"/>
  <c r="T2769" i="1"/>
  <c r="U2769" i="1"/>
  <c r="T2770" i="1"/>
  <c r="U2770" i="1"/>
  <c r="W2770" i="1" s="1"/>
  <c r="T2771" i="1"/>
  <c r="U2771" i="1"/>
  <c r="W2771" i="1" s="1"/>
  <c r="T2772" i="1"/>
  <c r="U2772" i="1"/>
  <c r="W2772" i="1" s="1"/>
  <c r="T2773" i="1"/>
  <c r="U2773" i="1"/>
  <c r="X2773" i="1" s="1"/>
  <c r="T2774" i="1"/>
  <c r="U2774" i="1"/>
  <c r="W2774" i="1" s="1"/>
  <c r="T2775" i="1"/>
  <c r="U2775" i="1"/>
  <c r="V2775" i="1" s="1"/>
  <c r="T2776" i="1"/>
  <c r="U2776" i="1"/>
  <c r="W2776" i="1" s="1"/>
  <c r="T2777" i="1"/>
  <c r="U2777" i="1"/>
  <c r="T2778" i="1"/>
  <c r="U2778" i="1"/>
  <c r="W2778" i="1" s="1"/>
  <c r="T2779" i="1"/>
  <c r="U2779" i="1"/>
  <c r="T2780" i="1"/>
  <c r="U2780" i="1"/>
  <c r="X2780" i="1" s="1"/>
  <c r="T2781" i="1"/>
  <c r="U2781" i="1"/>
  <c r="X2781" i="1" s="1"/>
  <c r="T2782" i="1"/>
  <c r="U2782" i="1"/>
  <c r="X2782" i="1" s="1"/>
  <c r="T2783" i="1"/>
  <c r="U2783" i="1"/>
  <c r="V2783" i="1" s="1"/>
  <c r="T2784" i="1"/>
  <c r="U2784" i="1"/>
  <c r="T2785" i="1"/>
  <c r="U2785" i="1"/>
  <c r="V2785" i="1" s="1"/>
  <c r="W2785" i="1"/>
  <c r="T2786" i="1"/>
  <c r="U2786" i="1"/>
  <c r="T2787" i="1"/>
  <c r="U2787" i="1"/>
  <c r="X2787" i="1" s="1"/>
  <c r="T2788" i="1"/>
  <c r="U2788" i="1"/>
  <c r="T2789" i="1"/>
  <c r="U2789" i="1"/>
  <c r="X2789" i="1" s="1"/>
  <c r="T2790" i="1"/>
  <c r="U2790" i="1"/>
  <c r="V2790" i="1" s="1"/>
  <c r="T2791" i="1"/>
  <c r="U2791" i="1"/>
  <c r="V2791" i="1" s="1"/>
  <c r="T2792" i="1"/>
  <c r="U2792" i="1"/>
  <c r="T2793" i="1"/>
  <c r="U2793" i="1"/>
  <c r="V2793" i="1" s="1"/>
  <c r="T2794" i="1"/>
  <c r="U2794" i="1"/>
  <c r="W2794" i="1" s="1"/>
  <c r="T2795" i="1"/>
  <c r="U2795" i="1"/>
  <c r="W2795" i="1" s="1"/>
  <c r="T2796" i="1"/>
  <c r="U2796" i="1"/>
  <c r="W2796" i="1" s="1"/>
  <c r="T2797" i="1"/>
  <c r="U2797" i="1"/>
  <c r="X2797" i="1" s="1"/>
  <c r="T2798" i="1"/>
  <c r="U2798" i="1"/>
  <c r="T2799" i="1"/>
  <c r="U2799" i="1"/>
  <c r="V2799" i="1" s="1"/>
  <c r="T2800" i="1"/>
  <c r="U2800" i="1"/>
  <c r="X2800" i="1" s="1"/>
  <c r="T2801" i="1"/>
  <c r="U2801" i="1"/>
  <c r="X2801" i="1" s="1"/>
  <c r="T2802" i="1"/>
  <c r="U2802" i="1"/>
  <c r="W2802" i="1" s="1"/>
  <c r="T2803" i="1"/>
  <c r="U2803" i="1"/>
  <c r="W2803" i="1" s="1"/>
  <c r="T2804" i="1"/>
  <c r="U2804" i="1"/>
  <c r="V2804" i="1" s="1"/>
  <c r="T2805" i="1"/>
  <c r="U2805" i="1"/>
  <c r="X2805" i="1" s="1"/>
  <c r="T2806" i="1"/>
  <c r="U2806" i="1"/>
  <c r="X2806" i="1" s="1"/>
  <c r="T2807" i="1"/>
  <c r="U2807" i="1"/>
  <c r="V2807" i="1" s="1"/>
  <c r="T2808" i="1"/>
  <c r="U2808" i="1"/>
  <c r="X2808" i="1" s="1"/>
  <c r="T2809" i="1"/>
  <c r="U2809" i="1"/>
  <c r="T2810" i="1"/>
  <c r="U2810" i="1"/>
  <c r="T2811" i="1"/>
  <c r="U2811" i="1"/>
  <c r="V2811" i="1" s="1"/>
  <c r="T2812" i="1"/>
  <c r="U2812" i="1"/>
  <c r="T2813" i="1"/>
  <c r="U2813" i="1"/>
  <c r="X2813" i="1" s="1"/>
  <c r="T2814" i="1"/>
  <c r="U2814" i="1"/>
  <c r="W2814" i="1" s="1"/>
  <c r="T2815" i="1"/>
  <c r="U2815" i="1"/>
  <c r="V2815" i="1" s="1"/>
  <c r="T2816" i="1"/>
  <c r="U2816" i="1"/>
  <c r="T2817" i="1"/>
  <c r="U2817" i="1"/>
  <c r="X2817" i="1" s="1"/>
  <c r="T2818" i="1"/>
  <c r="U2818" i="1"/>
  <c r="W2818" i="1" s="1"/>
  <c r="T2819" i="1"/>
  <c r="U2819" i="1"/>
  <c r="T2820" i="1"/>
  <c r="U2820" i="1"/>
  <c r="X2820" i="1"/>
  <c r="T2821" i="1"/>
  <c r="U2821" i="1"/>
  <c r="X2821" i="1" s="1"/>
  <c r="T2822" i="1"/>
  <c r="U2822" i="1"/>
  <c r="T2823" i="1"/>
  <c r="U2823" i="1"/>
  <c r="V2823" i="1" s="1"/>
  <c r="T2824" i="1"/>
  <c r="U2824" i="1"/>
  <c r="T2825" i="1"/>
  <c r="U2825" i="1"/>
  <c r="T2826" i="1"/>
  <c r="U2826" i="1"/>
  <c r="W2826" i="1" s="1"/>
  <c r="T2827" i="1"/>
  <c r="U2827" i="1"/>
  <c r="X2827" i="1" s="1"/>
  <c r="T2828" i="1"/>
  <c r="U2828" i="1"/>
  <c r="V2828" i="1" s="1"/>
  <c r="T2829" i="1"/>
  <c r="U2829" i="1"/>
  <c r="X2829" i="1" s="1"/>
  <c r="T2830" i="1"/>
  <c r="U2830" i="1"/>
  <c r="V2830" i="1" s="1"/>
  <c r="T2831" i="1"/>
  <c r="U2831" i="1"/>
  <c r="V2831" i="1" s="1"/>
  <c r="T2832" i="1"/>
  <c r="U2832" i="1"/>
  <c r="W2832" i="1" s="1"/>
  <c r="V2832" i="1"/>
  <c r="T2833" i="1"/>
  <c r="U2833" i="1"/>
  <c r="W2833" i="1" s="1"/>
  <c r="T2834" i="1"/>
  <c r="U2834" i="1"/>
  <c r="W2834" i="1" s="1"/>
  <c r="T2835" i="1"/>
  <c r="U2835" i="1"/>
  <c r="T2836" i="1"/>
  <c r="U2836" i="1"/>
  <c r="W2836" i="1" s="1"/>
  <c r="T2837" i="1"/>
  <c r="U2837" i="1"/>
  <c r="T2838" i="1"/>
  <c r="U2838" i="1"/>
  <c r="X2838" i="1" s="1"/>
  <c r="T2839" i="1"/>
  <c r="U2839" i="1"/>
  <c r="V2839" i="1" s="1"/>
  <c r="T2840" i="1"/>
  <c r="U2840" i="1"/>
  <c r="W2840" i="1" s="1"/>
  <c r="T2841" i="1"/>
  <c r="U2841" i="1"/>
  <c r="T2842" i="1"/>
  <c r="U2842" i="1"/>
  <c r="T2843" i="1"/>
  <c r="U2843" i="1"/>
  <c r="X2843" i="1" s="1"/>
  <c r="T2844" i="1"/>
  <c r="U2844" i="1"/>
  <c r="W2844" i="1" s="1"/>
  <c r="X2844" i="1"/>
  <c r="T2845" i="1"/>
  <c r="U2845" i="1"/>
  <c r="X2845" i="1" s="1"/>
  <c r="T2846" i="1"/>
  <c r="U2846" i="1"/>
  <c r="X2846" i="1" s="1"/>
  <c r="T2847" i="1"/>
  <c r="U2847" i="1"/>
  <c r="V2847" i="1" s="1"/>
  <c r="T2848" i="1"/>
  <c r="U2848" i="1"/>
  <c r="T2849" i="1"/>
  <c r="U2849" i="1"/>
  <c r="T2850" i="1"/>
  <c r="U2850" i="1"/>
  <c r="W2850" i="1" s="1"/>
  <c r="T2851" i="1"/>
  <c r="U2851" i="1"/>
  <c r="X2851" i="1" s="1"/>
  <c r="T2852" i="1"/>
  <c r="U2852" i="1"/>
  <c r="T2853" i="1"/>
  <c r="U2853" i="1"/>
  <c r="X2853" i="1" s="1"/>
  <c r="T2854" i="1"/>
  <c r="U2854" i="1"/>
  <c r="V2854" i="1" s="1"/>
  <c r="T2855" i="1"/>
  <c r="U2855" i="1"/>
  <c r="T2856" i="1"/>
  <c r="U2856" i="1"/>
  <c r="V2856" i="1" s="1"/>
  <c r="T2857" i="1"/>
  <c r="U2857" i="1"/>
  <c r="X2857" i="1" s="1"/>
  <c r="T2858" i="1"/>
  <c r="U2858" i="1"/>
  <c r="W2858" i="1" s="1"/>
  <c r="T2859" i="1"/>
  <c r="U2859" i="1"/>
  <c r="T2860" i="1"/>
  <c r="U2860" i="1"/>
  <c r="T2861" i="1"/>
  <c r="U2861" i="1"/>
  <c r="X2861" i="1" s="1"/>
  <c r="T2862" i="1"/>
  <c r="U2862" i="1"/>
  <c r="V2862" i="1" s="1"/>
  <c r="T2863" i="1"/>
  <c r="U2863" i="1"/>
  <c r="T2864" i="1"/>
  <c r="U2864" i="1"/>
  <c r="X2864" i="1" s="1"/>
  <c r="T2865" i="1"/>
  <c r="U2865" i="1"/>
  <c r="X2865" i="1" s="1"/>
  <c r="T2866" i="1"/>
  <c r="U2866" i="1"/>
  <c r="W2866" i="1" s="1"/>
  <c r="T2867" i="1"/>
  <c r="U2867" i="1"/>
  <c r="T2868" i="1"/>
  <c r="U2868" i="1"/>
  <c r="W2868" i="1" s="1"/>
  <c r="T2869" i="1"/>
  <c r="U2869" i="1"/>
  <c r="T2870" i="1"/>
  <c r="U2870" i="1"/>
  <c r="X2870" i="1" s="1"/>
  <c r="T2871" i="1"/>
  <c r="U2871" i="1"/>
  <c r="T2872" i="1"/>
  <c r="U2872" i="1"/>
  <c r="X2872" i="1" s="1"/>
  <c r="T2873" i="1"/>
  <c r="U2873" i="1"/>
  <c r="T2874" i="1"/>
  <c r="U2874" i="1"/>
  <c r="T2875" i="1"/>
  <c r="U2875" i="1"/>
  <c r="X2875" i="1" s="1"/>
  <c r="T2876" i="1"/>
  <c r="U2876" i="1"/>
  <c r="X2876" i="1" s="1"/>
  <c r="T2877" i="1"/>
  <c r="U2877" i="1"/>
  <c r="T2878" i="1"/>
  <c r="U2878" i="1"/>
  <c r="T2879" i="1"/>
  <c r="U2879" i="1"/>
  <c r="V2879" i="1" s="1"/>
  <c r="T2880" i="1"/>
  <c r="U2880" i="1"/>
  <c r="V2880" i="1" s="1"/>
  <c r="T2881" i="1"/>
  <c r="U2881" i="1"/>
  <c r="T2882" i="1"/>
  <c r="U2882" i="1"/>
  <c r="W2882" i="1" s="1"/>
  <c r="X2882" i="1"/>
  <c r="T2883" i="1"/>
  <c r="U2883" i="1"/>
  <c r="X2883" i="1" s="1"/>
  <c r="T2884" i="1"/>
  <c r="U2884" i="1"/>
  <c r="V2884" i="1" s="1"/>
  <c r="T2885" i="1"/>
  <c r="U2885" i="1"/>
  <c r="X2885" i="1" s="1"/>
  <c r="T2886" i="1"/>
  <c r="U2886" i="1"/>
  <c r="W2886" i="1" s="1"/>
  <c r="T2887" i="1"/>
  <c r="U2887" i="1"/>
  <c r="V2887" i="1" s="1"/>
  <c r="T2888" i="1"/>
  <c r="U2888" i="1"/>
  <c r="V2888" i="1" s="1"/>
  <c r="T2889" i="1"/>
  <c r="U2889" i="1"/>
  <c r="T2890" i="1"/>
  <c r="U2890" i="1"/>
  <c r="T2891" i="1"/>
  <c r="U2891" i="1"/>
  <c r="T2892" i="1"/>
  <c r="U2892" i="1"/>
  <c r="W2892" i="1" s="1"/>
  <c r="T2893" i="1"/>
  <c r="U2893" i="1"/>
  <c r="X2893" i="1" s="1"/>
  <c r="T2894" i="1"/>
  <c r="U2894" i="1"/>
  <c r="V2894" i="1" s="1"/>
  <c r="T2895" i="1"/>
  <c r="U2895" i="1"/>
  <c r="T2896" i="1"/>
  <c r="U2896" i="1"/>
  <c r="X2896" i="1" s="1"/>
  <c r="V2896" i="1"/>
  <c r="W2896" i="1"/>
  <c r="T2897" i="1"/>
  <c r="U2897" i="1"/>
  <c r="T2898" i="1"/>
  <c r="U2898" i="1"/>
  <c r="W2898" i="1" s="1"/>
  <c r="T2899" i="1"/>
  <c r="U2899" i="1"/>
  <c r="T2900" i="1"/>
  <c r="U2900" i="1"/>
  <c r="X2900" i="1" s="1"/>
  <c r="T2901" i="1"/>
  <c r="U2901" i="1"/>
  <c r="T2902" i="1"/>
  <c r="U2902" i="1"/>
  <c r="V2902" i="1" s="1"/>
  <c r="W2902" i="1"/>
  <c r="T2903" i="1"/>
  <c r="U2903" i="1"/>
  <c r="T2904" i="1"/>
  <c r="U2904" i="1"/>
  <c r="T2905" i="1"/>
  <c r="U2905" i="1"/>
  <c r="T2906" i="1"/>
  <c r="U2906" i="1"/>
  <c r="T2907" i="1"/>
  <c r="U2907" i="1"/>
  <c r="T2908" i="1"/>
  <c r="U2908" i="1"/>
  <c r="W2908" i="1" s="1"/>
  <c r="T2909" i="1"/>
  <c r="U2909" i="1"/>
  <c r="T2910" i="1"/>
  <c r="U2910" i="1"/>
  <c r="T2911" i="1"/>
  <c r="U2911" i="1"/>
  <c r="V2911" i="1" s="1"/>
  <c r="T2912" i="1"/>
  <c r="U2912" i="1"/>
  <c r="W2912" i="1" s="1"/>
  <c r="T2913" i="1"/>
  <c r="U2913" i="1"/>
  <c r="V2913" i="1" s="1"/>
  <c r="T2914" i="1"/>
  <c r="U2914" i="1"/>
  <c r="X2914" i="1" s="1"/>
  <c r="T2915" i="1"/>
  <c r="U2915" i="1"/>
  <c r="W2915" i="1" s="1"/>
  <c r="T2916" i="1"/>
  <c r="U2916" i="1"/>
  <c r="W2916" i="1" s="1"/>
  <c r="T2917" i="1"/>
  <c r="U2917" i="1"/>
  <c r="X2917" i="1" s="1"/>
  <c r="T2918" i="1"/>
  <c r="U2918" i="1"/>
  <c r="V2918" i="1" s="1"/>
  <c r="T2919" i="1"/>
  <c r="U2919" i="1"/>
  <c r="V2919" i="1" s="1"/>
  <c r="T2920" i="1"/>
  <c r="U2920" i="1"/>
  <c r="V2920" i="1" s="1"/>
  <c r="T2921" i="1"/>
  <c r="U2921" i="1"/>
  <c r="T2922" i="1"/>
  <c r="U2922" i="1"/>
  <c r="T2923" i="1"/>
  <c r="U2923" i="1"/>
  <c r="T2924" i="1"/>
  <c r="U2924" i="1"/>
  <c r="V2924" i="1" s="1"/>
  <c r="T2925" i="1"/>
  <c r="U2925" i="1"/>
  <c r="T2926" i="1"/>
  <c r="U2926" i="1"/>
  <c r="V2926" i="1" s="1"/>
  <c r="T2927" i="1"/>
  <c r="U2927" i="1"/>
  <c r="T2928" i="1"/>
  <c r="U2928" i="1"/>
  <c r="T2929" i="1"/>
  <c r="U2929" i="1"/>
  <c r="T2930" i="1"/>
  <c r="U2930" i="1"/>
  <c r="W2930" i="1" s="1"/>
  <c r="T2931" i="1"/>
  <c r="U2931" i="1"/>
  <c r="T2932" i="1"/>
  <c r="U2932" i="1"/>
  <c r="X2932" i="1" s="1"/>
  <c r="T2933" i="1"/>
  <c r="U2933" i="1"/>
  <c r="X2933" i="1" s="1"/>
  <c r="T2934" i="1"/>
  <c r="U2934" i="1"/>
  <c r="X2934" i="1" s="1"/>
  <c r="T2935" i="1"/>
  <c r="U2935" i="1"/>
  <c r="T2936" i="1"/>
  <c r="U2936" i="1"/>
  <c r="T2937" i="1"/>
  <c r="U2937" i="1"/>
  <c r="T2938" i="1"/>
  <c r="U2938" i="1"/>
  <c r="T2939" i="1"/>
  <c r="U2939" i="1"/>
  <c r="V2939" i="1" s="1"/>
  <c r="T2940" i="1"/>
  <c r="U2940" i="1"/>
  <c r="W2940" i="1" s="1"/>
  <c r="T2941" i="1"/>
  <c r="U2941" i="1"/>
  <c r="V2941" i="1" s="1"/>
  <c r="T2942" i="1"/>
  <c r="U2942" i="1"/>
  <c r="T2943" i="1"/>
  <c r="U2943" i="1"/>
  <c r="T2944" i="1"/>
  <c r="U2944" i="1"/>
  <c r="V2944" i="1" s="1"/>
  <c r="T2945" i="1"/>
  <c r="U2945" i="1"/>
  <c r="V2945" i="1" s="1"/>
  <c r="T2946" i="1"/>
  <c r="U2946" i="1"/>
  <c r="X2946" i="1" s="1"/>
  <c r="T2947" i="1"/>
  <c r="U2947" i="1"/>
  <c r="X2947" i="1" s="1"/>
  <c r="T2948" i="1"/>
  <c r="U2948" i="1"/>
  <c r="W2948" i="1" s="1"/>
  <c r="T2949" i="1"/>
  <c r="U2949" i="1"/>
  <c r="X2949" i="1" s="1"/>
  <c r="T2950" i="1"/>
  <c r="U2950" i="1"/>
  <c r="X2950" i="1" s="1"/>
  <c r="T2951" i="1"/>
  <c r="U2951" i="1"/>
  <c r="T2952" i="1"/>
  <c r="U2952" i="1"/>
  <c r="X2952" i="1" s="1"/>
  <c r="T2953" i="1"/>
  <c r="U2953" i="1"/>
  <c r="T2954" i="1"/>
  <c r="U2954" i="1"/>
  <c r="T2955" i="1"/>
  <c r="U2955" i="1"/>
  <c r="V2955" i="1" s="1"/>
  <c r="T2956" i="1"/>
  <c r="U2956" i="1"/>
  <c r="X2956" i="1" s="1"/>
  <c r="T2957" i="1"/>
  <c r="U2957" i="1"/>
  <c r="T2958" i="1"/>
  <c r="U2958" i="1"/>
  <c r="V2958" i="1" s="1"/>
  <c r="T2959" i="1"/>
  <c r="U2959" i="1"/>
  <c r="V2959" i="1" s="1"/>
  <c r="W2959" i="1"/>
  <c r="T2960" i="1"/>
  <c r="U2960" i="1"/>
  <c r="V2960" i="1" s="1"/>
  <c r="T2961" i="1"/>
  <c r="U2961" i="1"/>
  <c r="T2962" i="1"/>
  <c r="U2962" i="1"/>
  <c r="T2963" i="1"/>
  <c r="U2963" i="1"/>
  <c r="V2963" i="1" s="1"/>
  <c r="T2964" i="1"/>
  <c r="U2964" i="1"/>
  <c r="W2964" i="1" s="1"/>
  <c r="T2965" i="1"/>
  <c r="U2965" i="1"/>
  <c r="X2965" i="1" s="1"/>
  <c r="V2965" i="1"/>
  <c r="T2966" i="1"/>
  <c r="U2966" i="1"/>
  <c r="W2966" i="1" s="1"/>
  <c r="T2967" i="1"/>
  <c r="U2967" i="1"/>
  <c r="T2968" i="1"/>
  <c r="U2968" i="1"/>
  <c r="T2969" i="1"/>
  <c r="U2969" i="1"/>
  <c r="X2969" i="1" s="1"/>
  <c r="T2970" i="1"/>
  <c r="U2970" i="1"/>
  <c r="T2971" i="1"/>
  <c r="U2971" i="1"/>
  <c r="V2971" i="1" s="1"/>
  <c r="T2972" i="1"/>
  <c r="U2972" i="1"/>
  <c r="X2972" i="1" s="1"/>
  <c r="W2972" i="1"/>
  <c r="T2973" i="1"/>
  <c r="U2973" i="1"/>
  <c r="V2973" i="1" s="1"/>
  <c r="T2974" i="1"/>
  <c r="U2974" i="1"/>
  <c r="V2974" i="1" s="1"/>
  <c r="T2975" i="1"/>
  <c r="U2975" i="1"/>
  <c r="T2976" i="1"/>
  <c r="U2976" i="1"/>
  <c r="X2976" i="1" s="1"/>
  <c r="T2977" i="1"/>
  <c r="U2977" i="1"/>
  <c r="V2977" i="1" s="1"/>
  <c r="T2978" i="1"/>
  <c r="U2978" i="1"/>
  <c r="T2979" i="1"/>
  <c r="U2979" i="1"/>
  <c r="V2979" i="1" s="1"/>
  <c r="T2980" i="1"/>
  <c r="U2980" i="1"/>
  <c r="W2980" i="1" s="1"/>
  <c r="T2981" i="1"/>
  <c r="U2981" i="1"/>
  <c r="T2982" i="1"/>
  <c r="U2982" i="1"/>
  <c r="X2982" i="1" s="1"/>
  <c r="T2983" i="1"/>
  <c r="U2983" i="1"/>
  <c r="V2983" i="1" s="1"/>
  <c r="T2984" i="1"/>
  <c r="U2984" i="1"/>
  <c r="V2984" i="1" s="1"/>
  <c r="T2985" i="1"/>
  <c r="U2985" i="1"/>
  <c r="W2985" i="1" s="1"/>
  <c r="T2986" i="1"/>
  <c r="U2986" i="1"/>
  <c r="V2986" i="1" s="1"/>
  <c r="T2987" i="1"/>
  <c r="U2987" i="1"/>
  <c r="V2987" i="1" s="1"/>
  <c r="T2988" i="1"/>
  <c r="U2988" i="1"/>
  <c r="X2988" i="1" s="1"/>
  <c r="T2989" i="1"/>
  <c r="U2989" i="1"/>
  <c r="T2990" i="1"/>
  <c r="U2990" i="1"/>
  <c r="V2990" i="1" s="1"/>
  <c r="T2991" i="1"/>
  <c r="U2991" i="1"/>
  <c r="T2992" i="1"/>
  <c r="U2992" i="1"/>
  <c r="X2992" i="1" s="1"/>
  <c r="T2993" i="1"/>
  <c r="U2993" i="1"/>
  <c r="V2993" i="1" s="1"/>
  <c r="T2994" i="1"/>
  <c r="U2994" i="1"/>
  <c r="T2995" i="1"/>
  <c r="U2995" i="1"/>
  <c r="X2995" i="1" s="1"/>
  <c r="T2996" i="1"/>
  <c r="U2996" i="1"/>
  <c r="W2996" i="1" s="1"/>
  <c r="T2997" i="1"/>
  <c r="U2997" i="1"/>
  <c r="T2998" i="1"/>
  <c r="U2998" i="1"/>
  <c r="X2998" i="1" s="1"/>
  <c r="W2998" i="1"/>
  <c r="T2999" i="1"/>
  <c r="U2999" i="1"/>
  <c r="W2999" i="1" s="1"/>
  <c r="T3000" i="1"/>
  <c r="U3000" i="1"/>
  <c r="T3001" i="1"/>
  <c r="U3001" i="1"/>
  <c r="T3002" i="1"/>
  <c r="U3002" i="1"/>
  <c r="W3002" i="1" s="1"/>
  <c r="T3003" i="1"/>
  <c r="U3003" i="1"/>
  <c r="V3003" i="1" s="1"/>
  <c r="T3004" i="1"/>
  <c r="U3004" i="1"/>
  <c r="W3004" i="1" s="1"/>
  <c r="T3005" i="1"/>
  <c r="U3005" i="1"/>
  <c r="T3006" i="1"/>
  <c r="U3006" i="1"/>
  <c r="V3006" i="1" s="1"/>
  <c r="T3007" i="1"/>
  <c r="U3007" i="1"/>
  <c r="T3008" i="1"/>
  <c r="U3008" i="1"/>
  <c r="T3009" i="1"/>
  <c r="U3009" i="1"/>
  <c r="X3009" i="1" s="1"/>
  <c r="T3010" i="1"/>
  <c r="U3010" i="1"/>
  <c r="W3010" i="1" s="1"/>
  <c r="T3011" i="1"/>
  <c r="U3011" i="1"/>
  <c r="T3012" i="1"/>
  <c r="U3012" i="1"/>
  <c r="T3013" i="1"/>
  <c r="U3013" i="1"/>
  <c r="T3014" i="1"/>
  <c r="U3014" i="1"/>
  <c r="X3014" i="1" s="1"/>
  <c r="T3015" i="1"/>
  <c r="U3015" i="1"/>
  <c r="T3016" i="1"/>
  <c r="U3016" i="1"/>
  <c r="X3016" i="1" s="1"/>
  <c r="T3017" i="1"/>
  <c r="U3017" i="1"/>
  <c r="T3018" i="1"/>
  <c r="U3018" i="1"/>
  <c r="T3019" i="1"/>
  <c r="U3019" i="1"/>
  <c r="T3020" i="1"/>
  <c r="U3020" i="1"/>
  <c r="W3020" i="1" s="1"/>
  <c r="T3021" i="1"/>
  <c r="U3021" i="1"/>
  <c r="T3022" i="1"/>
  <c r="U3022" i="1"/>
  <c r="V3022" i="1" s="1"/>
  <c r="T3023" i="1"/>
  <c r="U3023" i="1"/>
  <c r="V3023" i="1" s="1"/>
  <c r="T3024" i="1"/>
  <c r="U3024" i="1"/>
  <c r="W3024" i="1" s="1"/>
  <c r="T3025" i="1"/>
  <c r="U3025" i="1"/>
  <c r="T3026" i="1"/>
  <c r="U3026" i="1"/>
  <c r="T3027" i="1"/>
  <c r="U3027" i="1"/>
  <c r="T3028" i="1"/>
  <c r="U3028" i="1"/>
  <c r="V3028" i="1" s="1"/>
  <c r="T3029" i="1"/>
  <c r="U3029" i="1"/>
  <c r="T3030" i="1"/>
  <c r="U3030" i="1"/>
  <c r="X3030" i="1" s="1"/>
  <c r="T3031" i="1"/>
  <c r="U3031" i="1"/>
  <c r="W3031" i="1" s="1"/>
  <c r="T3032" i="1"/>
  <c r="U3032" i="1"/>
  <c r="V3032" i="1" s="1"/>
  <c r="T3033" i="1"/>
  <c r="U3033" i="1"/>
  <c r="X3033" i="1" s="1"/>
  <c r="T3034" i="1"/>
  <c r="U3034" i="1"/>
  <c r="W3034" i="1" s="1"/>
  <c r="T3035" i="1"/>
  <c r="U3035" i="1"/>
  <c r="V3035" i="1" s="1"/>
  <c r="T3036" i="1"/>
  <c r="U3036" i="1"/>
  <c r="W3036" i="1" s="1"/>
  <c r="T3037" i="1"/>
  <c r="U3037" i="1"/>
  <c r="V3037" i="1" s="1"/>
  <c r="T3038" i="1"/>
  <c r="U3038" i="1"/>
  <c r="V3038" i="1" s="1"/>
  <c r="T3039" i="1"/>
  <c r="U3039" i="1"/>
  <c r="T3040" i="1"/>
  <c r="U3040" i="1"/>
  <c r="X3040" i="1" s="1"/>
  <c r="T3041" i="1"/>
  <c r="U3041" i="1"/>
  <c r="T3042" i="1"/>
  <c r="U3042" i="1"/>
  <c r="W3042" i="1" s="1"/>
  <c r="T3043" i="1"/>
  <c r="U3043" i="1"/>
  <c r="W3043" i="1" s="1"/>
  <c r="T3044" i="1"/>
  <c r="U3044" i="1"/>
  <c r="W3044" i="1" s="1"/>
  <c r="T3045" i="1"/>
  <c r="U3045" i="1"/>
  <c r="T3046" i="1"/>
  <c r="U3046" i="1"/>
  <c r="X3046" i="1" s="1"/>
  <c r="T3047" i="1"/>
  <c r="U3047" i="1"/>
  <c r="T3048" i="1"/>
  <c r="U3048" i="1"/>
  <c r="V3048" i="1" s="1"/>
  <c r="T3049" i="1"/>
  <c r="U3049" i="1"/>
  <c r="W3049" i="1" s="1"/>
  <c r="T3050" i="1"/>
  <c r="U3050" i="1"/>
  <c r="T3051" i="1"/>
  <c r="U3051" i="1"/>
  <c r="T3052" i="1"/>
  <c r="U3052" i="1"/>
  <c r="W3052" i="1" s="1"/>
  <c r="T3053" i="1"/>
  <c r="U3053" i="1"/>
  <c r="X3053" i="1" s="1"/>
  <c r="T3054" i="1"/>
  <c r="U3054" i="1"/>
  <c r="V3054" i="1" s="1"/>
  <c r="T3055" i="1"/>
  <c r="U3055" i="1"/>
  <c r="T3056" i="1"/>
  <c r="U3056" i="1"/>
  <c r="W3056" i="1" s="1"/>
  <c r="T3057" i="1"/>
  <c r="U3057" i="1"/>
  <c r="X3057" i="1" s="1"/>
  <c r="T3058" i="1"/>
  <c r="U3058" i="1"/>
  <c r="T3059" i="1"/>
  <c r="U3059" i="1"/>
  <c r="W3059" i="1" s="1"/>
  <c r="T3060" i="1"/>
  <c r="U3060" i="1"/>
  <c r="V3060" i="1" s="1"/>
  <c r="T3061" i="1"/>
  <c r="U3061" i="1"/>
  <c r="W3061" i="1" s="1"/>
  <c r="T3062" i="1"/>
  <c r="U3062" i="1"/>
  <c r="X3062" i="1" s="1"/>
  <c r="T3063" i="1"/>
  <c r="U3063" i="1"/>
  <c r="T3064" i="1"/>
  <c r="U3064" i="1"/>
  <c r="X3064" i="1" s="1"/>
  <c r="W3064" i="1"/>
  <c r="T3065" i="1"/>
  <c r="U3065" i="1"/>
  <c r="X3065" i="1" s="1"/>
  <c r="T3066" i="1"/>
  <c r="U3066" i="1"/>
  <c r="T3067" i="1"/>
  <c r="U3067" i="1"/>
  <c r="V3067" i="1" s="1"/>
  <c r="T3068" i="1"/>
  <c r="U3068" i="1"/>
  <c r="W3068" i="1" s="1"/>
  <c r="T3069" i="1"/>
  <c r="U3069" i="1"/>
  <c r="X3069" i="1" s="1"/>
  <c r="T3070" i="1"/>
  <c r="U3070" i="1"/>
  <c r="T3071" i="1"/>
  <c r="U3071" i="1"/>
  <c r="W3071" i="1" s="1"/>
  <c r="T3072" i="1"/>
  <c r="U3072" i="1"/>
  <c r="T3073" i="1"/>
  <c r="U3073" i="1"/>
  <c r="T3074" i="1"/>
  <c r="U3074" i="1"/>
  <c r="T3075" i="1"/>
  <c r="U3075" i="1"/>
  <c r="W3075" i="1" s="1"/>
  <c r="T3076" i="1"/>
  <c r="U3076" i="1"/>
  <c r="V3076" i="1" s="1"/>
  <c r="T3077" i="1"/>
  <c r="U3077" i="1"/>
  <c r="T3078" i="1"/>
  <c r="U3078" i="1"/>
  <c r="W3078" i="1" s="1"/>
  <c r="T3079" i="1"/>
  <c r="U3079" i="1"/>
  <c r="V3079" i="1" s="1"/>
  <c r="T3080" i="1"/>
  <c r="U3080" i="1"/>
  <c r="T3081" i="1"/>
  <c r="U3081" i="1"/>
  <c r="W3081" i="1" s="1"/>
  <c r="T3082" i="1"/>
  <c r="U3082" i="1"/>
  <c r="V3082" i="1" s="1"/>
  <c r="T3083" i="1"/>
  <c r="U3083" i="1"/>
  <c r="X3083" i="1" s="1"/>
  <c r="T3084" i="1"/>
  <c r="U3084" i="1"/>
  <c r="W3084" i="1" s="1"/>
  <c r="T3085" i="1"/>
  <c r="U3085" i="1"/>
  <c r="T3086" i="1"/>
  <c r="U3086" i="1"/>
  <c r="T3087" i="1"/>
  <c r="U3087" i="1"/>
  <c r="T3088" i="1"/>
  <c r="U3088" i="1"/>
  <c r="X3088" i="1" s="1"/>
  <c r="T3089" i="1"/>
  <c r="U3089" i="1"/>
  <c r="T3090" i="1"/>
  <c r="U3090" i="1"/>
  <c r="V3090" i="1" s="1"/>
  <c r="T3091" i="1"/>
  <c r="U3091" i="1"/>
  <c r="X3091" i="1" s="1"/>
  <c r="T3092" i="1"/>
  <c r="U3092" i="1"/>
  <c r="V3092" i="1" s="1"/>
  <c r="T3093" i="1"/>
  <c r="U3093" i="1"/>
  <c r="W3093" i="1" s="1"/>
  <c r="T3094" i="1"/>
  <c r="U3094" i="1"/>
  <c r="V3094" i="1" s="1"/>
  <c r="T3095" i="1"/>
  <c r="U3095" i="1"/>
  <c r="V3095" i="1" s="1"/>
  <c r="T3096" i="1"/>
  <c r="U3096" i="1"/>
  <c r="V3096" i="1" s="1"/>
  <c r="T3097" i="1"/>
  <c r="U3097" i="1"/>
  <c r="W3097" i="1" s="1"/>
  <c r="T3098" i="1"/>
  <c r="U3098" i="1"/>
  <c r="T3099" i="1"/>
  <c r="U3099" i="1"/>
  <c r="V3099" i="1" s="1"/>
  <c r="T3100" i="1"/>
  <c r="U3100" i="1"/>
  <c r="W3100" i="1" s="1"/>
  <c r="T3101" i="1"/>
  <c r="U3101" i="1"/>
  <c r="V3101" i="1" s="1"/>
  <c r="T3102" i="1"/>
  <c r="U3102" i="1"/>
  <c r="X3102" i="1" s="1"/>
  <c r="T3103" i="1"/>
  <c r="U3103" i="1"/>
  <c r="T3104" i="1"/>
  <c r="U3104" i="1"/>
  <c r="W3104" i="1" s="1"/>
  <c r="T3105" i="1"/>
  <c r="U3105" i="1"/>
  <c r="V3105" i="1" s="1"/>
  <c r="T3106" i="1"/>
  <c r="U3106" i="1"/>
  <c r="T3107" i="1"/>
  <c r="U3107" i="1"/>
  <c r="V3107" i="1" s="1"/>
  <c r="T3108" i="1"/>
  <c r="U3108" i="1"/>
  <c r="W3108" i="1" s="1"/>
  <c r="T3109" i="1"/>
  <c r="U3109" i="1"/>
  <c r="T3110" i="1"/>
  <c r="U3110" i="1"/>
  <c r="T3111" i="1"/>
  <c r="U3111" i="1"/>
  <c r="X3111" i="1" s="1"/>
  <c r="T3112" i="1"/>
  <c r="U3112" i="1"/>
  <c r="W3112" i="1" s="1"/>
  <c r="T3113" i="1"/>
  <c r="U3113" i="1"/>
  <c r="V3113" i="1" s="1"/>
  <c r="T3114" i="1"/>
  <c r="U3114" i="1"/>
  <c r="W3114" i="1" s="1"/>
  <c r="T3115" i="1"/>
  <c r="U3115" i="1"/>
  <c r="V3115" i="1" s="1"/>
  <c r="T3116" i="1"/>
  <c r="U3116" i="1"/>
  <c r="X3116" i="1" s="1"/>
  <c r="T3117" i="1"/>
  <c r="U3117" i="1"/>
  <c r="T3118" i="1"/>
  <c r="U3118" i="1"/>
  <c r="T3119" i="1"/>
  <c r="U3119" i="1"/>
  <c r="T3120" i="1"/>
  <c r="U3120" i="1"/>
  <c r="V3120" i="1" s="1"/>
  <c r="T3121" i="1"/>
  <c r="U3121" i="1"/>
  <c r="X3121" i="1" s="1"/>
  <c r="T3122" i="1"/>
  <c r="U3122" i="1"/>
  <c r="T3123" i="1"/>
  <c r="U3123" i="1"/>
  <c r="W3123" i="1" s="1"/>
  <c r="T3124" i="1"/>
  <c r="U3124" i="1"/>
  <c r="W3124" i="1" s="1"/>
  <c r="T3125" i="1"/>
  <c r="U3125" i="1"/>
  <c r="V3125" i="1" s="1"/>
  <c r="T3126" i="1"/>
  <c r="U3126" i="1"/>
  <c r="W3126" i="1" s="1"/>
  <c r="X3126" i="1"/>
  <c r="T3127" i="1"/>
  <c r="U3127" i="1"/>
  <c r="W3127" i="1" s="1"/>
  <c r="T3128" i="1"/>
  <c r="U3128" i="1"/>
  <c r="X3128" i="1" s="1"/>
  <c r="T3129" i="1"/>
  <c r="U3129" i="1"/>
  <c r="X3129" i="1" s="1"/>
  <c r="T3130" i="1"/>
  <c r="U3130" i="1"/>
  <c r="T3131" i="1"/>
  <c r="U3131" i="1"/>
  <c r="X3131" i="1" s="1"/>
  <c r="T3132" i="1"/>
  <c r="U3132" i="1"/>
  <c r="X3132" i="1" s="1"/>
  <c r="T3133" i="1"/>
  <c r="U3133" i="1"/>
  <c r="T3134" i="1"/>
  <c r="U3134" i="1"/>
  <c r="T3135" i="1"/>
  <c r="U3135" i="1"/>
  <c r="T3136" i="1"/>
  <c r="U3136" i="1"/>
  <c r="X3136" i="1" s="1"/>
  <c r="T3137" i="1"/>
  <c r="U3137" i="1"/>
  <c r="V3137" i="1" s="1"/>
  <c r="T3138" i="1"/>
  <c r="U3138" i="1"/>
  <c r="T3139" i="1"/>
  <c r="U3139" i="1"/>
  <c r="W3139" i="1" s="1"/>
  <c r="T3140" i="1"/>
  <c r="U3140" i="1"/>
  <c r="W3140" i="1" s="1"/>
  <c r="T3141" i="1"/>
  <c r="U3141" i="1"/>
  <c r="T3142" i="1"/>
  <c r="U3142" i="1"/>
  <c r="T3143" i="1"/>
  <c r="U3143" i="1"/>
  <c r="V3143" i="1" s="1"/>
  <c r="T3144" i="1"/>
  <c r="U3144" i="1"/>
  <c r="V3144" i="1" s="1"/>
  <c r="T3145" i="1"/>
  <c r="U3145" i="1"/>
  <c r="X3145" i="1" s="1"/>
  <c r="T3146" i="1"/>
  <c r="U3146" i="1"/>
  <c r="V3146" i="1" s="1"/>
  <c r="T3147" i="1"/>
  <c r="U3147" i="1"/>
  <c r="X3147" i="1" s="1"/>
  <c r="T3148" i="1"/>
  <c r="U3148" i="1"/>
  <c r="T3149" i="1"/>
  <c r="U3149" i="1"/>
  <c r="W3149" i="1" s="1"/>
  <c r="T3150" i="1"/>
  <c r="U3150" i="1"/>
  <c r="X3150" i="1" s="1"/>
  <c r="T3151" i="1"/>
  <c r="U3151" i="1"/>
  <c r="V3151" i="1" s="1"/>
  <c r="T3152" i="1"/>
  <c r="U3152" i="1"/>
  <c r="V3152" i="1" s="1"/>
  <c r="T3153" i="1"/>
  <c r="U3153" i="1"/>
  <c r="V3153" i="1" s="1"/>
  <c r="T3154" i="1"/>
  <c r="U3154" i="1"/>
  <c r="V3154" i="1" s="1"/>
  <c r="T3155" i="1"/>
  <c r="U3155" i="1"/>
  <c r="X3155" i="1" s="1"/>
  <c r="T3156" i="1"/>
  <c r="U3156" i="1"/>
  <c r="T3157" i="1"/>
  <c r="U3157" i="1"/>
  <c r="X3157" i="1" s="1"/>
  <c r="T3158" i="1"/>
  <c r="U3158" i="1"/>
  <c r="X3158" i="1" s="1"/>
  <c r="T3159" i="1"/>
  <c r="U3159" i="1"/>
  <c r="V3159" i="1" s="1"/>
  <c r="T3160" i="1"/>
  <c r="U3160" i="1"/>
  <c r="V3160" i="1" s="1"/>
  <c r="T3161" i="1"/>
  <c r="U3161" i="1"/>
  <c r="T3162" i="1"/>
  <c r="U3162" i="1"/>
  <c r="W3162" i="1" s="1"/>
  <c r="T3163" i="1"/>
  <c r="U3163" i="1"/>
  <c r="V3163" i="1" s="1"/>
  <c r="T3164" i="1"/>
  <c r="U3164" i="1"/>
  <c r="X3164" i="1" s="1"/>
  <c r="T3165" i="1"/>
  <c r="U3165" i="1"/>
  <c r="V3165" i="1" s="1"/>
  <c r="T3166" i="1"/>
  <c r="U3166" i="1"/>
  <c r="X3166" i="1" s="1"/>
  <c r="T3167" i="1"/>
  <c r="U3167" i="1"/>
  <c r="T3168" i="1"/>
  <c r="U3168" i="1"/>
  <c r="W3168" i="1" s="1"/>
  <c r="T3169" i="1"/>
  <c r="U3169" i="1"/>
  <c r="V3169" i="1" s="1"/>
  <c r="T3170" i="1"/>
  <c r="U3170" i="1"/>
  <c r="V3170" i="1" s="1"/>
  <c r="T3171" i="1"/>
  <c r="U3171" i="1"/>
  <c r="X3171" i="1" s="1"/>
  <c r="T3172" i="1"/>
  <c r="U3172" i="1"/>
  <c r="W3172" i="1" s="1"/>
  <c r="T3173" i="1"/>
  <c r="U3173" i="1"/>
  <c r="V3173" i="1" s="1"/>
  <c r="T3174" i="1"/>
  <c r="U3174" i="1"/>
  <c r="X3174" i="1" s="1"/>
  <c r="T3175" i="1"/>
  <c r="U3175" i="1"/>
  <c r="X3175" i="1" s="1"/>
  <c r="T3176" i="1"/>
  <c r="U3176" i="1"/>
  <c r="V3176" i="1" s="1"/>
  <c r="T3177" i="1"/>
  <c r="U3177" i="1"/>
  <c r="V3177" i="1" s="1"/>
  <c r="T3178" i="1"/>
  <c r="U3178" i="1"/>
  <c r="W3178" i="1" s="1"/>
  <c r="T3179" i="1"/>
  <c r="U3179" i="1"/>
  <c r="V3179" i="1" s="1"/>
  <c r="T3180" i="1"/>
  <c r="U3180" i="1"/>
  <c r="X3180" i="1" s="1"/>
  <c r="T3181" i="1"/>
  <c r="U3181" i="1"/>
  <c r="X3181" i="1" s="1"/>
  <c r="T3182" i="1"/>
  <c r="U3182" i="1"/>
  <c r="V3182" i="1" s="1"/>
  <c r="T3183" i="1"/>
  <c r="U3183" i="1"/>
  <c r="W3183" i="1" s="1"/>
  <c r="T3184" i="1"/>
  <c r="U3184" i="1"/>
  <c r="X3184" i="1" s="1"/>
  <c r="T3185" i="1"/>
  <c r="U3185" i="1"/>
  <c r="T3186" i="1"/>
  <c r="U3186" i="1"/>
  <c r="T3187" i="1"/>
  <c r="U3187" i="1"/>
  <c r="W3187" i="1" s="1"/>
  <c r="T3188" i="1"/>
  <c r="U3188" i="1"/>
  <c r="W3188" i="1" s="1"/>
  <c r="T3189" i="1"/>
  <c r="U3189" i="1"/>
  <c r="X3189" i="1" s="1"/>
  <c r="T3190" i="1"/>
  <c r="U3190" i="1"/>
  <c r="T3191" i="1"/>
  <c r="U3191" i="1"/>
  <c r="W3191" i="1" s="1"/>
  <c r="T3192" i="1"/>
  <c r="U3192" i="1"/>
  <c r="T3193" i="1"/>
  <c r="U3193" i="1"/>
  <c r="X3193" i="1" s="1"/>
  <c r="T3194" i="1"/>
  <c r="U3194" i="1"/>
  <c r="X3194" i="1" s="1"/>
  <c r="T3195" i="1"/>
  <c r="U3195" i="1"/>
  <c r="V3195" i="1" s="1"/>
  <c r="T3196" i="1"/>
  <c r="U3196" i="1"/>
  <c r="W3196" i="1" s="1"/>
  <c r="T3197" i="1"/>
  <c r="U3197" i="1"/>
  <c r="X3197" i="1" s="1"/>
  <c r="T3198" i="1"/>
  <c r="U3198" i="1"/>
  <c r="V3198" i="1" s="1"/>
  <c r="T3199" i="1"/>
  <c r="U3199" i="1"/>
  <c r="W3199" i="1" s="1"/>
  <c r="T3200" i="1"/>
  <c r="U3200" i="1"/>
  <c r="X3200" i="1" s="1"/>
  <c r="T3201" i="1"/>
  <c r="U3201" i="1"/>
  <c r="V3201" i="1" s="1"/>
  <c r="T3202" i="1"/>
  <c r="U3202" i="1"/>
  <c r="X3202" i="1" s="1"/>
  <c r="T3203" i="1"/>
  <c r="U3203" i="1"/>
  <c r="X3203" i="1" s="1"/>
  <c r="T3204" i="1"/>
  <c r="U3204" i="1"/>
  <c r="W3204" i="1" s="1"/>
  <c r="T3205" i="1"/>
  <c r="U3205" i="1"/>
  <c r="T3206" i="1"/>
  <c r="U3206" i="1"/>
  <c r="X3206" i="1" s="1"/>
  <c r="T3207" i="1"/>
  <c r="U3207" i="1"/>
  <c r="V3207" i="1" s="1"/>
  <c r="T3208" i="1"/>
  <c r="U3208" i="1"/>
  <c r="V3208" i="1" s="1"/>
  <c r="T3209" i="1"/>
  <c r="U3209" i="1"/>
  <c r="W3209" i="1" s="1"/>
  <c r="T3210" i="1"/>
  <c r="U3210" i="1"/>
  <c r="V3210" i="1" s="1"/>
  <c r="T3211" i="1"/>
  <c r="U3211" i="1"/>
  <c r="X3211" i="1" s="1"/>
  <c r="T3212" i="1"/>
  <c r="U3212" i="1"/>
  <c r="V3212" i="1" s="1"/>
  <c r="T3213" i="1"/>
  <c r="U3213" i="1"/>
  <c r="W3213" i="1" s="1"/>
  <c r="T3214" i="1"/>
  <c r="U3214" i="1"/>
  <c r="V3214" i="1" s="1"/>
  <c r="T3215" i="1"/>
  <c r="U3215" i="1"/>
  <c r="T3216" i="1"/>
  <c r="U3216" i="1"/>
  <c r="X3216" i="1" s="1"/>
  <c r="T3217" i="1"/>
  <c r="U3217" i="1"/>
  <c r="T3218" i="1"/>
  <c r="U3218" i="1"/>
  <c r="V3218" i="1" s="1"/>
  <c r="T3219" i="1"/>
  <c r="U3219" i="1"/>
  <c r="W3219" i="1" s="1"/>
  <c r="T3220" i="1"/>
  <c r="U3220" i="1"/>
  <c r="V3220" i="1" s="1"/>
  <c r="W3220" i="1"/>
  <c r="T3221" i="1"/>
  <c r="U3221" i="1"/>
  <c r="V3221" i="1" s="1"/>
  <c r="T3222" i="1"/>
  <c r="U3222" i="1"/>
  <c r="X3222" i="1" s="1"/>
  <c r="T3223" i="1"/>
  <c r="U3223" i="1"/>
  <c r="V3223" i="1" s="1"/>
  <c r="T3224" i="1"/>
  <c r="U3224" i="1"/>
  <c r="T3225" i="1"/>
  <c r="U3225" i="1"/>
  <c r="W3225" i="1" s="1"/>
  <c r="T3226" i="1"/>
  <c r="U3226" i="1"/>
  <c r="X3226" i="1" s="1"/>
  <c r="T3227" i="1"/>
  <c r="U3227" i="1"/>
  <c r="T3228" i="1"/>
  <c r="U3228" i="1"/>
  <c r="X3228" i="1" s="1"/>
  <c r="T3229" i="1"/>
  <c r="U3229" i="1"/>
  <c r="X3229" i="1" s="1"/>
  <c r="T3230" i="1"/>
  <c r="U3230" i="1"/>
  <c r="W3230" i="1" s="1"/>
  <c r="T3231" i="1"/>
  <c r="U3231" i="1"/>
  <c r="V3231" i="1" s="1"/>
  <c r="T3232" i="1"/>
  <c r="U3232" i="1"/>
  <c r="W3232" i="1" s="1"/>
  <c r="T3233" i="1"/>
  <c r="U3233" i="1"/>
  <c r="X3233" i="1" s="1"/>
  <c r="T3234" i="1"/>
  <c r="U3234" i="1"/>
  <c r="W3234" i="1" s="1"/>
  <c r="T3235" i="1"/>
  <c r="U3235" i="1"/>
  <c r="V3235" i="1" s="1"/>
  <c r="T3236" i="1"/>
  <c r="U3236" i="1"/>
  <c r="W3236" i="1" s="1"/>
  <c r="T3237" i="1"/>
  <c r="U3237" i="1"/>
  <c r="X3237" i="1" s="1"/>
  <c r="T3238" i="1"/>
  <c r="U3238" i="1"/>
  <c r="W3238" i="1" s="1"/>
  <c r="T3239" i="1"/>
  <c r="U3239" i="1"/>
  <c r="V3239" i="1" s="1"/>
  <c r="T3240" i="1"/>
  <c r="U3240" i="1"/>
  <c r="W3240" i="1" s="1"/>
  <c r="T3241" i="1"/>
  <c r="U3241" i="1"/>
  <c r="X3241" i="1" s="1"/>
  <c r="T3242" i="1"/>
  <c r="U3242" i="1"/>
  <c r="W3242" i="1" s="1"/>
  <c r="T3243" i="1"/>
  <c r="U3243" i="1"/>
  <c r="T3244" i="1"/>
  <c r="U3244" i="1"/>
  <c r="X3244" i="1" s="1"/>
  <c r="T3245" i="1"/>
  <c r="U3245" i="1"/>
  <c r="X3245" i="1" s="1"/>
  <c r="T3246" i="1"/>
  <c r="U3246" i="1"/>
  <c r="W3246" i="1" s="1"/>
  <c r="T3247" i="1"/>
  <c r="U3247" i="1"/>
  <c r="V3247" i="1" s="1"/>
  <c r="T3248" i="1"/>
  <c r="U3248" i="1"/>
  <c r="W3248" i="1" s="1"/>
  <c r="T3249" i="1"/>
  <c r="U3249" i="1"/>
  <c r="X3249" i="1" s="1"/>
  <c r="T3250" i="1"/>
  <c r="U3250" i="1"/>
  <c r="W3250" i="1" s="1"/>
  <c r="T3251" i="1"/>
  <c r="U3251" i="1"/>
  <c r="V3251" i="1" s="1"/>
  <c r="T3252" i="1"/>
  <c r="U3252" i="1"/>
  <c r="W3252" i="1" s="1"/>
  <c r="T3253" i="1"/>
  <c r="U3253" i="1"/>
  <c r="X3253" i="1" s="1"/>
  <c r="T3254" i="1"/>
  <c r="U3254" i="1"/>
  <c r="W3254" i="1" s="1"/>
  <c r="T3255" i="1"/>
  <c r="U3255" i="1"/>
  <c r="X3255" i="1" s="1"/>
  <c r="T3256" i="1"/>
  <c r="U3256" i="1"/>
  <c r="X3256" i="1" s="1"/>
  <c r="T3257" i="1"/>
  <c r="U3257" i="1"/>
  <c r="X3257" i="1" s="1"/>
  <c r="T3258" i="1"/>
  <c r="U3258" i="1"/>
  <c r="W3258" i="1" s="1"/>
  <c r="T3259" i="1"/>
  <c r="U3259" i="1"/>
  <c r="T3260" i="1"/>
  <c r="U3260" i="1"/>
  <c r="X3260" i="1" s="1"/>
  <c r="V3260" i="1"/>
  <c r="T3261" i="1"/>
  <c r="U3261" i="1"/>
  <c r="X3261" i="1" s="1"/>
  <c r="T3262" i="1"/>
  <c r="U3262" i="1"/>
  <c r="W3262" i="1" s="1"/>
  <c r="T3263" i="1"/>
  <c r="U3263" i="1"/>
  <c r="V3263" i="1" s="1"/>
  <c r="T3264" i="1"/>
  <c r="U3264" i="1"/>
  <c r="W3264" i="1" s="1"/>
  <c r="T3265" i="1"/>
  <c r="U3265" i="1"/>
  <c r="X3265" i="1" s="1"/>
  <c r="T3266" i="1"/>
  <c r="U3266" i="1"/>
  <c r="W3266" i="1" s="1"/>
  <c r="T3267" i="1"/>
  <c r="U3267" i="1"/>
  <c r="V3267" i="1" s="1"/>
  <c r="T3268" i="1"/>
  <c r="U3268" i="1"/>
  <c r="W3268" i="1" s="1"/>
  <c r="T3269" i="1"/>
  <c r="U3269" i="1"/>
  <c r="X3269" i="1" s="1"/>
  <c r="T3270" i="1"/>
  <c r="U3270" i="1"/>
  <c r="W3270" i="1" s="1"/>
  <c r="T3271" i="1"/>
  <c r="U3271" i="1"/>
  <c r="V3271" i="1" s="1"/>
  <c r="T3272" i="1"/>
  <c r="U3272" i="1"/>
  <c r="V3272" i="1" s="1"/>
  <c r="T3273" i="1"/>
  <c r="U3273" i="1"/>
  <c r="X3273" i="1" s="1"/>
  <c r="T3274" i="1"/>
  <c r="U3274" i="1"/>
  <c r="W3274" i="1" s="1"/>
  <c r="T3275" i="1"/>
  <c r="U3275" i="1"/>
  <c r="X3275" i="1" s="1"/>
  <c r="T3276" i="1"/>
  <c r="U3276" i="1"/>
  <c r="X3276" i="1" s="1"/>
  <c r="T3277" i="1"/>
  <c r="U3277" i="1"/>
  <c r="X3277" i="1" s="1"/>
  <c r="T3278" i="1"/>
  <c r="U3278" i="1"/>
  <c r="W3278" i="1" s="1"/>
  <c r="T3279" i="1"/>
  <c r="U3279" i="1"/>
  <c r="V3279" i="1" s="1"/>
  <c r="T3280" i="1"/>
  <c r="U3280" i="1"/>
  <c r="W3280" i="1" s="1"/>
  <c r="T3281" i="1"/>
  <c r="U3281" i="1"/>
  <c r="X3281" i="1" s="1"/>
  <c r="T3282" i="1"/>
  <c r="U3282" i="1"/>
  <c r="W3282" i="1" s="1"/>
  <c r="T3283" i="1"/>
  <c r="U3283" i="1"/>
  <c r="V3283" i="1" s="1"/>
  <c r="T3284" i="1"/>
  <c r="U3284" i="1"/>
  <c r="V3284" i="1" s="1"/>
  <c r="T3285" i="1"/>
  <c r="U3285" i="1"/>
  <c r="X3285" i="1" s="1"/>
  <c r="T3286" i="1"/>
  <c r="U3286" i="1"/>
  <c r="W3286" i="1" s="1"/>
  <c r="T3287" i="1"/>
  <c r="U3287" i="1"/>
  <c r="X3287" i="1" s="1"/>
  <c r="T3288" i="1"/>
  <c r="U3288" i="1"/>
  <c r="X3288" i="1" s="1"/>
  <c r="T3289" i="1"/>
  <c r="U3289" i="1"/>
  <c r="X3289" i="1" s="1"/>
  <c r="T3290" i="1"/>
  <c r="U3290" i="1"/>
  <c r="W3290" i="1" s="1"/>
  <c r="T3291" i="1"/>
  <c r="U3291" i="1"/>
  <c r="T3292" i="1"/>
  <c r="U3292" i="1"/>
  <c r="X3292" i="1" s="1"/>
  <c r="T3293" i="1"/>
  <c r="U3293" i="1"/>
  <c r="X3293" i="1" s="1"/>
  <c r="T3294" i="1"/>
  <c r="U3294" i="1"/>
  <c r="W3294" i="1" s="1"/>
  <c r="T3295" i="1"/>
  <c r="U3295" i="1"/>
  <c r="V3295" i="1" s="1"/>
  <c r="T3296" i="1"/>
  <c r="U3296" i="1"/>
  <c r="W3296" i="1" s="1"/>
  <c r="T3297" i="1"/>
  <c r="U3297" i="1"/>
  <c r="X3297" i="1" s="1"/>
  <c r="T3298" i="1"/>
  <c r="U3298" i="1"/>
  <c r="W3298" i="1" s="1"/>
  <c r="T3299" i="1"/>
  <c r="U3299" i="1"/>
  <c r="V3299" i="1" s="1"/>
  <c r="T3300" i="1"/>
  <c r="U3300" i="1"/>
  <c r="W3300" i="1" s="1"/>
  <c r="T3301" i="1"/>
  <c r="U3301" i="1"/>
  <c r="X3301" i="1" s="1"/>
  <c r="T3302" i="1"/>
  <c r="U3302" i="1"/>
  <c r="W3302" i="1" s="1"/>
  <c r="T3303" i="1"/>
  <c r="U3303" i="1"/>
  <c r="V3303" i="1" s="1"/>
  <c r="T3304" i="1"/>
  <c r="U3304" i="1"/>
  <c r="X3304" i="1" s="1"/>
  <c r="T3305" i="1"/>
  <c r="U3305" i="1"/>
  <c r="V3305" i="1" s="1"/>
  <c r="T3306" i="1"/>
  <c r="U3306" i="1"/>
  <c r="W3306" i="1" s="1"/>
  <c r="T3307" i="1"/>
  <c r="U3307" i="1"/>
  <c r="V3307" i="1" s="1"/>
  <c r="T3308" i="1"/>
  <c r="U3308" i="1"/>
  <c r="W3308" i="1" s="1"/>
  <c r="T3309" i="1"/>
  <c r="U3309" i="1"/>
  <c r="X3309" i="1" s="1"/>
  <c r="T3310" i="1"/>
  <c r="U3310" i="1"/>
  <c r="W3310" i="1" s="1"/>
  <c r="T3311" i="1"/>
  <c r="U3311" i="1"/>
  <c r="V3311" i="1" s="1"/>
  <c r="T3312" i="1"/>
  <c r="U3312" i="1"/>
  <c r="W3312" i="1" s="1"/>
  <c r="T3313" i="1"/>
  <c r="U3313" i="1"/>
  <c r="X3313" i="1" s="1"/>
  <c r="T3314" i="1"/>
  <c r="U3314" i="1"/>
  <c r="W3314" i="1" s="1"/>
  <c r="T3315" i="1"/>
  <c r="U3315" i="1"/>
  <c r="V3315" i="1" s="1"/>
  <c r="T3316" i="1"/>
  <c r="U3316" i="1"/>
  <c r="V3316" i="1" s="1"/>
  <c r="T3317" i="1"/>
  <c r="U3317" i="1"/>
  <c r="X3317" i="1" s="1"/>
  <c r="W3317" i="1"/>
  <c r="T3318" i="1"/>
  <c r="U3318" i="1"/>
  <c r="W3318" i="1" s="1"/>
  <c r="T3319" i="1"/>
  <c r="U3319" i="1"/>
  <c r="T3320" i="1"/>
  <c r="U3320" i="1"/>
  <c r="W3320" i="1" s="1"/>
  <c r="T3321" i="1"/>
  <c r="U3321" i="1"/>
  <c r="X3321" i="1" s="1"/>
  <c r="T3322" i="1"/>
  <c r="U3322" i="1"/>
  <c r="W3322" i="1" s="1"/>
  <c r="T3323" i="1"/>
  <c r="U3323" i="1"/>
  <c r="V3323" i="1" s="1"/>
  <c r="T3324" i="1"/>
  <c r="U3324" i="1"/>
  <c r="V3324" i="1" s="1"/>
  <c r="T3325" i="1"/>
  <c r="U3325" i="1"/>
  <c r="X3325" i="1" s="1"/>
  <c r="T3326" i="1"/>
  <c r="U3326" i="1"/>
  <c r="W3326" i="1" s="1"/>
  <c r="T3327" i="1"/>
  <c r="U3327" i="1"/>
  <c r="V3327" i="1" s="1"/>
  <c r="T3328" i="1"/>
  <c r="U3328" i="1"/>
  <c r="X3328" i="1" s="1"/>
  <c r="W3328" i="1"/>
  <c r="T3329" i="1"/>
  <c r="U3329" i="1"/>
  <c r="X3329" i="1" s="1"/>
  <c r="T3330" i="1"/>
  <c r="U3330" i="1"/>
  <c r="W3330" i="1" s="1"/>
  <c r="T3331" i="1"/>
  <c r="U3331" i="1"/>
  <c r="V3331" i="1" s="1"/>
  <c r="T3332" i="1"/>
  <c r="U3332" i="1"/>
  <c r="X3332" i="1" s="1"/>
  <c r="T3333" i="1"/>
  <c r="U3333" i="1"/>
  <c r="X3333" i="1" s="1"/>
  <c r="T3334" i="1"/>
  <c r="U3334" i="1"/>
  <c r="W3334" i="1" s="1"/>
  <c r="T3335" i="1"/>
  <c r="U3335" i="1"/>
  <c r="V3335" i="1" s="1"/>
  <c r="T3336" i="1"/>
  <c r="U3336" i="1"/>
  <c r="X3336" i="1" s="1"/>
  <c r="T3337" i="1"/>
  <c r="U3337" i="1"/>
  <c r="X3337" i="1" s="1"/>
  <c r="T3338" i="1"/>
  <c r="U3338" i="1"/>
  <c r="W3338" i="1" s="1"/>
  <c r="T3339" i="1"/>
  <c r="U3339" i="1"/>
  <c r="V3339" i="1" s="1"/>
  <c r="T3340" i="1"/>
  <c r="U3340" i="1"/>
  <c r="X3340" i="1" s="1"/>
  <c r="T3341" i="1"/>
  <c r="U3341" i="1"/>
  <c r="X3341" i="1" s="1"/>
  <c r="T3342" i="1"/>
  <c r="U3342" i="1"/>
  <c r="W3342" i="1" s="1"/>
  <c r="T3343" i="1"/>
  <c r="U3343" i="1"/>
  <c r="V3343" i="1" s="1"/>
  <c r="T3344" i="1"/>
  <c r="U3344" i="1"/>
  <c r="X3344" i="1" s="1"/>
  <c r="T3345" i="1"/>
  <c r="U3345" i="1"/>
  <c r="X3345" i="1" s="1"/>
  <c r="T3346" i="1"/>
  <c r="U3346" i="1"/>
  <c r="W3346" i="1" s="1"/>
  <c r="T3347" i="1"/>
  <c r="U3347" i="1"/>
  <c r="V3347" i="1" s="1"/>
  <c r="T3348" i="1"/>
  <c r="U3348" i="1"/>
  <c r="X3348" i="1" s="1"/>
  <c r="T3349" i="1"/>
  <c r="U3349" i="1"/>
  <c r="X3349" i="1" s="1"/>
  <c r="T3350" i="1"/>
  <c r="U3350" i="1"/>
  <c r="W3350" i="1" s="1"/>
  <c r="T3351" i="1"/>
  <c r="U3351" i="1"/>
  <c r="V3351" i="1" s="1"/>
  <c r="T3352" i="1"/>
  <c r="U3352" i="1"/>
  <c r="W3352" i="1" s="1"/>
  <c r="X3352" i="1"/>
  <c r="T3353" i="1"/>
  <c r="U3353" i="1"/>
  <c r="X3353" i="1" s="1"/>
  <c r="T3354" i="1"/>
  <c r="U3354" i="1"/>
  <c r="W3354" i="1" s="1"/>
  <c r="T3355" i="1"/>
  <c r="U3355" i="1"/>
  <c r="V3355" i="1" s="1"/>
  <c r="T3356" i="1"/>
  <c r="U3356" i="1"/>
  <c r="V3356" i="1" s="1"/>
  <c r="T3357" i="1"/>
  <c r="U3357" i="1"/>
  <c r="X3357" i="1" s="1"/>
  <c r="T3358" i="1"/>
  <c r="U3358" i="1"/>
  <c r="W3358" i="1" s="1"/>
  <c r="T3359" i="1"/>
  <c r="U3359" i="1"/>
  <c r="V3359" i="1" s="1"/>
  <c r="T3360" i="1"/>
  <c r="U3360" i="1"/>
  <c r="W3360" i="1" s="1"/>
  <c r="T3361" i="1"/>
  <c r="U3361" i="1"/>
  <c r="W3361" i="1" s="1"/>
  <c r="T3362" i="1"/>
  <c r="U3362" i="1"/>
  <c r="W3362" i="1" s="1"/>
  <c r="T3363" i="1"/>
  <c r="U3363" i="1"/>
  <c r="X3363" i="1" s="1"/>
  <c r="T3364" i="1"/>
  <c r="U3364" i="1"/>
  <c r="X3364" i="1" s="1"/>
  <c r="T3365" i="1"/>
  <c r="U3365" i="1"/>
  <c r="X3365" i="1" s="1"/>
  <c r="T3366" i="1"/>
  <c r="U3366" i="1"/>
  <c r="X3366" i="1" s="1"/>
  <c r="T3367" i="1"/>
  <c r="U3367" i="1"/>
  <c r="V3367" i="1" s="1"/>
  <c r="T3368" i="1"/>
  <c r="U3368" i="1"/>
  <c r="W3368" i="1" s="1"/>
  <c r="T3369" i="1"/>
  <c r="U3369" i="1"/>
  <c r="W3369" i="1" s="1"/>
  <c r="V3369" i="1"/>
  <c r="T3370" i="1"/>
  <c r="U3370" i="1"/>
  <c r="W3370" i="1" s="1"/>
  <c r="T3371" i="1"/>
  <c r="U3371" i="1"/>
  <c r="X3371" i="1" s="1"/>
  <c r="T3372" i="1"/>
  <c r="U3372" i="1"/>
  <c r="X3372" i="1" s="1"/>
  <c r="T3373" i="1"/>
  <c r="U3373" i="1"/>
  <c r="X3373" i="1" s="1"/>
  <c r="T3374" i="1"/>
  <c r="U3374" i="1"/>
  <c r="V3374" i="1" s="1"/>
  <c r="T3375" i="1"/>
  <c r="U3375" i="1"/>
  <c r="V3375" i="1" s="1"/>
  <c r="T3376" i="1"/>
  <c r="U3376" i="1"/>
  <c r="X3376" i="1" s="1"/>
  <c r="T3377" i="1"/>
  <c r="U3377" i="1"/>
  <c r="T3378" i="1"/>
  <c r="U3378" i="1"/>
  <c r="W3378" i="1" s="1"/>
  <c r="T3379" i="1"/>
  <c r="U3379" i="1"/>
  <c r="W3379" i="1" s="1"/>
  <c r="T3380" i="1"/>
  <c r="U3380" i="1"/>
  <c r="X3380" i="1" s="1"/>
  <c r="T3381" i="1"/>
  <c r="U3381" i="1"/>
  <c r="X3381" i="1" s="1"/>
  <c r="T3382" i="1"/>
  <c r="U3382" i="1"/>
  <c r="X3382" i="1" s="1"/>
  <c r="T3383" i="1"/>
  <c r="U3383" i="1"/>
  <c r="V3383" i="1" s="1"/>
  <c r="T3384" i="1"/>
  <c r="U3384" i="1"/>
  <c r="T3385" i="1"/>
  <c r="U3385" i="1"/>
  <c r="X3385" i="1" s="1"/>
  <c r="T3386" i="1"/>
  <c r="U3386" i="1"/>
  <c r="W3386" i="1" s="1"/>
  <c r="T3387" i="1"/>
  <c r="U3387" i="1"/>
  <c r="W3387" i="1" s="1"/>
  <c r="T3388" i="1"/>
  <c r="U3388" i="1"/>
  <c r="W3388" i="1" s="1"/>
  <c r="T3389" i="1"/>
  <c r="U3389" i="1"/>
  <c r="X3389" i="1" s="1"/>
  <c r="T3390" i="1"/>
  <c r="U3390" i="1"/>
  <c r="X3390" i="1" s="1"/>
  <c r="T3391" i="1"/>
  <c r="U3391" i="1"/>
  <c r="V3391" i="1" s="1"/>
  <c r="T3392" i="1"/>
  <c r="U3392" i="1"/>
  <c r="X3392" i="1" s="1"/>
  <c r="T3393" i="1"/>
  <c r="U3393" i="1"/>
  <c r="V3393" i="1" s="1"/>
  <c r="T3394" i="1"/>
  <c r="U3394" i="1"/>
  <c r="W3394" i="1" s="1"/>
  <c r="T3395" i="1"/>
  <c r="U3395" i="1"/>
  <c r="X3395" i="1" s="1"/>
  <c r="T3396" i="1"/>
  <c r="U3396" i="1"/>
  <c r="X3396" i="1" s="1"/>
  <c r="T3397" i="1"/>
  <c r="U3397" i="1"/>
  <c r="X3397" i="1" s="1"/>
  <c r="T3398" i="1"/>
  <c r="U3398" i="1"/>
  <c r="T3399" i="1"/>
  <c r="U3399" i="1"/>
  <c r="V3399" i="1" s="1"/>
  <c r="T3400" i="1"/>
  <c r="U3400" i="1"/>
  <c r="V3400" i="1" s="1"/>
  <c r="T3401" i="1"/>
  <c r="U3401" i="1"/>
  <c r="W3401" i="1" s="1"/>
  <c r="T3402" i="1"/>
  <c r="U3402" i="1"/>
  <c r="W3402" i="1" s="1"/>
  <c r="T3403" i="1"/>
  <c r="U3403" i="1"/>
  <c r="X3403" i="1" s="1"/>
  <c r="T3404" i="1"/>
  <c r="U3404" i="1"/>
  <c r="W3404" i="1" s="1"/>
  <c r="T3405" i="1"/>
  <c r="U3405" i="1"/>
  <c r="X3405" i="1" s="1"/>
  <c r="T3406" i="1"/>
  <c r="U3406" i="1"/>
  <c r="W3406" i="1" s="1"/>
  <c r="T3407" i="1"/>
  <c r="U3407" i="1"/>
  <c r="V3407" i="1" s="1"/>
  <c r="T3408" i="1"/>
  <c r="U3408" i="1"/>
  <c r="X3408" i="1" s="1"/>
  <c r="T3409" i="1"/>
  <c r="U3409" i="1"/>
  <c r="X3409" i="1" s="1"/>
  <c r="T3410" i="1"/>
  <c r="U3410" i="1"/>
  <c r="W3410" i="1" s="1"/>
  <c r="T3411" i="1"/>
  <c r="U3411" i="1"/>
  <c r="X3411" i="1" s="1"/>
  <c r="T3412" i="1"/>
  <c r="U3412" i="1"/>
  <c r="W3412" i="1" s="1"/>
  <c r="T3413" i="1"/>
  <c r="U3413" i="1"/>
  <c r="X3413" i="1" s="1"/>
  <c r="T3414" i="1"/>
  <c r="U3414" i="1"/>
  <c r="V3414" i="1" s="1"/>
  <c r="T3415" i="1"/>
  <c r="U3415" i="1"/>
  <c r="V3415" i="1" s="1"/>
  <c r="T3416" i="1"/>
  <c r="U3416" i="1"/>
  <c r="X3416" i="1" s="1"/>
  <c r="T3417" i="1"/>
  <c r="U3417" i="1"/>
  <c r="W3417" i="1" s="1"/>
  <c r="T3418" i="1"/>
  <c r="U3418" i="1"/>
  <c r="W3418" i="1" s="1"/>
  <c r="T3419" i="1"/>
  <c r="U3419" i="1"/>
  <c r="V3419" i="1" s="1"/>
  <c r="X3419" i="1"/>
  <c r="T3420" i="1"/>
  <c r="U3420" i="1"/>
  <c r="W3420" i="1" s="1"/>
  <c r="T3421" i="1"/>
  <c r="U3421" i="1"/>
  <c r="X3421" i="1" s="1"/>
  <c r="T3422" i="1"/>
  <c r="U3422" i="1"/>
  <c r="X3422" i="1" s="1"/>
  <c r="T3423" i="1"/>
  <c r="U3423" i="1"/>
  <c r="V3423" i="1" s="1"/>
  <c r="T3424" i="1"/>
  <c r="U3424" i="1"/>
  <c r="W3424" i="1" s="1"/>
  <c r="T3425" i="1"/>
  <c r="U3425" i="1"/>
  <c r="W3425" i="1" s="1"/>
  <c r="T3426" i="1"/>
  <c r="U3426" i="1"/>
  <c r="W3426" i="1" s="1"/>
  <c r="T3427" i="1"/>
  <c r="U3427" i="1"/>
  <c r="T3428" i="1"/>
  <c r="U3428" i="1"/>
  <c r="X3428" i="1" s="1"/>
  <c r="T3429" i="1"/>
  <c r="U3429" i="1"/>
  <c r="V3429" i="1" s="1"/>
  <c r="T3430" i="1"/>
  <c r="U3430" i="1"/>
  <c r="X3430" i="1" s="1"/>
  <c r="T3431" i="1"/>
  <c r="U3431" i="1"/>
  <c r="X3431" i="1" s="1"/>
  <c r="T3432" i="1"/>
  <c r="U3432" i="1"/>
  <c r="W3432" i="1" s="1"/>
  <c r="T3433" i="1"/>
  <c r="U3433" i="1"/>
  <c r="W3433" i="1" s="1"/>
  <c r="T3434" i="1"/>
  <c r="U3434" i="1"/>
  <c r="W3434" i="1" s="1"/>
  <c r="T3435" i="1"/>
  <c r="U3435" i="1"/>
  <c r="X3435" i="1" s="1"/>
  <c r="T3436" i="1"/>
  <c r="U3436" i="1"/>
  <c r="X3436" i="1" s="1"/>
  <c r="T3437" i="1"/>
  <c r="U3437" i="1"/>
  <c r="V3437" i="1" s="1"/>
  <c r="T3438" i="1"/>
  <c r="U3438" i="1"/>
  <c r="W3438" i="1" s="1"/>
  <c r="T3439" i="1"/>
  <c r="U3439" i="1"/>
  <c r="X3439" i="1" s="1"/>
  <c r="T3440" i="1"/>
  <c r="U3440" i="1"/>
  <c r="W3440" i="1" s="1"/>
  <c r="T3441" i="1"/>
  <c r="U3441" i="1"/>
  <c r="T3442" i="1"/>
  <c r="U3442" i="1"/>
  <c r="X3442" i="1" s="1"/>
  <c r="T3443" i="1"/>
  <c r="U3443" i="1"/>
  <c r="X3443" i="1" s="1"/>
  <c r="T3444" i="1"/>
  <c r="U3444" i="1"/>
  <c r="X3444" i="1" s="1"/>
  <c r="T3445" i="1"/>
  <c r="U3445" i="1"/>
  <c r="V3445" i="1" s="1"/>
  <c r="T3446" i="1"/>
  <c r="U3446" i="1"/>
  <c r="W3446" i="1" s="1"/>
  <c r="T3447" i="1"/>
  <c r="U3447" i="1"/>
  <c r="X3447" i="1" s="1"/>
  <c r="T3448" i="1"/>
  <c r="U3448" i="1"/>
  <c r="W3448" i="1" s="1"/>
  <c r="T3449" i="1"/>
  <c r="U3449" i="1"/>
  <c r="W3449" i="1" s="1"/>
  <c r="T3450" i="1"/>
  <c r="U3450" i="1"/>
  <c r="X3450" i="1" s="1"/>
  <c r="V3450" i="1"/>
  <c r="W3450" i="1"/>
  <c r="T3451" i="1"/>
  <c r="U3451" i="1"/>
  <c r="X3451" i="1" s="1"/>
  <c r="T3452" i="1"/>
  <c r="U3452" i="1"/>
  <c r="X3452" i="1" s="1"/>
  <c r="T3453" i="1"/>
  <c r="U3453" i="1"/>
  <c r="V3453" i="1" s="1"/>
  <c r="T3454" i="1"/>
  <c r="U3454" i="1"/>
  <c r="T3455" i="1"/>
  <c r="U3455" i="1"/>
  <c r="X3455" i="1" s="1"/>
  <c r="T3456" i="1"/>
  <c r="U3456" i="1"/>
  <c r="W3456" i="1" s="1"/>
  <c r="T3457" i="1"/>
  <c r="U3457" i="1"/>
  <c r="W3457" i="1" s="1"/>
  <c r="T3458" i="1"/>
  <c r="U3458" i="1"/>
  <c r="V3458" i="1" s="1"/>
  <c r="T3459" i="1"/>
  <c r="U3459" i="1"/>
  <c r="X3459" i="1" s="1"/>
  <c r="T3460" i="1"/>
  <c r="U3460" i="1"/>
  <c r="X3460" i="1" s="1"/>
  <c r="T3461" i="1"/>
  <c r="U3461" i="1"/>
  <c r="V3461" i="1" s="1"/>
  <c r="T3462" i="1"/>
  <c r="U3462" i="1"/>
  <c r="W3462" i="1" s="1"/>
  <c r="T3463" i="1"/>
  <c r="U3463" i="1"/>
  <c r="T3464" i="1"/>
  <c r="U3464" i="1"/>
  <c r="W3464" i="1" s="1"/>
  <c r="T3465" i="1"/>
  <c r="U3465" i="1"/>
  <c r="W3465" i="1" s="1"/>
  <c r="T3466" i="1"/>
  <c r="U3466" i="1"/>
  <c r="V3466" i="1" s="1"/>
  <c r="T3467" i="1"/>
  <c r="U3467" i="1"/>
  <c r="T3468" i="1"/>
  <c r="U3468" i="1"/>
  <c r="X3468" i="1" s="1"/>
  <c r="T3469" i="1"/>
  <c r="U3469" i="1"/>
  <c r="V3469" i="1" s="1"/>
  <c r="T3470" i="1"/>
  <c r="U3470" i="1"/>
  <c r="X3470" i="1" s="1"/>
  <c r="T3471" i="1"/>
  <c r="U3471" i="1"/>
  <c r="X3471" i="1" s="1"/>
  <c r="T3472" i="1"/>
  <c r="U3472" i="1"/>
  <c r="W3472" i="1" s="1"/>
  <c r="T3473" i="1"/>
  <c r="U3473" i="1"/>
  <c r="W3473" i="1" s="1"/>
  <c r="T3474" i="1"/>
  <c r="U3474" i="1"/>
  <c r="W3474" i="1" s="1"/>
  <c r="T3475" i="1"/>
  <c r="U3475" i="1"/>
  <c r="X3475" i="1" s="1"/>
  <c r="T3476" i="1"/>
  <c r="U3476" i="1"/>
  <c r="X3476" i="1" s="1"/>
  <c r="T3477" i="1"/>
  <c r="U3477" i="1"/>
  <c r="V3477" i="1" s="1"/>
  <c r="T3478" i="1"/>
  <c r="U3478" i="1"/>
  <c r="W3478" i="1" s="1"/>
  <c r="T3479" i="1"/>
  <c r="U3479" i="1"/>
  <c r="T3480" i="1"/>
  <c r="U3480" i="1"/>
  <c r="W3480" i="1" s="1"/>
  <c r="T3481" i="1"/>
  <c r="U3481" i="1"/>
  <c r="W3481" i="1" s="1"/>
  <c r="T3482" i="1"/>
  <c r="U3482" i="1"/>
  <c r="X3482" i="1" s="1"/>
  <c r="T3483" i="1"/>
  <c r="U3483" i="1"/>
  <c r="T3484" i="1"/>
  <c r="U3484" i="1"/>
  <c r="X3484" i="1" s="1"/>
  <c r="T3485" i="1"/>
  <c r="U3485" i="1"/>
  <c r="V3485" i="1" s="1"/>
  <c r="T3486" i="1"/>
  <c r="U3486" i="1"/>
  <c r="X3486" i="1" s="1"/>
  <c r="T3487" i="1"/>
  <c r="U3487" i="1"/>
  <c r="X3487" i="1" s="1"/>
  <c r="T3488" i="1"/>
  <c r="U3488" i="1"/>
  <c r="W3488" i="1" s="1"/>
  <c r="T3489" i="1"/>
  <c r="U3489" i="1"/>
  <c r="W3489" i="1" s="1"/>
  <c r="X3489" i="1"/>
  <c r="T3490" i="1"/>
  <c r="U3490" i="1"/>
  <c r="W3490" i="1" s="1"/>
  <c r="T3491" i="1"/>
  <c r="U3491" i="1"/>
  <c r="X3491" i="1" s="1"/>
  <c r="T3492" i="1"/>
  <c r="U3492" i="1"/>
  <c r="X3492" i="1" s="1"/>
  <c r="T3493" i="1"/>
  <c r="U3493" i="1"/>
  <c r="V3493" i="1" s="1"/>
  <c r="T3494" i="1"/>
  <c r="U3494" i="1"/>
  <c r="X3494" i="1" s="1"/>
  <c r="T3495" i="1"/>
  <c r="U3495" i="1"/>
  <c r="T3496" i="1"/>
  <c r="U3496" i="1"/>
  <c r="W3496" i="1" s="1"/>
  <c r="V3496" i="1"/>
  <c r="T3497" i="1"/>
  <c r="U3497" i="1"/>
  <c r="W3497" i="1" s="1"/>
  <c r="T3498" i="1"/>
  <c r="U3498" i="1"/>
  <c r="V3498" i="1" s="1"/>
  <c r="T3499" i="1"/>
  <c r="U3499" i="1"/>
  <c r="T3500" i="1"/>
  <c r="U3500" i="1"/>
  <c r="X3500" i="1" s="1"/>
  <c r="T3501" i="1"/>
  <c r="U3501" i="1"/>
  <c r="V3501" i="1" s="1"/>
  <c r="T3502" i="1"/>
  <c r="U3502" i="1"/>
  <c r="X3502" i="1" s="1"/>
  <c r="T3503" i="1"/>
  <c r="U3503" i="1"/>
  <c r="X3503" i="1" s="1"/>
  <c r="T3504" i="1"/>
  <c r="U3504" i="1"/>
  <c r="W3504" i="1" s="1"/>
  <c r="T3505" i="1"/>
  <c r="U3505" i="1"/>
  <c r="W3505" i="1" s="1"/>
  <c r="T3506" i="1"/>
  <c r="U3506" i="1"/>
  <c r="W3506" i="1" s="1"/>
  <c r="T3507" i="1"/>
  <c r="U3507" i="1"/>
  <c r="X3507" i="1" s="1"/>
  <c r="T3508" i="1"/>
  <c r="U3508" i="1"/>
  <c r="X3508" i="1" s="1"/>
  <c r="T3509" i="1"/>
  <c r="U3509" i="1"/>
  <c r="V3509" i="1" s="1"/>
  <c r="T3510" i="1"/>
  <c r="U3510" i="1"/>
  <c r="X3510" i="1" s="1"/>
  <c r="T3511" i="1"/>
  <c r="U3511" i="1"/>
  <c r="T3512" i="1"/>
  <c r="U3512" i="1"/>
  <c r="W3512" i="1" s="1"/>
  <c r="T3513" i="1"/>
  <c r="U3513" i="1"/>
  <c r="W3513" i="1" s="1"/>
  <c r="T3514" i="1"/>
  <c r="U3514" i="1"/>
  <c r="X3514" i="1" s="1"/>
  <c r="T3515" i="1"/>
  <c r="U3515" i="1"/>
  <c r="T3516" i="1"/>
  <c r="U3516" i="1"/>
  <c r="X3516" i="1" s="1"/>
  <c r="T3517" i="1"/>
  <c r="U3517" i="1"/>
  <c r="V3517" i="1" s="1"/>
  <c r="T3518" i="1"/>
  <c r="U3518" i="1"/>
  <c r="X3518" i="1" s="1"/>
  <c r="T3519" i="1"/>
  <c r="U3519" i="1"/>
  <c r="X3519" i="1" s="1"/>
  <c r="T3520" i="1"/>
  <c r="U3520" i="1"/>
  <c r="W3520" i="1" s="1"/>
  <c r="T3521" i="1"/>
  <c r="U3521" i="1"/>
  <c r="W3521" i="1" s="1"/>
  <c r="T3522" i="1"/>
  <c r="U3522" i="1"/>
  <c r="W3522" i="1" s="1"/>
  <c r="T3523" i="1"/>
  <c r="U3523" i="1"/>
  <c r="X3523" i="1" s="1"/>
  <c r="T3524" i="1"/>
  <c r="U3524" i="1"/>
  <c r="X3524" i="1" s="1"/>
  <c r="T3525" i="1"/>
  <c r="U3525" i="1"/>
  <c r="V3525" i="1" s="1"/>
  <c r="T3526" i="1"/>
  <c r="U3526" i="1"/>
  <c r="X3526" i="1" s="1"/>
  <c r="T3527" i="1"/>
  <c r="U3527" i="1"/>
  <c r="T3528" i="1"/>
  <c r="U3528" i="1"/>
  <c r="W3528" i="1" s="1"/>
  <c r="T3529" i="1"/>
  <c r="U3529" i="1"/>
  <c r="W3529" i="1" s="1"/>
  <c r="T3530" i="1"/>
  <c r="U3530" i="1"/>
  <c r="W3530" i="1" s="1"/>
  <c r="T3531" i="1"/>
  <c r="U3531" i="1"/>
  <c r="T3532" i="1"/>
  <c r="U3532" i="1"/>
  <c r="X3532" i="1" s="1"/>
  <c r="T3533" i="1"/>
  <c r="U3533" i="1"/>
  <c r="V3533" i="1" s="1"/>
  <c r="T3534" i="1"/>
  <c r="U3534" i="1"/>
  <c r="W3534" i="1" s="1"/>
  <c r="T3535" i="1"/>
  <c r="U3535" i="1"/>
  <c r="X3535" i="1" s="1"/>
  <c r="T3536" i="1"/>
  <c r="U3536" i="1"/>
  <c r="W3536" i="1" s="1"/>
  <c r="T3537" i="1"/>
  <c r="U3537" i="1"/>
  <c r="W3537" i="1" s="1"/>
  <c r="T3538" i="1"/>
  <c r="U3538" i="1"/>
  <c r="W3538" i="1" s="1"/>
  <c r="T3539" i="1"/>
  <c r="U3539" i="1"/>
  <c r="X3539" i="1" s="1"/>
  <c r="T3540" i="1"/>
  <c r="U3540" i="1"/>
  <c r="X3540" i="1" s="1"/>
  <c r="T3541" i="1"/>
  <c r="U3541" i="1"/>
  <c r="V3541" i="1" s="1"/>
  <c r="X3541" i="1"/>
  <c r="T3542" i="1"/>
  <c r="U3542" i="1"/>
  <c r="W3542" i="1" s="1"/>
  <c r="T3543" i="1"/>
  <c r="U3543" i="1"/>
  <c r="T3544" i="1"/>
  <c r="U3544" i="1"/>
  <c r="W3544" i="1" s="1"/>
  <c r="T3545" i="1"/>
  <c r="U3545" i="1"/>
  <c r="W3545" i="1" s="1"/>
  <c r="T3546" i="1"/>
  <c r="U3546" i="1"/>
  <c r="W3546" i="1" s="1"/>
  <c r="T3547" i="1"/>
  <c r="U3547" i="1"/>
  <c r="T3548" i="1"/>
  <c r="U3548" i="1"/>
  <c r="X3548" i="1" s="1"/>
  <c r="T3549" i="1"/>
  <c r="U3549" i="1"/>
  <c r="V3549" i="1" s="1"/>
  <c r="T3550" i="1"/>
  <c r="U3550" i="1"/>
  <c r="X3550" i="1" s="1"/>
  <c r="T3551" i="1"/>
  <c r="U3551" i="1"/>
  <c r="X3551" i="1" s="1"/>
  <c r="T3552" i="1"/>
  <c r="U3552" i="1"/>
  <c r="W3552" i="1" s="1"/>
  <c r="T3553" i="1"/>
  <c r="U3553" i="1"/>
  <c r="W3553" i="1" s="1"/>
  <c r="T3554" i="1"/>
  <c r="U3554" i="1"/>
  <c r="W3554" i="1" s="1"/>
  <c r="T3555" i="1"/>
  <c r="U3555" i="1"/>
  <c r="T3556" i="1"/>
  <c r="U3556" i="1"/>
  <c r="X3556" i="1" s="1"/>
  <c r="T3557" i="1"/>
  <c r="U3557" i="1"/>
  <c r="V3557" i="1" s="1"/>
  <c r="T3558" i="1"/>
  <c r="U3558" i="1"/>
  <c r="W3558" i="1" s="1"/>
  <c r="T3559" i="1"/>
  <c r="U3559" i="1"/>
  <c r="T3560" i="1"/>
  <c r="U3560" i="1"/>
  <c r="W3560" i="1" s="1"/>
  <c r="T3561" i="1"/>
  <c r="U3561" i="1"/>
  <c r="W3561" i="1" s="1"/>
  <c r="T3562" i="1"/>
  <c r="U3562" i="1"/>
  <c r="W3562" i="1" s="1"/>
  <c r="T3563" i="1"/>
  <c r="U3563" i="1"/>
  <c r="T3564" i="1"/>
  <c r="U3564" i="1"/>
  <c r="X3564" i="1" s="1"/>
  <c r="T3565" i="1"/>
  <c r="U3565" i="1"/>
  <c r="X3565" i="1" s="1"/>
  <c r="T3566" i="1"/>
  <c r="U3566" i="1"/>
  <c r="W3566" i="1" s="1"/>
  <c r="T3567" i="1"/>
  <c r="U3567" i="1"/>
  <c r="T3568" i="1"/>
  <c r="U3568" i="1"/>
  <c r="W3568" i="1" s="1"/>
  <c r="T3569" i="1"/>
  <c r="U3569" i="1"/>
  <c r="W3569" i="1" s="1"/>
  <c r="T3570" i="1"/>
  <c r="U3570" i="1"/>
  <c r="W3570" i="1" s="1"/>
  <c r="T3571" i="1"/>
  <c r="U3571" i="1"/>
  <c r="T3572" i="1"/>
  <c r="U3572" i="1"/>
  <c r="X3572" i="1" s="1"/>
  <c r="T3573" i="1"/>
  <c r="U3573" i="1"/>
  <c r="V3573" i="1" s="1"/>
  <c r="T3574" i="1"/>
  <c r="U3574" i="1"/>
  <c r="W3574" i="1" s="1"/>
  <c r="T3575" i="1"/>
  <c r="U3575" i="1"/>
  <c r="T3576" i="1"/>
  <c r="U3576" i="1"/>
  <c r="W3576" i="1" s="1"/>
  <c r="T3577" i="1"/>
  <c r="U3577" i="1"/>
  <c r="W3577" i="1" s="1"/>
  <c r="T3578" i="1"/>
  <c r="U3578" i="1"/>
  <c r="W3578" i="1" s="1"/>
  <c r="T3579" i="1"/>
  <c r="U3579" i="1"/>
  <c r="T3580" i="1"/>
  <c r="U3580" i="1"/>
  <c r="X3580" i="1" s="1"/>
  <c r="T3581" i="1"/>
  <c r="U3581" i="1"/>
  <c r="X3581" i="1" s="1"/>
  <c r="T3582" i="1"/>
  <c r="U3582" i="1"/>
  <c r="W3582" i="1" s="1"/>
  <c r="T3583" i="1"/>
  <c r="U3583" i="1"/>
  <c r="T3584" i="1"/>
  <c r="U3584" i="1"/>
  <c r="W3584" i="1" s="1"/>
  <c r="T3585" i="1"/>
  <c r="U3585" i="1"/>
  <c r="T3586" i="1"/>
  <c r="U3586" i="1"/>
  <c r="W3586" i="1" s="1"/>
  <c r="T3587" i="1"/>
  <c r="U3587" i="1"/>
  <c r="X3587" i="1" s="1"/>
  <c r="T3588" i="1"/>
  <c r="U3588" i="1"/>
  <c r="X3588" i="1" s="1"/>
  <c r="T3589" i="1"/>
  <c r="U3589" i="1"/>
  <c r="V3589" i="1" s="1"/>
  <c r="T3590" i="1"/>
  <c r="U3590" i="1"/>
  <c r="X3590" i="1" s="1"/>
  <c r="T3591" i="1"/>
  <c r="U3591" i="1"/>
  <c r="X3591" i="1" s="1"/>
  <c r="T3592" i="1"/>
  <c r="U3592" i="1"/>
  <c r="T3593" i="1"/>
  <c r="U3593" i="1"/>
  <c r="W3593" i="1" s="1"/>
  <c r="T3594" i="1"/>
  <c r="U3594" i="1"/>
  <c r="X3594" i="1" s="1"/>
  <c r="T3595" i="1"/>
  <c r="U3595" i="1"/>
  <c r="T3596" i="1"/>
  <c r="U3596" i="1"/>
  <c r="X3596" i="1" s="1"/>
  <c r="T3597" i="1"/>
  <c r="U3597" i="1"/>
  <c r="T3598" i="1"/>
  <c r="U3598" i="1"/>
  <c r="X3598" i="1" s="1"/>
  <c r="T3599" i="1"/>
  <c r="U3599" i="1"/>
  <c r="T3600" i="1"/>
  <c r="U3600" i="1"/>
  <c r="V3600" i="1" s="1"/>
  <c r="T3601" i="1"/>
  <c r="U3601" i="1"/>
  <c r="X3601" i="1" s="1"/>
  <c r="T3602" i="1"/>
  <c r="U3602" i="1"/>
  <c r="W3602" i="1" s="1"/>
  <c r="T3603" i="1"/>
  <c r="U3603" i="1"/>
  <c r="X3603" i="1" s="1"/>
  <c r="T3604" i="1"/>
  <c r="U3604" i="1"/>
  <c r="X3604" i="1" s="1"/>
  <c r="D4" i="1"/>
  <c r="D9" i="1"/>
  <c r="D12" i="1"/>
  <c r="D20" i="1"/>
  <c r="D25" i="1"/>
  <c r="D28" i="1"/>
  <c r="D33" i="1"/>
  <c r="D36" i="1"/>
  <c r="D41" i="1"/>
  <c r="D44" i="1"/>
  <c r="D49" i="1"/>
  <c r="D52" i="1"/>
  <c r="D57" i="1"/>
  <c r="D60" i="1"/>
  <c r="D65" i="1"/>
  <c r="D68" i="1"/>
  <c r="D73" i="1"/>
  <c r="D76" i="1"/>
  <c r="D81" i="1"/>
  <c r="D84" i="1"/>
  <c r="D89" i="1"/>
  <c r="D92" i="1"/>
  <c r="D105" i="1"/>
  <c r="D108" i="1"/>
  <c r="D113" i="1"/>
  <c r="D116" i="1"/>
  <c r="D124" i="1"/>
  <c r="D129" i="1"/>
  <c r="D132" i="1"/>
  <c r="D137" i="1"/>
  <c r="D140" i="1"/>
  <c r="D145" i="1"/>
  <c r="D148" i="1"/>
  <c r="D156" i="1"/>
  <c r="D161" i="1"/>
  <c r="D164" i="1"/>
  <c r="D169" i="1"/>
  <c r="D177" i="1"/>
  <c r="D180" i="1"/>
  <c r="D185" i="1"/>
  <c r="D188" i="1"/>
  <c r="D193" i="1"/>
  <c r="D196" i="1"/>
  <c r="D201" i="1"/>
  <c r="D204" i="1"/>
  <c r="D209" i="1"/>
  <c r="D212" i="1"/>
  <c r="G307" i="1"/>
  <c r="G317" i="1"/>
  <c r="G325" i="1"/>
  <c r="G329" i="1"/>
  <c r="G337" i="1"/>
  <c r="N552" i="1"/>
  <c r="O552" i="1" s="1"/>
  <c r="B552" i="1"/>
  <c r="D552" i="1" s="1"/>
  <c r="N551" i="1"/>
  <c r="Q551" i="1" s="1"/>
  <c r="B551" i="1"/>
  <c r="C551" i="1" s="1"/>
  <c r="N550" i="1"/>
  <c r="O550" i="1" s="1"/>
  <c r="B550" i="1"/>
  <c r="C550" i="1" s="1"/>
  <c r="N549" i="1"/>
  <c r="Q549" i="1" s="1"/>
  <c r="D549" i="1"/>
  <c r="B549" i="1"/>
  <c r="C549" i="1" s="1"/>
  <c r="N548" i="1"/>
  <c r="O548" i="1" s="1"/>
  <c r="B548" i="1"/>
  <c r="C548" i="1" s="1"/>
  <c r="N547" i="1"/>
  <c r="Q547" i="1" s="1"/>
  <c r="B547" i="1"/>
  <c r="F547" i="1" s="1"/>
  <c r="N546" i="1"/>
  <c r="O546" i="1" s="1"/>
  <c r="B546" i="1"/>
  <c r="I546" i="1" s="1"/>
  <c r="N545" i="1"/>
  <c r="O545" i="1" s="1"/>
  <c r="D545" i="1"/>
  <c r="B545" i="1"/>
  <c r="I545" i="1" s="1"/>
  <c r="N544" i="1"/>
  <c r="O544" i="1" s="1"/>
  <c r="B544" i="1"/>
  <c r="I544" i="1" s="1"/>
  <c r="N543" i="1"/>
  <c r="O543" i="1" s="1"/>
  <c r="B543" i="1"/>
  <c r="I543" i="1" s="1"/>
  <c r="N542" i="1"/>
  <c r="Q542" i="1" s="1"/>
  <c r="C542" i="1"/>
  <c r="B542" i="1"/>
  <c r="I542" i="1" s="1"/>
  <c r="N541" i="1"/>
  <c r="B541" i="1"/>
  <c r="I541" i="1" s="1"/>
  <c r="N540" i="1"/>
  <c r="O540" i="1" s="1"/>
  <c r="D540" i="1"/>
  <c r="B540" i="1"/>
  <c r="E540" i="1" s="1"/>
  <c r="N539" i="1"/>
  <c r="Q539" i="1" s="1"/>
  <c r="B539" i="1"/>
  <c r="D539" i="1" s="1"/>
  <c r="N538" i="1"/>
  <c r="O538" i="1" s="1"/>
  <c r="B538" i="1"/>
  <c r="C538" i="1" s="1"/>
  <c r="N537" i="1"/>
  <c r="Q537" i="1" s="1"/>
  <c r="B537" i="1"/>
  <c r="C537" i="1" s="1"/>
  <c r="N536" i="1"/>
  <c r="O536" i="1" s="1"/>
  <c r="B536" i="1"/>
  <c r="F536" i="1" s="1"/>
  <c r="N535" i="1"/>
  <c r="Q535" i="1" s="1"/>
  <c r="B535" i="1"/>
  <c r="F535" i="1" s="1"/>
  <c r="N534" i="1"/>
  <c r="O534" i="1" s="1"/>
  <c r="B534" i="1"/>
  <c r="C534" i="1" s="1"/>
  <c r="N533" i="1"/>
  <c r="Q533" i="1" s="1"/>
  <c r="B533" i="1"/>
  <c r="C533" i="1" s="1"/>
  <c r="N532" i="1"/>
  <c r="O532" i="1" s="1"/>
  <c r="B532" i="1"/>
  <c r="C532" i="1" s="1"/>
  <c r="P531" i="1"/>
  <c r="N531" i="1"/>
  <c r="Q531" i="1" s="1"/>
  <c r="B531" i="1"/>
  <c r="C531" i="1" s="1"/>
  <c r="N530" i="1"/>
  <c r="O530" i="1" s="1"/>
  <c r="F530" i="1"/>
  <c r="E530" i="1"/>
  <c r="D530" i="1"/>
  <c r="C530" i="1"/>
  <c r="B530" i="1"/>
  <c r="N529" i="1"/>
  <c r="Q529" i="1" s="1"/>
  <c r="B529" i="1"/>
  <c r="E529" i="1" s="1"/>
  <c r="N528" i="1"/>
  <c r="O528" i="1" s="1"/>
  <c r="B528" i="1"/>
  <c r="D528" i="1" s="1"/>
  <c r="N527" i="1"/>
  <c r="Q527" i="1" s="1"/>
  <c r="B527" i="1"/>
  <c r="C527" i="1" s="1"/>
  <c r="N526" i="1"/>
  <c r="O526" i="1" s="1"/>
  <c r="B526" i="1"/>
  <c r="C526" i="1" s="1"/>
  <c r="N525" i="1"/>
  <c r="Q525" i="1" s="1"/>
  <c r="B525" i="1"/>
  <c r="I525" i="1" s="1"/>
  <c r="N524" i="1"/>
  <c r="O524" i="1" s="1"/>
  <c r="G524" i="1"/>
  <c r="B524" i="1"/>
  <c r="I524" i="1" s="1"/>
  <c r="N523" i="1"/>
  <c r="Q523" i="1" s="1"/>
  <c r="B523" i="1"/>
  <c r="I523" i="1" s="1"/>
  <c r="N522" i="1"/>
  <c r="O522" i="1" s="1"/>
  <c r="B522" i="1"/>
  <c r="I522" i="1" s="1"/>
  <c r="N521" i="1"/>
  <c r="Q521" i="1" s="1"/>
  <c r="B521" i="1"/>
  <c r="I521" i="1" s="1"/>
  <c r="N520" i="1"/>
  <c r="O520" i="1" s="1"/>
  <c r="B520" i="1"/>
  <c r="D520" i="1" s="1"/>
  <c r="N519" i="1"/>
  <c r="Q519" i="1" s="1"/>
  <c r="B519" i="1"/>
  <c r="D519" i="1" s="1"/>
  <c r="N518" i="1"/>
  <c r="O518" i="1" s="1"/>
  <c r="B518" i="1"/>
  <c r="F518" i="1" s="1"/>
  <c r="N517" i="1"/>
  <c r="Q517" i="1" s="1"/>
  <c r="B517" i="1"/>
  <c r="I517" i="1" s="1"/>
  <c r="N516" i="1"/>
  <c r="O516" i="1" s="1"/>
  <c r="B516" i="1"/>
  <c r="N515" i="1"/>
  <c r="Q515" i="1" s="1"/>
  <c r="B515" i="1"/>
  <c r="D515" i="1" s="1"/>
  <c r="N514" i="1"/>
  <c r="Q514" i="1" s="1"/>
  <c r="B514" i="1"/>
  <c r="F514" i="1" s="1"/>
  <c r="N513" i="1"/>
  <c r="Q513" i="1" s="1"/>
  <c r="B513" i="1"/>
  <c r="C513" i="1" s="1"/>
  <c r="N512" i="1"/>
  <c r="O512" i="1" s="1"/>
  <c r="B512" i="1"/>
  <c r="D512" i="1" s="1"/>
  <c r="N511" i="1"/>
  <c r="O511" i="1" s="1"/>
  <c r="B511" i="1"/>
  <c r="C511" i="1" s="1"/>
  <c r="N510" i="1"/>
  <c r="O510" i="1" s="1"/>
  <c r="B510" i="1"/>
  <c r="F510" i="1" s="1"/>
  <c r="N509" i="1"/>
  <c r="P509" i="1" s="1"/>
  <c r="B509" i="1"/>
  <c r="I509" i="1" s="1"/>
  <c r="N508" i="1"/>
  <c r="O508" i="1" s="1"/>
  <c r="B508" i="1"/>
  <c r="D508" i="1" s="1"/>
  <c r="N507" i="1"/>
  <c r="Q507" i="1" s="1"/>
  <c r="B507" i="1"/>
  <c r="D507" i="1" s="1"/>
  <c r="N506" i="1"/>
  <c r="O506" i="1" s="1"/>
  <c r="B506" i="1"/>
  <c r="F506" i="1" s="1"/>
  <c r="N505" i="1"/>
  <c r="Q505" i="1" s="1"/>
  <c r="B505" i="1"/>
  <c r="C505" i="1" s="1"/>
  <c r="N504" i="1"/>
  <c r="O504" i="1" s="1"/>
  <c r="B504" i="1"/>
  <c r="N503" i="1"/>
  <c r="Q503" i="1" s="1"/>
  <c r="B503" i="1"/>
  <c r="C503" i="1" s="1"/>
  <c r="N502" i="1"/>
  <c r="O502" i="1" s="1"/>
  <c r="G502" i="1"/>
  <c r="B502" i="1"/>
  <c r="F502" i="1" s="1"/>
  <c r="N501" i="1"/>
  <c r="Q501" i="1" s="1"/>
  <c r="B501" i="1"/>
  <c r="C501" i="1" s="1"/>
  <c r="N500" i="1"/>
  <c r="O500" i="1" s="1"/>
  <c r="B500" i="1"/>
  <c r="E500" i="1" s="1"/>
  <c r="N499" i="1"/>
  <c r="Q499" i="1" s="1"/>
  <c r="B499" i="1"/>
  <c r="G499" i="1" s="1"/>
  <c r="N498" i="1"/>
  <c r="P498" i="1" s="1"/>
  <c r="B498" i="1"/>
  <c r="F498" i="1" s="1"/>
  <c r="N497" i="1"/>
  <c r="Q497" i="1" s="1"/>
  <c r="B497" i="1"/>
  <c r="C497" i="1" s="1"/>
  <c r="N496" i="1"/>
  <c r="O496" i="1" s="1"/>
  <c r="B496" i="1"/>
  <c r="C496" i="1" s="1"/>
  <c r="N495" i="1"/>
  <c r="Q495" i="1" s="1"/>
  <c r="B495" i="1"/>
  <c r="D495" i="1" s="1"/>
  <c r="N494" i="1"/>
  <c r="O494" i="1" s="1"/>
  <c r="B494" i="1"/>
  <c r="E494" i="1" s="1"/>
  <c r="N493" i="1"/>
  <c r="B493" i="1"/>
  <c r="I493" i="1" s="1"/>
  <c r="N492" i="1"/>
  <c r="B492" i="1"/>
  <c r="D492" i="1" s="1"/>
  <c r="N491" i="1"/>
  <c r="P491" i="1" s="1"/>
  <c r="B491" i="1"/>
  <c r="D491" i="1" s="1"/>
  <c r="N490" i="1"/>
  <c r="O490" i="1" s="1"/>
  <c r="B490" i="1"/>
  <c r="N489" i="1"/>
  <c r="B489" i="1"/>
  <c r="N488" i="1"/>
  <c r="B488" i="1"/>
  <c r="C488" i="1" s="1"/>
  <c r="N487" i="1"/>
  <c r="B487" i="1"/>
  <c r="C487" i="1" s="1"/>
  <c r="N486" i="1"/>
  <c r="P486" i="1" s="1"/>
  <c r="B486" i="1"/>
  <c r="N485" i="1"/>
  <c r="B485" i="1"/>
  <c r="G485" i="1" s="1"/>
  <c r="N484" i="1"/>
  <c r="O484" i="1" s="1"/>
  <c r="B484" i="1"/>
  <c r="C484" i="1" s="1"/>
  <c r="N483" i="1"/>
  <c r="O483" i="1" s="1"/>
  <c r="B483" i="1"/>
  <c r="N482" i="1"/>
  <c r="B482" i="1"/>
  <c r="N481" i="1"/>
  <c r="B481" i="1"/>
  <c r="C481" i="1" s="1"/>
  <c r="N480" i="1"/>
  <c r="O480" i="1" s="1"/>
  <c r="B480" i="1"/>
  <c r="C480" i="1" s="1"/>
  <c r="N479" i="1"/>
  <c r="B479" i="1"/>
  <c r="C479" i="1" s="1"/>
  <c r="N478" i="1"/>
  <c r="O478" i="1" s="1"/>
  <c r="B478" i="1"/>
  <c r="N477" i="1"/>
  <c r="B477" i="1"/>
  <c r="N476" i="1"/>
  <c r="O476" i="1" s="1"/>
  <c r="B476" i="1"/>
  <c r="N475" i="1"/>
  <c r="B475" i="1"/>
  <c r="G475" i="1" s="1"/>
  <c r="N474" i="1"/>
  <c r="O474" i="1" s="1"/>
  <c r="B474" i="1"/>
  <c r="N473" i="1"/>
  <c r="B473" i="1"/>
  <c r="G473" i="1" s="1"/>
  <c r="N472" i="1"/>
  <c r="O472" i="1" s="1"/>
  <c r="B472" i="1"/>
  <c r="C472" i="1" s="1"/>
  <c r="N471" i="1"/>
  <c r="B471" i="1"/>
  <c r="N470" i="1"/>
  <c r="O470" i="1" s="1"/>
  <c r="B470" i="1"/>
  <c r="N469" i="1"/>
  <c r="P469" i="1" s="1"/>
  <c r="B469" i="1"/>
  <c r="N468" i="1"/>
  <c r="O468" i="1" s="1"/>
  <c r="B468" i="1"/>
  <c r="N467" i="1"/>
  <c r="B467" i="1"/>
  <c r="G467" i="1" s="1"/>
  <c r="N466" i="1"/>
  <c r="B466" i="1"/>
  <c r="N465" i="1"/>
  <c r="B465" i="1"/>
  <c r="N464" i="1"/>
  <c r="B464" i="1"/>
  <c r="C464" i="1" s="1"/>
  <c r="N463" i="1"/>
  <c r="B463" i="1"/>
  <c r="C463" i="1" s="1"/>
  <c r="N462" i="1"/>
  <c r="O462" i="1" s="1"/>
  <c r="B462" i="1"/>
  <c r="N461" i="1"/>
  <c r="B461" i="1"/>
  <c r="N460" i="1"/>
  <c r="O460" i="1" s="1"/>
  <c r="B460" i="1"/>
  <c r="N459" i="1"/>
  <c r="B459" i="1"/>
  <c r="N458" i="1"/>
  <c r="B458" i="1"/>
  <c r="N457" i="1"/>
  <c r="B457" i="1"/>
  <c r="C457" i="1" s="1"/>
  <c r="N456" i="1"/>
  <c r="O456" i="1" s="1"/>
  <c r="B456" i="1"/>
  <c r="C456" i="1" s="1"/>
  <c r="N455" i="1"/>
  <c r="O455" i="1" s="1"/>
  <c r="B455" i="1"/>
  <c r="C455" i="1" s="1"/>
  <c r="N454" i="1"/>
  <c r="O454" i="1" s="1"/>
  <c r="B454" i="1"/>
  <c r="N453" i="1"/>
  <c r="B453" i="1"/>
  <c r="C453" i="1" s="1"/>
  <c r="N452" i="1"/>
  <c r="O452" i="1" s="1"/>
  <c r="B452" i="1"/>
  <c r="N451" i="1"/>
  <c r="B451" i="1"/>
  <c r="N450" i="1"/>
  <c r="B450" i="1"/>
  <c r="N449" i="1"/>
  <c r="B449" i="1"/>
  <c r="N448" i="1"/>
  <c r="O448" i="1" s="1"/>
  <c r="B448" i="1"/>
  <c r="N447" i="1"/>
  <c r="B447" i="1"/>
  <c r="C447" i="1" s="1"/>
  <c r="N446" i="1"/>
  <c r="O446" i="1" s="1"/>
  <c r="B446" i="1"/>
  <c r="N445" i="1"/>
  <c r="B445" i="1"/>
  <c r="C445" i="1" s="1"/>
  <c r="N444" i="1"/>
  <c r="O444" i="1" s="1"/>
  <c r="B444" i="1"/>
  <c r="N443" i="1"/>
  <c r="B443" i="1"/>
  <c r="N442" i="1"/>
  <c r="B442" i="1"/>
  <c r="N441" i="1"/>
  <c r="O441" i="1" s="1"/>
  <c r="B441" i="1"/>
  <c r="N440" i="1"/>
  <c r="O440" i="1" s="1"/>
  <c r="B440" i="1"/>
  <c r="N439" i="1"/>
  <c r="B439" i="1"/>
  <c r="C439" i="1" s="1"/>
  <c r="N438" i="1"/>
  <c r="O438" i="1" s="1"/>
  <c r="B438" i="1"/>
  <c r="G438" i="1" s="1"/>
  <c r="N437" i="1"/>
  <c r="B437" i="1"/>
  <c r="N436" i="1"/>
  <c r="O436" i="1" s="1"/>
  <c r="B436" i="1"/>
  <c r="N435" i="1"/>
  <c r="B435" i="1"/>
  <c r="N434" i="1"/>
  <c r="P434" i="1" s="1"/>
  <c r="B434" i="1"/>
  <c r="N433" i="1"/>
  <c r="B433" i="1"/>
  <c r="C433" i="1" s="1"/>
  <c r="N432" i="1"/>
  <c r="O432" i="1" s="1"/>
  <c r="B432" i="1"/>
  <c r="C432" i="1" s="1"/>
  <c r="N431" i="1"/>
  <c r="B431" i="1"/>
  <c r="C431" i="1" s="1"/>
  <c r="N430" i="1"/>
  <c r="O430" i="1" s="1"/>
  <c r="B430" i="1"/>
  <c r="N429" i="1"/>
  <c r="B429" i="1"/>
  <c r="G429" i="1" s="1"/>
  <c r="N428" i="1"/>
  <c r="B428" i="1"/>
  <c r="C428" i="1" s="1"/>
  <c r="N427" i="1"/>
  <c r="B427" i="1"/>
  <c r="N426" i="1"/>
  <c r="O426" i="1" s="1"/>
  <c r="B426" i="1"/>
  <c r="N425" i="1"/>
  <c r="B425" i="1"/>
  <c r="N424" i="1"/>
  <c r="P424" i="1" s="1"/>
  <c r="B424" i="1"/>
  <c r="N423" i="1"/>
  <c r="P423" i="1" s="1"/>
  <c r="B423" i="1"/>
  <c r="N422" i="1"/>
  <c r="B422" i="1"/>
  <c r="C422" i="1" s="1"/>
  <c r="D422" i="1" s="1"/>
  <c r="N421" i="1"/>
  <c r="B421" i="1"/>
  <c r="N420" i="1"/>
  <c r="B420" i="1"/>
  <c r="N419" i="1"/>
  <c r="B419" i="1"/>
  <c r="N418" i="1"/>
  <c r="O418" i="1" s="1"/>
  <c r="B418" i="1"/>
  <c r="N417" i="1"/>
  <c r="O417" i="1" s="1"/>
  <c r="B417" i="1"/>
  <c r="N416" i="1"/>
  <c r="P416" i="1" s="1"/>
  <c r="B416" i="1"/>
  <c r="N415" i="1"/>
  <c r="B415" i="1"/>
  <c r="N414" i="1"/>
  <c r="B414" i="1"/>
  <c r="C414" i="1" s="1"/>
  <c r="N413" i="1"/>
  <c r="B413" i="1"/>
  <c r="N412" i="1"/>
  <c r="B412" i="1"/>
  <c r="N411" i="1"/>
  <c r="B411" i="1"/>
  <c r="N410" i="1"/>
  <c r="O410" i="1" s="1"/>
  <c r="B410" i="1"/>
  <c r="N409" i="1"/>
  <c r="B409" i="1"/>
  <c r="N408" i="1"/>
  <c r="P408" i="1" s="1"/>
  <c r="B408" i="1"/>
  <c r="N407" i="1"/>
  <c r="P407" i="1" s="1"/>
  <c r="B407" i="1"/>
  <c r="N406" i="1"/>
  <c r="N405" i="1"/>
  <c r="C405" i="1"/>
  <c r="N404" i="1"/>
  <c r="N403" i="1"/>
  <c r="N402" i="1"/>
  <c r="O402" i="1" s="1"/>
  <c r="N401" i="1"/>
  <c r="O401" i="1" s="1"/>
  <c r="N400" i="1"/>
  <c r="P400" i="1" s="1"/>
  <c r="G400" i="1"/>
  <c r="N399" i="1"/>
  <c r="N398" i="1"/>
  <c r="E398" i="1"/>
  <c r="D398" i="1"/>
  <c r="N397" i="1"/>
  <c r="N396" i="1"/>
  <c r="N395" i="1"/>
  <c r="N394" i="1"/>
  <c r="O394" i="1" s="1"/>
  <c r="N393" i="1"/>
  <c r="O393" i="1" s="1"/>
  <c r="N392" i="1"/>
  <c r="P392" i="1" s="1"/>
  <c r="N391" i="1"/>
  <c r="O391" i="1" s="1"/>
  <c r="N390" i="1"/>
  <c r="N389" i="1"/>
  <c r="N388" i="1"/>
  <c r="N387" i="1"/>
  <c r="N386" i="1"/>
  <c r="O386" i="1" s="1"/>
  <c r="N385" i="1"/>
  <c r="N384" i="1"/>
  <c r="O384" i="1" s="1"/>
  <c r="N383" i="1"/>
  <c r="P383" i="1" s="1"/>
  <c r="N382" i="1"/>
  <c r="P382" i="1" s="1"/>
  <c r="N381" i="1"/>
  <c r="N380" i="1"/>
  <c r="N379" i="1"/>
  <c r="O379" i="1" s="1"/>
  <c r="N378" i="1"/>
  <c r="N377" i="1"/>
  <c r="O377" i="1" s="1"/>
  <c r="N376" i="1"/>
  <c r="N375" i="1"/>
  <c r="O375" i="1" s="1"/>
  <c r="N374" i="1"/>
  <c r="P374" i="1" s="1"/>
  <c r="N373" i="1"/>
  <c r="O373" i="1" s="1"/>
  <c r="N372" i="1"/>
  <c r="N371" i="1"/>
  <c r="O371" i="1" s="1"/>
  <c r="N370" i="1"/>
  <c r="N369" i="1"/>
  <c r="N368" i="1"/>
  <c r="N367" i="1"/>
  <c r="N366" i="1"/>
  <c r="P366" i="1" s="1"/>
  <c r="N365" i="1"/>
  <c r="O365" i="1" s="1"/>
  <c r="N364" i="1"/>
  <c r="N363" i="1"/>
  <c r="O363" i="1" s="1"/>
  <c r="N362" i="1"/>
  <c r="N361" i="1"/>
  <c r="N360" i="1"/>
  <c r="N359" i="1"/>
  <c r="N358" i="1"/>
  <c r="N357" i="1"/>
  <c r="N356" i="1"/>
  <c r="N355" i="1"/>
  <c r="O355" i="1" s="1"/>
  <c r="N354" i="1"/>
  <c r="N353" i="1"/>
  <c r="P353" i="1" s="1"/>
  <c r="N352" i="1"/>
  <c r="P352" i="1" s="1"/>
  <c r="N351" i="1"/>
  <c r="P351" i="1" s="1"/>
  <c r="N350" i="1"/>
  <c r="P350" i="1" s="1"/>
  <c r="N349" i="1"/>
  <c r="P349" i="1" s="1"/>
  <c r="N348" i="1"/>
  <c r="P348" i="1" s="1"/>
  <c r="N347" i="1"/>
  <c r="P347" i="1" s="1"/>
  <c r="N346" i="1"/>
  <c r="P346" i="1" s="1"/>
  <c r="N345" i="1"/>
  <c r="P345" i="1" s="1"/>
  <c r="N344" i="1"/>
  <c r="P344" i="1" s="1"/>
  <c r="N343" i="1"/>
  <c r="P343" i="1" s="1"/>
  <c r="N342" i="1"/>
  <c r="P342" i="1" s="1"/>
  <c r="N341" i="1"/>
  <c r="P341" i="1" s="1"/>
  <c r="N340" i="1"/>
  <c r="P340" i="1" s="1"/>
  <c r="N339" i="1"/>
  <c r="P339" i="1" s="1"/>
  <c r="N338" i="1"/>
  <c r="P338" i="1" s="1"/>
  <c r="N337" i="1"/>
  <c r="P337" i="1" s="1"/>
  <c r="N336" i="1"/>
  <c r="N335" i="1"/>
  <c r="N334" i="1"/>
  <c r="N333" i="1"/>
  <c r="P333" i="1" s="1"/>
  <c r="N332" i="1"/>
  <c r="N331" i="1"/>
  <c r="P331" i="1" s="1"/>
  <c r="G331" i="1"/>
  <c r="N330" i="1"/>
  <c r="N329" i="1"/>
  <c r="P329" i="1" s="1"/>
  <c r="N328" i="1"/>
  <c r="N327" i="1"/>
  <c r="N326" i="1"/>
  <c r="N325" i="1"/>
  <c r="P325" i="1" s="1"/>
  <c r="N324" i="1"/>
  <c r="N323" i="1"/>
  <c r="P323" i="1" s="1"/>
  <c r="N322" i="1"/>
  <c r="O322" i="1" s="1"/>
  <c r="N321" i="1"/>
  <c r="P321" i="1" s="1"/>
  <c r="N320" i="1"/>
  <c r="O320" i="1" s="1"/>
  <c r="N319" i="1"/>
  <c r="P319" i="1" s="1"/>
  <c r="N318" i="1"/>
  <c r="O318" i="1" s="1"/>
  <c r="N317" i="1"/>
  <c r="P317" i="1" s="1"/>
  <c r="N314" i="1"/>
  <c r="O314" i="1" s="1"/>
  <c r="N313" i="1"/>
  <c r="O313" i="1" s="1"/>
  <c r="N312" i="1"/>
  <c r="O312" i="1" s="1"/>
  <c r="N311" i="1"/>
  <c r="P311" i="1" s="1"/>
  <c r="N310" i="1"/>
  <c r="O310" i="1" s="1"/>
  <c r="N309" i="1"/>
  <c r="P309" i="1" s="1"/>
  <c r="N308" i="1"/>
  <c r="P308" i="1" s="1"/>
  <c r="N307" i="1"/>
  <c r="P307" i="1" s="1"/>
  <c r="N306" i="1"/>
  <c r="O306" i="1" s="1"/>
  <c r="N305" i="1"/>
  <c r="O305" i="1" s="1"/>
  <c r="N304" i="1"/>
  <c r="O304" i="1" s="1"/>
  <c r="N303" i="1"/>
  <c r="P303" i="1" s="1"/>
  <c r="N302" i="1"/>
  <c r="O302" i="1" s="1"/>
  <c r="N301" i="1"/>
  <c r="P301" i="1" s="1"/>
  <c r="N300" i="1"/>
  <c r="P300" i="1" s="1"/>
  <c r="Y305" i="1"/>
  <c r="AA305" i="1"/>
  <c r="AB305" i="1" s="1"/>
  <c r="Y306" i="1"/>
  <c r="AA306" i="1"/>
  <c r="AB306" i="1" s="1"/>
  <c r="Y307" i="1"/>
  <c r="AA307" i="1"/>
  <c r="AB307" i="1" s="1"/>
  <c r="Y308" i="1"/>
  <c r="AA308" i="1"/>
  <c r="AB308" i="1" s="1"/>
  <c r="Y309" i="1"/>
  <c r="AA309" i="1"/>
  <c r="AB309" i="1" s="1"/>
  <c r="B553" i="1"/>
  <c r="D553" i="1" s="1"/>
  <c r="N553" i="1"/>
  <c r="O553" i="1" s="1"/>
  <c r="B554" i="1"/>
  <c r="I554" i="1" s="1"/>
  <c r="N554" i="1"/>
  <c r="B555" i="1"/>
  <c r="D555" i="1" s="1"/>
  <c r="N555" i="1"/>
  <c r="P555" i="1" s="1"/>
  <c r="B556" i="1"/>
  <c r="C556" i="1" s="1"/>
  <c r="N556" i="1"/>
  <c r="Q556" i="1" s="1"/>
  <c r="B557" i="1"/>
  <c r="G557" i="1" s="1"/>
  <c r="N557" i="1"/>
  <c r="Q557" i="1" s="1"/>
  <c r="B558" i="1"/>
  <c r="E558" i="1" s="1"/>
  <c r="N558" i="1"/>
  <c r="P558" i="1" s="1"/>
  <c r="B559" i="1"/>
  <c r="G559" i="1" s="1"/>
  <c r="N559" i="1"/>
  <c r="O559" i="1" s="1"/>
  <c r="B560" i="1"/>
  <c r="I560" i="1" s="1"/>
  <c r="N560" i="1"/>
  <c r="Q560" i="1" s="1"/>
  <c r="B561" i="1"/>
  <c r="E561" i="1" s="1"/>
  <c r="N561" i="1"/>
  <c r="B562" i="1"/>
  <c r="N562" i="1"/>
  <c r="B563" i="1"/>
  <c r="D563" i="1" s="1"/>
  <c r="N563" i="1"/>
  <c r="O563" i="1" s="1"/>
  <c r="B564" i="1"/>
  <c r="D564" i="1"/>
  <c r="N564" i="1"/>
  <c r="B565" i="1"/>
  <c r="F565" i="1" s="1"/>
  <c r="N565" i="1"/>
  <c r="B566" i="1"/>
  <c r="E566" i="1" s="1"/>
  <c r="N566" i="1"/>
  <c r="P566" i="1" s="1"/>
  <c r="B567" i="1"/>
  <c r="D567" i="1" s="1"/>
  <c r="N567" i="1"/>
  <c r="O567" i="1" s="1"/>
  <c r="B568" i="1"/>
  <c r="G568" i="1" s="1"/>
  <c r="N568" i="1"/>
  <c r="B569" i="1"/>
  <c r="F569" i="1" s="1"/>
  <c r="N569" i="1"/>
  <c r="B570" i="1"/>
  <c r="D570" i="1" s="1"/>
  <c r="N570" i="1"/>
  <c r="Q570" i="1" s="1"/>
  <c r="B571" i="1"/>
  <c r="G571" i="1" s="1"/>
  <c r="N571" i="1"/>
  <c r="B572" i="1"/>
  <c r="E572" i="1" s="1"/>
  <c r="N572" i="1"/>
  <c r="Q572" i="1" s="1"/>
  <c r="B573" i="1"/>
  <c r="D573" i="1" s="1"/>
  <c r="F573" i="1"/>
  <c r="N573" i="1"/>
  <c r="Q573" i="1" s="1"/>
  <c r="B574" i="1"/>
  <c r="E574" i="1" s="1"/>
  <c r="N574" i="1"/>
  <c r="P574" i="1" s="1"/>
  <c r="B575" i="1"/>
  <c r="G575" i="1" s="1"/>
  <c r="N575" i="1"/>
  <c r="B576" i="1"/>
  <c r="D576" i="1" s="1"/>
  <c r="N576" i="1"/>
  <c r="Q576" i="1" s="1"/>
  <c r="B577" i="1"/>
  <c r="G577" i="1" s="1"/>
  <c r="N577" i="1"/>
  <c r="O577" i="1" s="1"/>
  <c r="B578" i="1"/>
  <c r="G578" i="1" s="1"/>
  <c r="N578" i="1"/>
  <c r="B579" i="1"/>
  <c r="D579" i="1" s="1"/>
  <c r="N579" i="1"/>
  <c r="O579" i="1" s="1"/>
  <c r="B580" i="1"/>
  <c r="F580" i="1" s="1"/>
  <c r="N580" i="1"/>
  <c r="Q580" i="1" s="1"/>
  <c r="B581" i="1"/>
  <c r="E581" i="1" s="1"/>
  <c r="N581" i="1"/>
  <c r="O581" i="1" s="1"/>
  <c r="B582" i="1"/>
  <c r="G582" i="1" s="1"/>
  <c r="N582" i="1"/>
  <c r="B583" i="1"/>
  <c r="F583" i="1" s="1"/>
  <c r="N583" i="1"/>
  <c r="O583" i="1" s="1"/>
  <c r="B584" i="1"/>
  <c r="E584" i="1" s="1"/>
  <c r="N584" i="1"/>
  <c r="B585" i="1"/>
  <c r="D585" i="1" s="1"/>
  <c r="N585" i="1"/>
  <c r="O585" i="1" s="1"/>
  <c r="B586" i="1"/>
  <c r="C586" i="1" s="1"/>
  <c r="N586" i="1"/>
  <c r="P586" i="1" s="1"/>
  <c r="B587" i="1"/>
  <c r="F587" i="1" s="1"/>
  <c r="N587" i="1"/>
  <c r="B588" i="1"/>
  <c r="G588" i="1" s="1"/>
  <c r="N588" i="1"/>
  <c r="Q588" i="1" s="1"/>
  <c r="B589" i="1"/>
  <c r="N589" i="1"/>
  <c r="B590" i="1"/>
  <c r="F590" i="1" s="1"/>
  <c r="N590" i="1"/>
  <c r="Q590" i="1" s="1"/>
  <c r="B591" i="1"/>
  <c r="I591" i="1" s="1"/>
  <c r="N591" i="1"/>
  <c r="B592" i="1"/>
  <c r="D592" i="1" s="1"/>
  <c r="N592" i="1"/>
  <c r="Q592" i="1" s="1"/>
  <c r="B593" i="1"/>
  <c r="E593" i="1" s="1"/>
  <c r="N593" i="1"/>
  <c r="B594" i="1"/>
  <c r="G594" i="1" s="1"/>
  <c r="N594" i="1"/>
  <c r="B595" i="1"/>
  <c r="D595" i="1" s="1"/>
  <c r="N595" i="1"/>
  <c r="O595" i="1" s="1"/>
  <c r="B596" i="1"/>
  <c r="F596" i="1" s="1"/>
  <c r="N596" i="1"/>
  <c r="O596" i="1" s="1"/>
  <c r="B597" i="1"/>
  <c r="E597" i="1" s="1"/>
  <c r="N597" i="1"/>
  <c r="Q597" i="1" s="1"/>
  <c r="B598" i="1"/>
  <c r="G598" i="1" s="1"/>
  <c r="N598" i="1"/>
  <c r="B599" i="1"/>
  <c r="G599" i="1" s="1"/>
  <c r="N599" i="1"/>
  <c r="O599" i="1" s="1"/>
  <c r="B600" i="1"/>
  <c r="E600" i="1" s="1"/>
  <c r="N600" i="1"/>
  <c r="B601" i="1"/>
  <c r="F601" i="1" s="1"/>
  <c r="N601" i="1"/>
  <c r="B602" i="1"/>
  <c r="F602" i="1" s="1"/>
  <c r="N602" i="1"/>
  <c r="Q602" i="1" s="1"/>
  <c r="B603" i="1"/>
  <c r="I603" i="1" s="1"/>
  <c r="N603" i="1"/>
  <c r="O603" i="1" s="1"/>
  <c r="B604" i="1"/>
  <c r="G604" i="1" s="1"/>
  <c r="C604" i="1"/>
  <c r="N604" i="1"/>
  <c r="Q604" i="1" s="1"/>
  <c r="B605" i="1"/>
  <c r="F605" i="1" s="1"/>
  <c r="N605" i="1"/>
  <c r="B606" i="1"/>
  <c r="D606" i="1" s="1"/>
  <c r="N606" i="1"/>
  <c r="B607" i="1"/>
  <c r="D607" i="1" s="1"/>
  <c r="N607" i="1"/>
  <c r="B608" i="1"/>
  <c r="D608" i="1" s="1"/>
  <c r="N608" i="1"/>
  <c r="Q608" i="1" s="1"/>
  <c r="B609" i="1"/>
  <c r="E609" i="1" s="1"/>
  <c r="N609" i="1"/>
  <c r="B610" i="1"/>
  <c r="F610" i="1" s="1"/>
  <c r="N610" i="1"/>
  <c r="B611" i="1"/>
  <c r="I611" i="1" s="1"/>
  <c r="N611" i="1"/>
  <c r="O611" i="1" s="1"/>
  <c r="B612" i="1"/>
  <c r="G612" i="1" s="1"/>
  <c r="N612" i="1"/>
  <c r="P612" i="1" s="1"/>
  <c r="B613" i="1"/>
  <c r="F613" i="1" s="1"/>
  <c r="N613" i="1"/>
  <c r="B614" i="1"/>
  <c r="N614" i="1"/>
  <c r="B615" i="1"/>
  <c r="F615" i="1" s="1"/>
  <c r="N615" i="1"/>
  <c r="O615" i="1" s="1"/>
  <c r="B616" i="1"/>
  <c r="G616" i="1" s="1"/>
  <c r="N616" i="1"/>
  <c r="B617" i="1"/>
  <c r="N617" i="1"/>
  <c r="B618" i="1"/>
  <c r="C618" i="1" s="1"/>
  <c r="N618" i="1"/>
  <c r="Q618" i="1" s="1"/>
  <c r="B619" i="1"/>
  <c r="I619" i="1" s="1"/>
  <c r="N619" i="1"/>
  <c r="O619" i="1" s="1"/>
  <c r="B620" i="1"/>
  <c r="C620" i="1" s="1"/>
  <c r="N620" i="1"/>
  <c r="Q620" i="1" s="1"/>
  <c r="B621" i="1"/>
  <c r="D621" i="1" s="1"/>
  <c r="N621" i="1"/>
  <c r="P621" i="1" s="1"/>
  <c r="B622" i="1"/>
  <c r="D622" i="1" s="1"/>
  <c r="N622" i="1"/>
  <c r="Q622" i="1" s="1"/>
  <c r="B623" i="1"/>
  <c r="N623" i="1"/>
  <c r="B624" i="1"/>
  <c r="D624" i="1" s="1"/>
  <c r="N624" i="1"/>
  <c r="Q624" i="1" s="1"/>
  <c r="B625" i="1"/>
  <c r="E625" i="1" s="1"/>
  <c r="N625" i="1"/>
  <c r="P625" i="1" s="1"/>
  <c r="B626" i="1"/>
  <c r="F626" i="1" s="1"/>
  <c r="N626" i="1"/>
  <c r="Q626" i="1" s="1"/>
  <c r="B627" i="1"/>
  <c r="I627" i="1" s="1"/>
  <c r="E627" i="1"/>
  <c r="N627" i="1"/>
  <c r="O627" i="1" s="1"/>
  <c r="B628" i="1"/>
  <c r="F628" i="1" s="1"/>
  <c r="N628" i="1"/>
  <c r="B629" i="1"/>
  <c r="D629" i="1" s="1"/>
  <c r="N629" i="1"/>
  <c r="O629" i="1" s="1"/>
  <c r="B630" i="1"/>
  <c r="N630" i="1"/>
  <c r="B631" i="1"/>
  <c r="F631" i="1" s="1"/>
  <c r="N631" i="1"/>
  <c r="O631" i="1" s="1"/>
  <c r="B632" i="1"/>
  <c r="N632" i="1"/>
  <c r="Q632" i="1" s="1"/>
  <c r="B633" i="1"/>
  <c r="N633" i="1"/>
  <c r="O633" i="1" s="1"/>
  <c r="B634" i="1"/>
  <c r="G634" i="1" s="1"/>
  <c r="N634" i="1"/>
  <c r="Q634" i="1" s="1"/>
  <c r="B635" i="1"/>
  <c r="N635" i="1"/>
  <c r="B636" i="1"/>
  <c r="G636" i="1" s="1"/>
  <c r="N636" i="1"/>
  <c r="Q636" i="1" s="1"/>
  <c r="B637" i="1"/>
  <c r="I637" i="1" s="1"/>
  <c r="N637" i="1"/>
  <c r="B638" i="1"/>
  <c r="N638" i="1"/>
  <c r="Q638" i="1" s="1"/>
  <c r="B639" i="1"/>
  <c r="N639" i="1"/>
  <c r="B640" i="1"/>
  <c r="D640" i="1" s="1"/>
  <c r="N640" i="1"/>
  <c r="Q640" i="1" s="1"/>
  <c r="B641" i="1"/>
  <c r="E641" i="1" s="1"/>
  <c r="N641" i="1"/>
  <c r="O641" i="1" s="1"/>
  <c r="B642" i="1"/>
  <c r="D642" i="1" s="1"/>
  <c r="N642" i="1"/>
  <c r="B643" i="1"/>
  <c r="I643" i="1" s="1"/>
  <c r="N643" i="1"/>
  <c r="O643" i="1" s="1"/>
  <c r="B644" i="1"/>
  <c r="N644" i="1"/>
  <c r="B645" i="1"/>
  <c r="N645" i="1"/>
  <c r="O645" i="1" s="1"/>
  <c r="B646" i="1"/>
  <c r="N646" i="1"/>
  <c r="B647" i="1"/>
  <c r="I647" i="1" s="1"/>
  <c r="N647" i="1"/>
  <c r="O647" i="1" s="1"/>
  <c r="B648" i="1"/>
  <c r="C648" i="1" s="1"/>
  <c r="N648" i="1"/>
  <c r="O648" i="1" s="1"/>
  <c r="B649" i="1"/>
  <c r="N649" i="1"/>
  <c r="B650" i="1"/>
  <c r="G650" i="1" s="1"/>
  <c r="N650" i="1"/>
  <c r="Q650" i="1" s="1"/>
  <c r="B651" i="1"/>
  <c r="I651" i="1" s="1"/>
  <c r="N651" i="1"/>
  <c r="P651" i="1" s="1"/>
  <c r="B652" i="1"/>
  <c r="G652" i="1" s="1"/>
  <c r="N652" i="1"/>
  <c r="Q652" i="1" s="1"/>
  <c r="B653" i="1"/>
  <c r="I653" i="1" s="1"/>
  <c r="N653" i="1"/>
  <c r="B654" i="1"/>
  <c r="D654" i="1" s="1"/>
  <c r="N654" i="1"/>
  <c r="B655" i="1"/>
  <c r="D655" i="1" s="1"/>
  <c r="N655" i="1"/>
  <c r="O655" i="1" s="1"/>
  <c r="B656" i="1"/>
  <c r="D656" i="1" s="1"/>
  <c r="N656" i="1"/>
  <c r="B657" i="1"/>
  <c r="E657" i="1" s="1"/>
  <c r="N657" i="1"/>
  <c r="O657" i="1" s="1"/>
  <c r="B658" i="1"/>
  <c r="N658" i="1"/>
  <c r="B659" i="1"/>
  <c r="I659" i="1" s="1"/>
  <c r="N659" i="1"/>
  <c r="O659" i="1" s="1"/>
  <c r="B660" i="1"/>
  <c r="N660" i="1"/>
  <c r="B661" i="1"/>
  <c r="E661" i="1" s="1"/>
  <c r="N661" i="1"/>
  <c r="B662" i="1"/>
  <c r="F662" i="1" s="1"/>
  <c r="N662" i="1"/>
  <c r="Q662" i="1" s="1"/>
  <c r="B663" i="1"/>
  <c r="N663" i="1"/>
  <c r="O663" i="1" s="1"/>
  <c r="B664" i="1"/>
  <c r="C664" i="1" s="1"/>
  <c r="N664" i="1"/>
  <c r="B665" i="1"/>
  <c r="N665" i="1"/>
  <c r="B666" i="1"/>
  <c r="G666" i="1" s="1"/>
  <c r="N666" i="1"/>
  <c r="Q666" i="1" s="1"/>
  <c r="B667" i="1"/>
  <c r="I667" i="1" s="1"/>
  <c r="N667" i="1"/>
  <c r="B668" i="1"/>
  <c r="C668" i="1" s="1"/>
  <c r="N668" i="1"/>
  <c r="B669" i="1"/>
  <c r="I669" i="1" s="1"/>
  <c r="N669" i="1"/>
  <c r="B670" i="1"/>
  <c r="D670" i="1" s="1"/>
  <c r="N670" i="1"/>
  <c r="Q670" i="1" s="1"/>
  <c r="B671" i="1"/>
  <c r="E671" i="1" s="1"/>
  <c r="N671" i="1"/>
  <c r="P671" i="1" s="1"/>
  <c r="B672" i="1"/>
  <c r="N672" i="1"/>
  <c r="B673" i="1"/>
  <c r="E673" i="1" s="1"/>
  <c r="N673" i="1"/>
  <c r="O673" i="1" s="1"/>
  <c r="B674" i="1"/>
  <c r="C674" i="1" s="1"/>
  <c r="N674" i="1"/>
  <c r="P674" i="1" s="1"/>
  <c r="B675" i="1"/>
  <c r="E675" i="1" s="1"/>
  <c r="N675" i="1"/>
  <c r="B676" i="1"/>
  <c r="N676" i="1"/>
  <c r="Q676" i="1" s="1"/>
  <c r="B677" i="1"/>
  <c r="I677" i="1" s="1"/>
  <c r="N677" i="1"/>
  <c r="B678" i="1"/>
  <c r="C678" i="1" s="1"/>
  <c r="N678" i="1"/>
  <c r="B679" i="1"/>
  <c r="N679" i="1"/>
  <c r="B680" i="1"/>
  <c r="C680" i="1" s="1"/>
  <c r="N680" i="1"/>
  <c r="O680" i="1" s="1"/>
  <c r="B681" i="1"/>
  <c r="F681" i="1" s="1"/>
  <c r="N681" i="1"/>
  <c r="P681" i="1" s="1"/>
  <c r="B682" i="1"/>
  <c r="C682" i="1" s="1"/>
  <c r="N682" i="1"/>
  <c r="B683" i="1"/>
  <c r="I683" i="1" s="1"/>
  <c r="N683" i="1"/>
  <c r="B684" i="1"/>
  <c r="N684" i="1"/>
  <c r="Q684" i="1" s="1"/>
  <c r="B685" i="1"/>
  <c r="I685" i="1" s="1"/>
  <c r="N685" i="1"/>
  <c r="O685" i="1" s="1"/>
  <c r="B686" i="1"/>
  <c r="F686" i="1" s="1"/>
  <c r="N686" i="1"/>
  <c r="B687" i="1"/>
  <c r="I687" i="1" s="1"/>
  <c r="N687" i="1"/>
  <c r="B688" i="1"/>
  <c r="N688" i="1"/>
  <c r="B689" i="1"/>
  <c r="N689" i="1"/>
  <c r="O689" i="1" s="1"/>
  <c r="B690" i="1"/>
  <c r="N690" i="1"/>
  <c r="Q690" i="1" s="1"/>
  <c r="B691" i="1"/>
  <c r="F691" i="1" s="1"/>
  <c r="N691" i="1"/>
  <c r="O691" i="1" s="1"/>
  <c r="B692" i="1"/>
  <c r="C692" i="1" s="1"/>
  <c r="N692" i="1"/>
  <c r="Q692" i="1" s="1"/>
  <c r="B693" i="1"/>
  <c r="D693" i="1" s="1"/>
  <c r="N693" i="1"/>
  <c r="P693" i="1" s="1"/>
  <c r="B694" i="1"/>
  <c r="C694" i="1" s="1"/>
  <c r="N694" i="1"/>
  <c r="B695" i="1"/>
  <c r="D695" i="1" s="1"/>
  <c r="N695" i="1"/>
  <c r="B696" i="1"/>
  <c r="C696" i="1" s="1"/>
  <c r="N696" i="1"/>
  <c r="Q696" i="1" s="1"/>
  <c r="B697" i="1"/>
  <c r="D697" i="1" s="1"/>
  <c r="N697" i="1"/>
  <c r="O697" i="1" s="1"/>
  <c r="B698" i="1"/>
  <c r="D698" i="1" s="1"/>
  <c r="N698" i="1"/>
  <c r="B699" i="1"/>
  <c r="I699" i="1" s="1"/>
  <c r="N699" i="1"/>
  <c r="B700" i="1"/>
  <c r="N700" i="1"/>
  <c r="Q700" i="1" s="1"/>
  <c r="B701" i="1"/>
  <c r="I701" i="1" s="1"/>
  <c r="N701" i="1"/>
  <c r="O701" i="1" s="1"/>
  <c r="B702" i="1"/>
  <c r="F702" i="1" s="1"/>
  <c r="N702" i="1"/>
  <c r="P702" i="1" s="1"/>
  <c r="B703" i="1"/>
  <c r="I703" i="1" s="1"/>
  <c r="N703" i="1"/>
  <c r="O703" i="1" s="1"/>
  <c r="B704" i="1"/>
  <c r="N704" i="1"/>
  <c r="B705" i="1"/>
  <c r="F705" i="1" s="1"/>
  <c r="N705" i="1"/>
  <c r="O705" i="1" s="1"/>
  <c r="B706" i="1"/>
  <c r="N706" i="1"/>
  <c r="P706" i="1" s="1"/>
  <c r="B707" i="1"/>
  <c r="E707" i="1" s="1"/>
  <c r="N707" i="1"/>
  <c r="B708" i="1"/>
  <c r="C708" i="1" s="1"/>
  <c r="N708" i="1"/>
  <c r="Q708" i="1" s="1"/>
  <c r="B709" i="1"/>
  <c r="D709" i="1" s="1"/>
  <c r="N709" i="1"/>
  <c r="P709" i="1" s="1"/>
  <c r="B710" i="1"/>
  <c r="N710" i="1"/>
  <c r="P710" i="1" s="1"/>
  <c r="B711" i="1"/>
  <c r="D711" i="1" s="1"/>
  <c r="N711" i="1"/>
  <c r="O711" i="1" s="1"/>
  <c r="B712" i="1"/>
  <c r="N712" i="1"/>
  <c r="Q712" i="1" s="1"/>
  <c r="B713" i="1"/>
  <c r="D713" i="1" s="1"/>
  <c r="N713" i="1"/>
  <c r="B714" i="1"/>
  <c r="F714" i="1" s="1"/>
  <c r="N714" i="1"/>
  <c r="B715" i="1"/>
  <c r="I715" i="1" s="1"/>
  <c r="N715" i="1"/>
  <c r="P715" i="1" s="1"/>
  <c r="B716" i="1"/>
  <c r="G716" i="1" s="1"/>
  <c r="N716" i="1"/>
  <c r="B717" i="1"/>
  <c r="D717" i="1" s="1"/>
  <c r="N717" i="1"/>
  <c r="O717" i="1" s="1"/>
  <c r="B718" i="1"/>
  <c r="G718" i="1" s="1"/>
  <c r="N718" i="1"/>
  <c r="P718" i="1" s="1"/>
  <c r="B719" i="1"/>
  <c r="I719" i="1" s="1"/>
  <c r="N719" i="1"/>
  <c r="B720" i="1"/>
  <c r="D720" i="1" s="1"/>
  <c r="N720" i="1"/>
  <c r="Q720" i="1" s="1"/>
  <c r="B721" i="1"/>
  <c r="N721" i="1"/>
  <c r="B722" i="1"/>
  <c r="F722" i="1" s="1"/>
  <c r="N722" i="1"/>
  <c r="P722" i="1" s="1"/>
  <c r="B723" i="1"/>
  <c r="E723" i="1" s="1"/>
  <c r="N723" i="1"/>
  <c r="O723" i="1" s="1"/>
  <c r="B724" i="1"/>
  <c r="N724" i="1"/>
  <c r="Q724" i="1" s="1"/>
  <c r="B725" i="1"/>
  <c r="D725" i="1" s="1"/>
  <c r="N725" i="1"/>
  <c r="P725" i="1" s="1"/>
  <c r="B726" i="1"/>
  <c r="C726" i="1" s="1"/>
  <c r="N726" i="1"/>
  <c r="P726" i="1" s="1"/>
  <c r="B727" i="1"/>
  <c r="D727" i="1" s="1"/>
  <c r="N727" i="1"/>
  <c r="O727" i="1" s="1"/>
  <c r="B728" i="1"/>
  <c r="N728" i="1"/>
  <c r="Q728" i="1" s="1"/>
  <c r="B729" i="1"/>
  <c r="D729" i="1" s="1"/>
  <c r="N729" i="1"/>
  <c r="B730" i="1"/>
  <c r="F730" i="1" s="1"/>
  <c r="N730" i="1"/>
  <c r="Q730" i="1" s="1"/>
  <c r="B731" i="1"/>
  <c r="I731" i="1" s="1"/>
  <c r="N731" i="1"/>
  <c r="O731" i="1" s="1"/>
  <c r="B732" i="1"/>
  <c r="N732" i="1"/>
  <c r="B733" i="1"/>
  <c r="N733" i="1"/>
  <c r="B734" i="1"/>
  <c r="N734" i="1"/>
  <c r="P734" i="1" s="1"/>
  <c r="B735" i="1"/>
  <c r="C735" i="1" s="1"/>
  <c r="N735" i="1"/>
  <c r="B736" i="1"/>
  <c r="D736" i="1" s="1"/>
  <c r="N736" i="1"/>
  <c r="Q736" i="1" s="1"/>
  <c r="B737" i="1"/>
  <c r="G737" i="1" s="1"/>
  <c r="E737" i="1"/>
  <c r="N737" i="1"/>
  <c r="O737" i="1" s="1"/>
  <c r="B738" i="1"/>
  <c r="N738" i="1"/>
  <c r="Q738" i="1" s="1"/>
  <c r="B739" i="1"/>
  <c r="C739" i="1" s="1"/>
  <c r="N739" i="1"/>
  <c r="O739" i="1" s="1"/>
  <c r="B740" i="1"/>
  <c r="E740" i="1" s="1"/>
  <c r="N740" i="1"/>
  <c r="P740" i="1" s="1"/>
  <c r="B741" i="1"/>
  <c r="G741" i="1" s="1"/>
  <c r="N741" i="1"/>
  <c r="B742" i="1"/>
  <c r="I742" i="1" s="1"/>
  <c r="N742" i="1"/>
  <c r="P742" i="1" s="1"/>
  <c r="B743" i="1"/>
  <c r="G743" i="1" s="1"/>
  <c r="N743" i="1"/>
  <c r="O743" i="1" s="1"/>
  <c r="B744" i="1"/>
  <c r="I744" i="1" s="1"/>
  <c r="G744" i="1"/>
  <c r="N744" i="1"/>
  <c r="B745" i="1"/>
  <c r="D745" i="1" s="1"/>
  <c r="N745" i="1"/>
  <c r="B746" i="1"/>
  <c r="N746" i="1"/>
  <c r="P746" i="1" s="1"/>
  <c r="B747" i="1"/>
  <c r="G747" i="1" s="1"/>
  <c r="N747" i="1"/>
  <c r="Q747" i="1" s="1"/>
  <c r="P747" i="1"/>
  <c r="B748" i="1"/>
  <c r="G748" i="1" s="1"/>
  <c r="N748" i="1"/>
  <c r="B749" i="1"/>
  <c r="F749" i="1" s="1"/>
  <c r="N749" i="1"/>
  <c r="O749" i="1" s="1"/>
  <c r="B750" i="1"/>
  <c r="F750" i="1" s="1"/>
  <c r="N750" i="1"/>
  <c r="P750" i="1" s="1"/>
  <c r="B751" i="1"/>
  <c r="N751" i="1"/>
  <c r="O751" i="1" s="1"/>
  <c r="B752" i="1"/>
  <c r="E752" i="1" s="1"/>
  <c r="N752" i="1"/>
  <c r="Q752" i="1" s="1"/>
  <c r="B753" i="1"/>
  <c r="N753" i="1"/>
  <c r="B754" i="1"/>
  <c r="I754" i="1" s="1"/>
  <c r="N754" i="1"/>
  <c r="P754" i="1" s="1"/>
  <c r="B755" i="1"/>
  <c r="C755" i="1" s="1"/>
  <c r="G755" i="1"/>
  <c r="N755" i="1"/>
  <c r="B756" i="1"/>
  <c r="E756" i="1" s="1"/>
  <c r="N756" i="1"/>
  <c r="Q756" i="1" s="1"/>
  <c r="B757" i="1"/>
  <c r="N757" i="1"/>
  <c r="B758" i="1"/>
  <c r="I758" i="1" s="1"/>
  <c r="N758" i="1"/>
  <c r="P758" i="1" s="1"/>
  <c r="B759" i="1"/>
  <c r="I759" i="1" s="1"/>
  <c r="N759" i="1"/>
  <c r="O759" i="1" s="1"/>
  <c r="B760" i="1"/>
  <c r="C760" i="1" s="1"/>
  <c r="N760" i="1"/>
  <c r="B761" i="1"/>
  <c r="I761" i="1" s="1"/>
  <c r="N761" i="1"/>
  <c r="O761" i="1" s="1"/>
  <c r="B762" i="1"/>
  <c r="G762" i="1" s="1"/>
  <c r="N762" i="1"/>
  <c r="P762" i="1" s="1"/>
  <c r="B763" i="1"/>
  <c r="F763" i="1" s="1"/>
  <c r="N763" i="1"/>
  <c r="B764" i="1"/>
  <c r="N764" i="1"/>
  <c r="O764" i="1" s="1"/>
  <c r="B765" i="1"/>
  <c r="F765" i="1" s="1"/>
  <c r="N765" i="1"/>
  <c r="B766" i="1"/>
  <c r="C766" i="1" s="1"/>
  <c r="N766" i="1"/>
  <c r="P766" i="1" s="1"/>
  <c r="B767" i="1"/>
  <c r="I767" i="1" s="1"/>
  <c r="N767" i="1"/>
  <c r="B768" i="1"/>
  <c r="N768" i="1"/>
  <c r="B769" i="1"/>
  <c r="N769" i="1"/>
  <c r="O769" i="1" s="1"/>
  <c r="B770" i="1"/>
  <c r="N770" i="1"/>
  <c r="P770" i="1" s="1"/>
  <c r="B771" i="1"/>
  <c r="C771" i="1" s="1"/>
  <c r="N771" i="1"/>
  <c r="O771" i="1" s="1"/>
  <c r="B772" i="1"/>
  <c r="E772" i="1" s="1"/>
  <c r="N772" i="1"/>
  <c r="B773" i="1"/>
  <c r="G773" i="1" s="1"/>
  <c r="N773" i="1"/>
  <c r="O773" i="1" s="1"/>
  <c r="B774" i="1"/>
  <c r="N774" i="1"/>
  <c r="P774" i="1" s="1"/>
  <c r="B775" i="1"/>
  <c r="N775" i="1"/>
  <c r="B776" i="1"/>
  <c r="C776" i="1" s="1"/>
  <c r="N776" i="1"/>
  <c r="P776" i="1" s="1"/>
  <c r="B777" i="1"/>
  <c r="F777" i="1" s="1"/>
  <c r="N777" i="1"/>
  <c r="B778" i="1"/>
  <c r="N778" i="1"/>
  <c r="P778" i="1" s="1"/>
  <c r="B779" i="1"/>
  <c r="F779" i="1" s="1"/>
  <c r="N779" i="1"/>
  <c r="O779" i="1" s="1"/>
  <c r="B780" i="1"/>
  <c r="N780" i="1"/>
  <c r="B781" i="1"/>
  <c r="C781" i="1" s="1"/>
  <c r="N781" i="1"/>
  <c r="O781" i="1" s="1"/>
  <c r="B782" i="1"/>
  <c r="I782" i="1" s="1"/>
  <c r="N782" i="1"/>
  <c r="P782" i="1" s="1"/>
  <c r="B783" i="1"/>
  <c r="N783" i="1"/>
  <c r="B784" i="1"/>
  <c r="F784" i="1" s="1"/>
  <c r="N784" i="1"/>
  <c r="Q784" i="1" s="1"/>
  <c r="B785" i="1"/>
  <c r="G785" i="1" s="1"/>
  <c r="N785" i="1"/>
  <c r="B786" i="1"/>
  <c r="I786" i="1" s="1"/>
  <c r="E786" i="1"/>
  <c r="N786" i="1"/>
  <c r="P786" i="1" s="1"/>
  <c r="B787" i="1"/>
  <c r="N787" i="1"/>
  <c r="B788" i="1"/>
  <c r="D788" i="1" s="1"/>
  <c r="N788" i="1"/>
  <c r="B789" i="1"/>
  <c r="D789" i="1" s="1"/>
  <c r="N789" i="1"/>
  <c r="Q789" i="1" s="1"/>
  <c r="P789" i="1"/>
  <c r="B790" i="1"/>
  <c r="F790" i="1" s="1"/>
  <c r="N790" i="1"/>
  <c r="P790" i="1" s="1"/>
  <c r="B791" i="1"/>
  <c r="D791" i="1" s="1"/>
  <c r="N791" i="1"/>
  <c r="O791" i="1" s="1"/>
  <c r="B792" i="1"/>
  <c r="F792" i="1" s="1"/>
  <c r="N792" i="1"/>
  <c r="B793" i="1"/>
  <c r="G793" i="1" s="1"/>
  <c r="N793" i="1"/>
  <c r="O793" i="1" s="1"/>
  <c r="B794" i="1"/>
  <c r="I794" i="1" s="1"/>
  <c r="N794" i="1"/>
  <c r="P794" i="1" s="1"/>
  <c r="B795" i="1"/>
  <c r="F795" i="1" s="1"/>
  <c r="N795" i="1"/>
  <c r="O795" i="1" s="1"/>
  <c r="B796" i="1"/>
  <c r="I796" i="1" s="1"/>
  <c r="N796" i="1"/>
  <c r="B797" i="1"/>
  <c r="F797" i="1" s="1"/>
  <c r="N797" i="1"/>
  <c r="B798" i="1"/>
  <c r="I798" i="1" s="1"/>
  <c r="N798" i="1"/>
  <c r="P798" i="1" s="1"/>
  <c r="B799" i="1"/>
  <c r="G799" i="1" s="1"/>
  <c r="N799" i="1"/>
  <c r="Q799" i="1" s="1"/>
  <c r="B800" i="1"/>
  <c r="F800" i="1" s="1"/>
  <c r="N800" i="1"/>
  <c r="Q800" i="1" s="1"/>
  <c r="B801" i="1"/>
  <c r="N801" i="1"/>
  <c r="P801" i="1" s="1"/>
  <c r="B802" i="1"/>
  <c r="D802" i="1" s="1"/>
  <c r="N802" i="1"/>
  <c r="P802" i="1" s="1"/>
  <c r="B803" i="1"/>
  <c r="G803" i="1" s="1"/>
  <c r="N803" i="1"/>
  <c r="B804" i="1"/>
  <c r="I804" i="1" s="1"/>
  <c r="N804" i="1"/>
  <c r="B805" i="1"/>
  <c r="N805" i="1"/>
  <c r="P805" i="1" s="1"/>
  <c r="B806" i="1"/>
  <c r="N806" i="1"/>
  <c r="P806" i="1" s="1"/>
  <c r="B807" i="1"/>
  <c r="D807" i="1" s="1"/>
  <c r="N807" i="1"/>
  <c r="B808" i="1"/>
  <c r="E808" i="1" s="1"/>
  <c r="N808" i="1"/>
  <c r="B809" i="1"/>
  <c r="G809" i="1" s="1"/>
  <c r="N809" i="1"/>
  <c r="B810" i="1"/>
  <c r="I810" i="1" s="1"/>
  <c r="N810" i="1"/>
  <c r="P810" i="1" s="1"/>
  <c r="B811" i="1"/>
  <c r="N811" i="1"/>
  <c r="P811" i="1" s="1"/>
  <c r="B812" i="1"/>
  <c r="N812" i="1"/>
  <c r="Q812" i="1" s="1"/>
  <c r="B813" i="1"/>
  <c r="F813" i="1" s="1"/>
  <c r="N813" i="1"/>
  <c r="Q813" i="1" s="1"/>
  <c r="B814" i="1"/>
  <c r="F814" i="1" s="1"/>
  <c r="N814" i="1"/>
  <c r="P814" i="1" s="1"/>
  <c r="B815" i="1"/>
  <c r="D815" i="1" s="1"/>
  <c r="C815" i="1"/>
  <c r="F815" i="1"/>
  <c r="G815" i="1"/>
  <c r="N815" i="1"/>
  <c r="O815" i="1" s="1"/>
  <c r="B816" i="1"/>
  <c r="F816" i="1" s="1"/>
  <c r="N816" i="1"/>
  <c r="B817" i="1"/>
  <c r="C817" i="1" s="1"/>
  <c r="N817" i="1"/>
  <c r="P817" i="1" s="1"/>
  <c r="B818" i="1"/>
  <c r="N818" i="1"/>
  <c r="P818" i="1" s="1"/>
  <c r="B819" i="1"/>
  <c r="G819" i="1" s="1"/>
  <c r="N819" i="1"/>
  <c r="B820" i="1"/>
  <c r="N820" i="1"/>
  <c r="B821" i="1"/>
  <c r="C821" i="1" s="1"/>
  <c r="N821" i="1"/>
  <c r="O821" i="1" s="1"/>
  <c r="B822" i="1"/>
  <c r="D822" i="1" s="1"/>
  <c r="N822" i="1"/>
  <c r="P822" i="1" s="1"/>
  <c r="B823" i="1"/>
  <c r="C823" i="1" s="1"/>
  <c r="N823" i="1"/>
  <c r="O823" i="1" s="1"/>
  <c r="B824" i="1"/>
  <c r="D824" i="1" s="1"/>
  <c r="N824" i="1"/>
  <c r="B825" i="1"/>
  <c r="G825" i="1" s="1"/>
  <c r="N825" i="1"/>
  <c r="P825" i="1" s="1"/>
  <c r="B826" i="1"/>
  <c r="I826" i="1" s="1"/>
  <c r="N826" i="1"/>
  <c r="P826" i="1" s="1"/>
  <c r="B827" i="1"/>
  <c r="G827" i="1" s="1"/>
  <c r="N827" i="1"/>
  <c r="O827" i="1" s="1"/>
  <c r="B828" i="1"/>
  <c r="E828" i="1" s="1"/>
  <c r="N828" i="1"/>
  <c r="P828" i="1" s="1"/>
  <c r="B829" i="1"/>
  <c r="N829" i="1"/>
  <c r="B830" i="1"/>
  <c r="I830" i="1" s="1"/>
  <c r="N830" i="1"/>
  <c r="P830" i="1" s="1"/>
  <c r="B831" i="1"/>
  <c r="G831" i="1" s="1"/>
  <c r="N831" i="1"/>
  <c r="B832" i="1"/>
  <c r="N832" i="1"/>
  <c r="P832" i="1" s="1"/>
  <c r="B833" i="1"/>
  <c r="N833" i="1"/>
  <c r="O833" i="1" s="1"/>
  <c r="B834" i="1"/>
  <c r="F834" i="1" s="1"/>
  <c r="N834" i="1"/>
  <c r="P834" i="1" s="1"/>
  <c r="B835" i="1"/>
  <c r="F835" i="1" s="1"/>
  <c r="N835" i="1"/>
  <c r="O835" i="1" s="1"/>
  <c r="B836" i="1"/>
  <c r="I836" i="1" s="1"/>
  <c r="N836" i="1"/>
  <c r="P836" i="1" s="1"/>
  <c r="B837" i="1"/>
  <c r="G837" i="1" s="1"/>
  <c r="N837" i="1"/>
  <c r="B838" i="1"/>
  <c r="N838" i="1"/>
  <c r="P838" i="1" s="1"/>
  <c r="B839" i="1"/>
  <c r="G839" i="1" s="1"/>
  <c r="N839" i="1"/>
  <c r="B840" i="1"/>
  <c r="I840" i="1" s="1"/>
  <c r="N840" i="1"/>
  <c r="Q840" i="1" s="1"/>
  <c r="B841" i="1"/>
  <c r="D841" i="1" s="1"/>
  <c r="N841" i="1"/>
  <c r="O841" i="1" s="1"/>
  <c r="B842" i="1"/>
  <c r="N842" i="1"/>
  <c r="P842" i="1" s="1"/>
  <c r="B843" i="1"/>
  <c r="N843" i="1"/>
  <c r="B844" i="1"/>
  <c r="I844" i="1" s="1"/>
  <c r="N844" i="1"/>
  <c r="B845" i="1"/>
  <c r="D845" i="1" s="1"/>
  <c r="N845" i="1"/>
  <c r="O845" i="1" s="1"/>
  <c r="B846" i="1"/>
  <c r="N846" i="1"/>
  <c r="P846" i="1" s="1"/>
  <c r="B847" i="1"/>
  <c r="G847" i="1" s="1"/>
  <c r="N847" i="1"/>
  <c r="B848" i="1"/>
  <c r="F848" i="1" s="1"/>
  <c r="N848" i="1"/>
  <c r="B849" i="1"/>
  <c r="N849" i="1"/>
  <c r="B850" i="1"/>
  <c r="I850" i="1" s="1"/>
  <c r="N850" i="1"/>
  <c r="P850" i="1" s="1"/>
  <c r="B851" i="1"/>
  <c r="G851" i="1" s="1"/>
  <c r="N851" i="1"/>
  <c r="O851" i="1" s="1"/>
  <c r="B852" i="1"/>
  <c r="D852" i="1" s="1"/>
  <c r="N852" i="1"/>
  <c r="B853" i="1"/>
  <c r="F853" i="1" s="1"/>
  <c r="N853" i="1"/>
  <c r="Q853" i="1" s="1"/>
  <c r="B854" i="1"/>
  <c r="D854" i="1" s="1"/>
  <c r="N854" i="1"/>
  <c r="P854" i="1" s="1"/>
  <c r="B855" i="1"/>
  <c r="G855" i="1" s="1"/>
  <c r="N855" i="1"/>
  <c r="O855" i="1" s="1"/>
  <c r="B856" i="1"/>
  <c r="D856" i="1" s="1"/>
  <c r="N856" i="1"/>
  <c r="B857" i="1"/>
  <c r="G857" i="1" s="1"/>
  <c r="N857" i="1"/>
  <c r="B858" i="1"/>
  <c r="I858" i="1" s="1"/>
  <c r="N858" i="1"/>
  <c r="P858" i="1" s="1"/>
  <c r="B859" i="1"/>
  <c r="F859" i="1" s="1"/>
  <c r="N859" i="1"/>
  <c r="Q859" i="1" s="1"/>
  <c r="B860" i="1"/>
  <c r="I860" i="1" s="1"/>
  <c r="N860" i="1"/>
  <c r="B861" i="1"/>
  <c r="F861" i="1" s="1"/>
  <c r="N861" i="1"/>
  <c r="B862" i="1"/>
  <c r="I862" i="1" s="1"/>
  <c r="N862" i="1"/>
  <c r="P862" i="1" s="1"/>
  <c r="B863" i="1"/>
  <c r="N863" i="1"/>
  <c r="B864" i="1"/>
  <c r="N864" i="1"/>
  <c r="B865" i="1"/>
  <c r="N865" i="1"/>
  <c r="O865" i="1" s="1"/>
  <c r="B866" i="1"/>
  <c r="I866" i="1" s="1"/>
  <c r="N866" i="1"/>
  <c r="P866" i="1" s="1"/>
  <c r="B867" i="1"/>
  <c r="G867" i="1" s="1"/>
  <c r="N867" i="1"/>
  <c r="B868" i="1"/>
  <c r="N868" i="1"/>
  <c r="B869" i="1"/>
  <c r="C869" i="1" s="1"/>
  <c r="N869" i="1"/>
  <c r="P869" i="1" s="1"/>
  <c r="B870" i="1"/>
  <c r="N870" i="1"/>
  <c r="P870" i="1" s="1"/>
  <c r="B871" i="1"/>
  <c r="G871" i="1" s="1"/>
  <c r="N871" i="1"/>
  <c r="B872" i="1"/>
  <c r="I872" i="1" s="1"/>
  <c r="N872" i="1"/>
  <c r="B873" i="1"/>
  <c r="G873" i="1" s="1"/>
  <c r="N873" i="1"/>
  <c r="P873" i="1" s="1"/>
  <c r="B874" i="1"/>
  <c r="N874" i="1"/>
  <c r="P874" i="1" s="1"/>
  <c r="B875" i="1"/>
  <c r="N875" i="1"/>
  <c r="O875" i="1" s="1"/>
  <c r="B876" i="1"/>
  <c r="N876" i="1"/>
  <c r="B877" i="1"/>
  <c r="F877" i="1" s="1"/>
  <c r="N877" i="1"/>
  <c r="P877" i="1" s="1"/>
  <c r="B878" i="1"/>
  <c r="F878" i="1" s="1"/>
  <c r="N878" i="1"/>
  <c r="P878" i="1" s="1"/>
  <c r="B879" i="1"/>
  <c r="G879" i="1" s="1"/>
  <c r="N879" i="1"/>
  <c r="O879" i="1" s="1"/>
  <c r="B880" i="1"/>
  <c r="N880" i="1"/>
  <c r="P880" i="1" s="1"/>
  <c r="B881" i="1"/>
  <c r="G881" i="1" s="1"/>
  <c r="N881" i="1"/>
  <c r="B882" i="1"/>
  <c r="I882" i="1" s="1"/>
  <c r="N882" i="1"/>
  <c r="P882" i="1" s="1"/>
  <c r="B883" i="1"/>
  <c r="C883" i="1" s="1"/>
  <c r="N883" i="1"/>
  <c r="P883" i="1" s="1"/>
  <c r="B884" i="1"/>
  <c r="I884" i="1" s="1"/>
  <c r="N884" i="1"/>
  <c r="Q884" i="1" s="1"/>
  <c r="B885" i="1"/>
  <c r="C885" i="1" s="1"/>
  <c r="N885" i="1"/>
  <c r="B886" i="1"/>
  <c r="F886" i="1" s="1"/>
  <c r="N886" i="1"/>
  <c r="P886" i="1" s="1"/>
  <c r="B887" i="1"/>
  <c r="G887" i="1" s="1"/>
  <c r="N887" i="1"/>
  <c r="O887" i="1" s="1"/>
  <c r="B888" i="1"/>
  <c r="D888" i="1" s="1"/>
  <c r="N888" i="1"/>
  <c r="B889" i="1"/>
  <c r="N889" i="1"/>
  <c r="B890" i="1"/>
  <c r="I890" i="1" s="1"/>
  <c r="N890" i="1"/>
  <c r="P890" i="1" s="1"/>
  <c r="B891" i="1"/>
  <c r="G891" i="1" s="1"/>
  <c r="N891" i="1"/>
  <c r="B892" i="1"/>
  <c r="I892" i="1" s="1"/>
  <c r="N892" i="1"/>
  <c r="Q892" i="1" s="1"/>
  <c r="B893" i="1"/>
  <c r="N893" i="1"/>
  <c r="O893" i="1" s="1"/>
  <c r="B894" i="1"/>
  <c r="I894" i="1" s="1"/>
  <c r="N894" i="1"/>
  <c r="P894" i="1" s="1"/>
  <c r="B895" i="1"/>
  <c r="G895" i="1" s="1"/>
  <c r="N895" i="1"/>
  <c r="O895" i="1" s="1"/>
  <c r="B896" i="1"/>
  <c r="N896" i="1"/>
  <c r="B897" i="1"/>
  <c r="N897" i="1"/>
  <c r="B898" i="1"/>
  <c r="F898" i="1" s="1"/>
  <c r="N898" i="1"/>
  <c r="P898" i="1" s="1"/>
  <c r="B899" i="1"/>
  <c r="F899" i="1" s="1"/>
  <c r="N899" i="1"/>
  <c r="B900" i="1"/>
  <c r="I900" i="1" s="1"/>
  <c r="N900" i="1"/>
  <c r="P900" i="1" s="1"/>
  <c r="B901" i="1"/>
  <c r="G901" i="1" s="1"/>
  <c r="N901" i="1"/>
  <c r="O901" i="1" s="1"/>
  <c r="B902" i="1"/>
  <c r="N902" i="1"/>
  <c r="P902" i="1" s="1"/>
  <c r="B903" i="1"/>
  <c r="D903" i="1" s="1"/>
  <c r="N903" i="1"/>
  <c r="O903" i="1" s="1"/>
  <c r="B904" i="1"/>
  <c r="I904" i="1" s="1"/>
  <c r="N904" i="1"/>
  <c r="Q904" i="1" s="1"/>
  <c r="B905" i="1"/>
  <c r="D905" i="1" s="1"/>
  <c r="N905" i="1"/>
  <c r="O905" i="1" s="1"/>
  <c r="B906" i="1"/>
  <c r="N906" i="1"/>
  <c r="P906" i="1" s="1"/>
  <c r="B907" i="1"/>
  <c r="N907" i="1"/>
  <c r="O907" i="1" s="1"/>
  <c r="B908" i="1"/>
  <c r="I908" i="1" s="1"/>
  <c r="N908" i="1"/>
  <c r="Q908" i="1" s="1"/>
  <c r="B909" i="1"/>
  <c r="F909" i="1" s="1"/>
  <c r="N909" i="1"/>
  <c r="B910" i="1"/>
  <c r="N910" i="1"/>
  <c r="P910" i="1" s="1"/>
  <c r="B911" i="1"/>
  <c r="G911" i="1" s="1"/>
  <c r="N911" i="1"/>
  <c r="B912" i="1"/>
  <c r="F912" i="1" s="1"/>
  <c r="N912" i="1"/>
  <c r="B913" i="1"/>
  <c r="N913" i="1"/>
  <c r="B914" i="1"/>
  <c r="I914" i="1" s="1"/>
  <c r="N914" i="1"/>
  <c r="P914" i="1" s="1"/>
  <c r="B915" i="1"/>
  <c r="N915" i="1"/>
  <c r="O915" i="1" s="1"/>
  <c r="B916" i="1"/>
  <c r="N916" i="1"/>
  <c r="P916" i="1" s="1"/>
  <c r="B917" i="1"/>
  <c r="N917" i="1"/>
  <c r="Q917" i="1" s="1"/>
  <c r="B918" i="1"/>
  <c r="N918" i="1"/>
  <c r="P918" i="1" s="1"/>
  <c r="B919" i="1"/>
  <c r="C919" i="1" s="1"/>
  <c r="N919" i="1"/>
  <c r="O919" i="1" s="1"/>
  <c r="B920" i="1"/>
  <c r="I920" i="1" s="1"/>
  <c r="N920" i="1"/>
  <c r="B921" i="1"/>
  <c r="G921" i="1" s="1"/>
  <c r="N921" i="1"/>
  <c r="B922" i="1"/>
  <c r="D922" i="1" s="1"/>
  <c r="N922" i="1"/>
  <c r="P922" i="1" s="1"/>
  <c r="B923" i="1"/>
  <c r="G923" i="1" s="1"/>
  <c r="N923" i="1"/>
  <c r="P923" i="1" s="1"/>
  <c r="B924" i="1"/>
  <c r="I924" i="1" s="1"/>
  <c r="N924" i="1"/>
  <c r="B925" i="1"/>
  <c r="C925" i="1" s="1"/>
  <c r="N925" i="1"/>
  <c r="O925" i="1" s="1"/>
  <c r="B926" i="1"/>
  <c r="N926" i="1"/>
  <c r="P926" i="1" s="1"/>
  <c r="B927" i="1"/>
  <c r="F927" i="1" s="1"/>
  <c r="N927" i="1"/>
  <c r="O927" i="1" s="1"/>
  <c r="B928" i="1"/>
  <c r="I928" i="1" s="1"/>
  <c r="N928" i="1"/>
  <c r="Q928" i="1" s="1"/>
  <c r="B929" i="1"/>
  <c r="G929" i="1" s="1"/>
  <c r="N929" i="1"/>
  <c r="O929" i="1" s="1"/>
  <c r="B930" i="1"/>
  <c r="I930" i="1" s="1"/>
  <c r="N930" i="1"/>
  <c r="P930" i="1" s="1"/>
  <c r="B931" i="1"/>
  <c r="G931" i="1" s="1"/>
  <c r="N931" i="1"/>
  <c r="O931" i="1" s="1"/>
  <c r="B932" i="1"/>
  <c r="N932" i="1"/>
  <c r="B933" i="1"/>
  <c r="G933" i="1" s="1"/>
  <c r="N933" i="1"/>
  <c r="B934" i="1"/>
  <c r="F934" i="1" s="1"/>
  <c r="N934" i="1"/>
  <c r="P934" i="1" s="1"/>
  <c r="B935" i="1"/>
  <c r="N935" i="1"/>
  <c r="O935" i="1" s="1"/>
  <c r="B936" i="1"/>
  <c r="C936" i="1" s="1"/>
  <c r="N936" i="1"/>
  <c r="B937" i="1"/>
  <c r="I937" i="1" s="1"/>
  <c r="N937" i="1"/>
  <c r="P937" i="1" s="1"/>
  <c r="B938" i="1"/>
  <c r="G938" i="1" s="1"/>
  <c r="N938" i="1"/>
  <c r="P938" i="1" s="1"/>
  <c r="B939" i="1"/>
  <c r="N939" i="1"/>
  <c r="B940" i="1"/>
  <c r="F940" i="1" s="1"/>
  <c r="N940" i="1"/>
  <c r="B941" i="1"/>
  <c r="N941" i="1"/>
  <c r="B942" i="1"/>
  <c r="E942" i="1" s="1"/>
  <c r="N942" i="1"/>
  <c r="P942" i="1" s="1"/>
  <c r="B943" i="1"/>
  <c r="I943" i="1" s="1"/>
  <c r="N943" i="1"/>
  <c r="P943" i="1" s="1"/>
  <c r="B944" i="1"/>
  <c r="N944" i="1"/>
  <c r="B945" i="1"/>
  <c r="E945" i="1" s="1"/>
  <c r="N945" i="1"/>
  <c r="B946" i="1"/>
  <c r="I946" i="1" s="1"/>
  <c r="N946" i="1"/>
  <c r="P946" i="1" s="1"/>
  <c r="B947" i="1"/>
  <c r="I947" i="1" s="1"/>
  <c r="N947" i="1"/>
  <c r="O947" i="1" s="1"/>
  <c r="B948" i="1"/>
  <c r="I948" i="1" s="1"/>
  <c r="N948" i="1"/>
  <c r="B949" i="1"/>
  <c r="G949" i="1" s="1"/>
  <c r="N949" i="1"/>
  <c r="B950" i="1"/>
  <c r="I950" i="1" s="1"/>
  <c r="F950" i="1"/>
  <c r="N950" i="1"/>
  <c r="P950" i="1" s="1"/>
  <c r="B951" i="1"/>
  <c r="I951" i="1" s="1"/>
  <c r="N951" i="1"/>
  <c r="O951" i="1" s="1"/>
  <c r="B952" i="1"/>
  <c r="C952" i="1" s="1"/>
  <c r="N952" i="1"/>
  <c r="B953" i="1"/>
  <c r="E953" i="1" s="1"/>
  <c r="N953" i="1"/>
  <c r="B954" i="1"/>
  <c r="G954" i="1" s="1"/>
  <c r="N954" i="1"/>
  <c r="P954" i="1" s="1"/>
  <c r="B955" i="1"/>
  <c r="I955" i="1" s="1"/>
  <c r="N955" i="1"/>
  <c r="B956" i="1"/>
  <c r="C956" i="1" s="1"/>
  <c r="N956" i="1"/>
  <c r="P956" i="1" s="1"/>
  <c r="B957" i="1"/>
  <c r="E957" i="1" s="1"/>
  <c r="N957" i="1"/>
  <c r="O957" i="1" s="1"/>
  <c r="B958" i="1"/>
  <c r="G958" i="1" s="1"/>
  <c r="N958" i="1"/>
  <c r="P958" i="1" s="1"/>
  <c r="B959" i="1"/>
  <c r="N959" i="1"/>
  <c r="O959" i="1" s="1"/>
  <c r="B960" i="1"/>
  <c r="C960" i="1" s="1"/>
  <c r="N960" i="1"/>
  <c r="O960" i="1" s="1"/>
  <c r="B961" i="1"/>
  <c r="G961" i="1" s="1"/>
  <c r="N961" i="1"/>
  <c r="B962" i="1"/>
  <c r="G962" i="1" s="1"/>
  <c r="N962" i="1"/>
  <c r="P962" i="1" s="1"/>
  <c r="B963" i="1"/>
  <c r="C963" i="1" s="1"/>
  <c r="N963" i="1"/>
  <c r="O963" i="1" s="1"/>
  <c r="B964" i="1"/>
  <c r="D964" i="1" s="1"/>
  <c r="N964" i="1"/>
  <c r="Q964" i="1" s="1"/>
  <c r="B965" i="1"/>
  <c r="G965" i="1" s="1"/>
  <c r="N965" i="1"/>
  <c r="O965" i="1" s="1"/>
  <c r="B966" i="1"/>
  <c r="E966" i="1" s="1"/>
  <c r="N966" i="1"/>
  <c r="P966" i="1" s="1"/>
  <c r="B967" i="1"/>
  <c r="C967" i="1" s="1"/>
  <c r="N967" i="1"/>
  <c r="B968" i="1"/>
  <c r="F968" i="1" s="1"/>
  <c r="N968" i="1"/>
  <c r="B969" i="1"/>
  <c r="G969" i="1" s="1"/>
  <c r="N969" i="1"/>
  <c r="B970" i="1"/>
  <c r="N970" i="1"/>
  <c r="P970" i="1" s="1"/>
  <c r="B971" i="1"/>
  <c r="C971" i="1" s="1"/>
  <c r="N971" i="1"/>
  <c r="O971" i="1" s="1"/>
  <c r="B972" i="1"/>
  <c r="F972" i="1" s="1"/>
  <c r="N972" i="1"/>
  <c r="Q972" i="1" s="1"/>
  <c r="B973" i="1"/>
  <c r="G973" i="1" s="1"/>
  <c r="N973" i="1"/>
  <c r="B974" i="1"/>
  <c r="F974" i="1" s="1"/>
  <c r="N974" i="1"/>
  <c r="P974" i="1" s="1"/>
  <c r="B975" i="1"/>
  <c r="N975" i="1"/>
  <c r="B976" i="1"/>
  <c r="F976" i="1" s="1"/>
  <c r="N976" i="1"/>
  <c r="P976" i="1" s="1"/>
  <c r="B977" i="1"/>
  <c r="G977" i="1" s="1"/>
  <c r="N977" i="1"/>
  <c r="B978" i="1"/>
  <c r="I978" i="1" s="1"/>
  <c r="N978" i="1"/>
  <c r="P978" i="1" s="1"/>
  <c r="B979" i="1"/>
  <c r="C979" i="1" s="1"/>
  <c r="N979" i="1"/>
  <c r="O979" i="1" s="1"/>
  <c r="B980" i="1"/>
  <c r="F980" i="1" s="1"/>
  <c r="N980" i="1"/>
  <c r="P980" i="1" s="1"/>
  <c r="B981" i="1"/>
  <c r="G981" i="1" s="1"/>
  <c r="N981" i="1"/>
  <c r="O981" i="1" s="1"/>
  <c r="B982" i="1"/>
  <c r="I982" i="1" s="1"/>
  <c r="N982" i="1"/>
  <c r="P982" i="1" s="1"/>
  <c r="B983" i="1"/>
  <c r="C983" i="1" s="1"/>
  <c r="N983" i="1"/>
  <c r="O983" i="1" s="1"/>
  <c r="B984" i="1"/>
  <c r="F984" i="1" s="1"/>
  <c r="N984" i="1"/>
  <c r="O984" i="1" s="1"/>
  <c r="B985" i="1"/>
  <c r="G985" i="1" s="1"/>
  <c r="N985" i="1"/>
  <c r="P985" i="1" s="1"/>
  <c r="B986" i="1"/>
  <c r="E986" i="1" s="1"/>
  <c r="N986" i="1"/>
  <c r="P986" i="1" s="1"/>
  <c r="B987" i="1"/>
  <c r="C987" i="1" s="1"/>
  <c r="N987" i="1"/>
  <c r="O987" i="1" s="1"/>
  <c r="B988" i="1"/>
  <c r="F988" i="1" s="1"/>
  <c r="N988" i="1"/>
  <c r="P988" i="1" s="1"/>
  <c r="B989" i="1"/>
  <c r="G989" i="1" s="1"/>
  <c r="N989" i="1"/>
  <c r="O989" i="1" s="1"/>
  <c r="B990" i="1"/>
  <c r="G990" i="1" s="1"/>
  <c r="N990" i="1"/>
  <c r="P990" i="1" s="1"/>
  <c r="B991" i="1"/>
  <c r="F991" i="1"/>
  <c r="N991" i="1"/>
  <c r="O991" i="1" s="1"/>
  <c r="B992" i="1"/>
  <c r="F992" i="1" s="1"/>
  <c r="N992" i="1"/>
  <c r="B993" i="1"/>
  <c r="G993" i="1" s="1"/>
  <c r="N993" i="1"/>
  <c r="B994" i="1"/>
  <c r="F994" i="1" s="1"/>
  <c r="I994" i="1"/>
  <c r="N994" i="1"/>
  <c r="O994" i="1" s="1"/>
  <c r="B995" i="1"/>
  <c r="N995" i="1"/>
  <c r="P995" i="1" s="1"/>
  <c r="B996" i="1"/>
  <c r="G996" i="1" s="1"/>
  <c r="N996" i="1"/>
  <c r="B997" i="1"/>
  <c r="G997" i="1" s="1"/>
  <c r="N997" i="1"/>
  <c r="B998" i="1"/>
  <c r="D998" i="1" s="1"/>
  <c r="N998" i="1"/>
  <c r="Q998" i="1" s="1"/>
  <c r="B999" i="1"/>
  <c r="C999" i="1" s="1"/>
  <c r="N999" i="1"/>
  <c r="O999" i="1" s="1"/>
  <c r="B1000" i="1"/>
  <c r="F1000" i="1" s="1"/>
  <c r="N1000" i="1"/>
  <c r="P1000" i="1" s="1"/>
  <c r="B1001" i="1"/>
  <c r="G1001" i="1" s="1"/>
  <c r="N1001" i="1"/>
  <c r="O1001" i="1" s="1"/>
  <c r="B1002" i="1"/>
  <c r="F1002" i="1" s="1"/>
  <c r="N1002" i="1"/>
  <c r="P1002" i="1" s="1"/>
  <c r="B1003" i="1"/>
  <c r="C1003" i="1" s="1"/>
  <c r="N1003" i="1"/>
  <c r="B1004" i="1"/>
  <c r="F1004" i="1" s="1"/>
  <c r="N1004" i="1"/>
  <c r="O1004" i="1" s="1"/>
  <c r="B1005" i="1"/>
  <c r="G1005" i="1" s="1"/>
  <c r="I1005" i="1"/>
  <c r="N1005" i="1"/>
  <c r="B1006" i="1"/>
  <c r="N1006" i="1"/>
  <c r="P1006" i="1" s="1"/>
  <c r="B1007" i="1"/>
  <c r="C1007" i="1" s="1"/>
  <c r="N1007" i="1"/>
  <c r="O1007" i="1" s="1"/>
  <c r="B1008" i="1"/>
  <c r="F1008" i="1" s="1"/>
  <c r="N1008" i="1"/>
  <c r="O1008" i="1" s="1"/>
  <c r="P1008" i="1"/>
  <c r="B1009" i="1"/>
  <c r="G1009" i="1" s="1"/>
  <c r="N1009" i="1"/>
  <c r="P1009" i="1" s="1"/>
  <c r="B1010" i="1"/>
  <c r="I1010" i="1" s="1"/>
  <c r="N1010" i="1"/>
  <c r="P1010" i="1" s="1"/>
  <c r="B1011" i="1"/>
  <c r="C1011" i="1" s="1"/>
  <c r="N1011" i="1"/>
  <c r="P1011" i="1" s="1"/>
  <c r="B1012" i="1"/>
  <c r="F1012" i="1" s="1"/>
  <c r="N1012" i="1"/>
  <c r="O1012" i="1" s="1"/>
  <c r="B1013" i="1"/>
  <c r="G1013" i="1" s="1"/>
  <c r="N1013" i="1"/>
  <c r="B1014" i="1"/>
  <c r="F1014" i="1" s="1"/>
  <c r="N1014" i="1"/>
  <c r="P1014" i="1" s="1"/>
  <c r="B1015" i="1"/>
  <c r="C1015" i="1" s="1"/>
  <c r="N1015" i="1"/>
  <c r="B1016" i="1"/>
  <c r="F1016" i="1" s="1"/>
  <c r="N1016" i="1"/>
  <c r="B1017" i="1"/>
  <c r="G1017" i="1" s="1"/>
  <c r="N1017" i="1"/>
  <c r="P1017" i="1" s="1"/>
  <c r="B1018" i="1"/>
  <c r="E1018" i="1" s="1"/>
  <c r="N1018" i="1"/>
  <c r="P1018" i="1" s="1"/>
  <c r="B1019" i="1"/>
  <c r="C1019" i="1" s="1"/>
  <c r="N1019" i="1"/>
  <c r="O1019" i="1" s="1"/>
  <c r="B1020" i="1"/>
  <c r="F1020" i="1" s="1"/>
  <c r="N1020" i="1"/>
  <c r="B1021" i="1"/>
  <c r="G1021" i="1" s="1"/>
  <c r="N1021" i="1"/>
  <c r="O1021" i="1" s="1"/>
  <c r="B1022" i="1"/>
  <c r="I1022" i="1" s="1"/>
  <c r="N1022" i="1"/>
  <c r="P1022" i="1" s="1"/>
  <c r="B1023" i="1"/>
  <c r="C1023" i="1" s="1"/>
  <c r="N1023" i="1"/>
  <c r="B1024" i="1"/>
  <c r="F1024" i="1" s="1"/>
  <c r="N1024" i="1"/>
  <c r="P1024" i="1" s="1"/>
  <c r="B1025" i="1"/>
  <c r="G1025" i="1" s="1"/>
  <c r="N1025" i="1"/>
  <c r="B1026" i="1"/>
  <c r="G1026" i="1" s="1"/>
  <c r="N1026" i="1"/>
  <c r="P1026" i="1" s="1"/>
  <c r="B1027" i="1"/>
  <c r="C1027" i="1" s="1"/>
  <c r="N1027" i="1"/>
  <c r="O1027" i="1" s="1"/>
  <c r="B1028" i="1"/>
  <c r="F1028" i="1" s="1"/>
  <c r="N1028" i="1"/>
  <c r="Q1028" i="1" s="1"/>
  <c r="B1029" i="1"/>
  <c r="G1029" i="1" s="1"/>
  <c r="N1029" i="1"/>
  <c r="O1029" i="1" s="1"/>
  <c r="B1030" i="1"/>
  <c r="E1030" i="1" s="1"/>
  <c r="N1030" i="1"/>
  <c r="P1030" i="1" s="1"/>
  <c r="B1031" i="1"/>
  <c r="C1031" i="1" s="1"/>
  <c r="F1031" i="1"/>
  <c r="N1031" i="1"/>
  <c r="O1031" i="1" s="1"/>
  <c r="B1032" i="1"/>
  <c r="F1032" i="1" s="1"/>
  <c r="N1032" i="1"/>
  <c r="B1033" i="1"/>
  <c r="G1033" i="1" s="1"/>
  <c r="N1033" i="1"/>
  <c r="P1033" i="1" s="1"/>
  <c r="B1034" i="1"/>
  <c r="C1034" i="1" s="1"/>
  <c r="N1034" i="1"/>
  <c r="P1034" i="1" s="1"/>
  <c r="B1035" i="1"/>
  <c r="C1035" i="1" s="1"/>
  <c r="N1035" i="1"/>
  <c r="O1035" i="1" s="1"/>
  <c r="B1036" i="1"/>
  <c r="F1036" i="1" s="1"/>
  <c r="N1036" i="1"/>
  <c r="B1037" i="1"/>
  <c r="G1037" i="1" s="1"/>
  <c r="N1037" i="1"/>
  <c r="B1038" i="1"/>
  <c r="G1038" i="1" s="1"/>
  <c r="N1038" i="1"/>
  <c r="P1038" i="1" s="1"/>
  <c r="B1039" i="1"/>
  <c r="C1039" i="1" s="1"/>
  <c r="N1039" i="1"/>
  <c r="O1039" i="1" s="1"/>
  <c r="B1040" i="1"/>
  <c r="F1040" i="1" s="1"/>
  <c r="N1040" i="1"/>
  <c r="P1040" i="1" s="1"/>
  <c r="B1041" i="1"/>
  <c r="G1041" i="1" s="1"/>
  <c r="N1041" i="1"/>
  <c r="B1042" i="1"/>
  <c r="F1042" i="1" s="1"/>
  <c r="N1042" i="1"/>
  <c r="O1042" i="1" s="1"/>
  <c r="B1043" i="1"/>
  <c r="C1043" i="1" s="1"/>
  <c r="N1043" i="1"/>
  <c r="B1044" i="1"/>
  <c r="F1044" i="1" s="1"/>
  <c r="N1044" i="1"/>
  <c r="Q1044" i="1" s="1"/>
  <c r="B1045" i="1"/>
  <c r="G1045" i="1" s="1"/>
  <c r="N1045" i="1"/>
  <c r="B1046" i="1"/>
  <c r="I1046" i="1" s="1"/>
  <c r="N1046" i="1"/>
  <c r="P1046" i="1" s="1"/>
  <c r="B1047" i="1"/>
  <c r="C1047" i="1" s="1"/>
  <c r="N1047" i="1"/>
  <c r="O1047" i="1" s="1"/>
  <c r="B1048" i="1"/>
  <c r="F1048" i="1" s="1"/>
  <c r="N1048" i="1"/>
  <c r="Q1048" i="1" s="1"/>
  <c r="B1049" i="1"/>
  <c r="N1049" i="1"/>
  <c r="O1049" i="1" s="1"/>
  <c r="B1050" i="1"/>
  <c r="I1050" i="1" s="1"/>
  <c r="N1050" i="1"/>
  <c r="P1050" i="1" s="1"/>
  <c r="B1051" i="1"/>
  <c r="C1051" i="1" s="1"/>
  <c r="N1051" i="1"/>
  <c r="O1051" i="1" s="1"/>
  <c r="B1052" i="1"/>
  <c r="I1052" i="1" s="1"/>
  <c r="N1052" i="1"/>
  <c r="B1053" i="1"/>
  <c r="I1053" i="1" s="1"/>
  <c r="N1053" i="1"/>
  <c r="B1054" i="1"/>
  <c r="D1054" i="1" s="1"/>
  <c r="N1054" i="1"/>
  <c r="P1054" i="1" s="1"/>
  <c r="B1055" i="1"/>
  <c r="C1055" i="1" s="1"/>
  <c r="N1055" i="1"/>
  <c r="P1055" i="1" s="1"/>
  <c r="B1056" i="1"/>
  <c r="F1056" i="1" s="1"/>
  <c r="N1056" i="1"/>
  <c r="B1057" i="1"/>
  <c r="E1057" i="1" s="1"/>
  <c r="N1057" i="1"/>
  <c r="B1058" i="1"/>
  <c r="I1058" i="1" s="1"/>
  <c r="N1058" i="1"/>
  <c r="P1058" i="1" s="1"/>
  <c r="B1059" i="1"/>
  <c r="N1059" i="1"/>
  <c r="O1059" i="1" s="1"/>
  <c r="B1060" i="1"/>
  <c r="F1060" i="1" s="1"/>
  <c r="N1060" i="1"/>
  <c r="O1060" i="1" s="1"/>
  <c r="P1060" i="1"/>
  <c r="B1061" i="1"/>
  <c r="N1061" i="1"/>
  <c r="O1061" i="1" s="1"/>
  <c r="B1062" i="1"/>
  <c r="G1062" i="1" s="1"/>
  <c r="N1062" i="1"/>
  <c r="Q1062" i="1" s="1"/>
  <c r="B1063" i="1"/>
  <c r="F1063" i="1" s="1"/>
  <c r="N1063" i="1"/>
  <c r="B1064" i="1"/>
  <c r="F1064" i="1" s="1"/>
  <c r="N1064" i="1"/>
  <c r="Q1064" i="1" s="1"/>
  <c r="B1065" i="1"/>
  <c r="E1065" i="1" s="1"/>
  <c r="N1065" i="1"/>
  <c r="B1066" i="1"/>
  <c r="F1066" i="1" s="1"/>
  <c r="N1066" i="1"/>
  <c r="P1066" i="1" s="1"/>
  <c r="B1067" i="1"/>
  <c r="I1067" i="1" s="1"/>
  <c r="E1067" i="1"/>
  <c r="N1067" i="1"/>
  <c r="O1067" i="1" s="1"/>
  <c r="B1068" i="1"/>
  <c r="F1068" i="1" s="1"/>
  <c r="N1068" i="1"/>
  <c r="B1069" i="1"/>
  <c r="G1069" i="1" s="1"/>
  <c r="N1069" i="1"/>
  <c r="Q1069" i="1" s="1"/>
  <c r="B1070" i="1"/>
  <c r="C1070" i="1" s="1"/>
  <c r="N1070" i="1"/>
  <c r="P1070" i="1" s="1"/>
  <c r="B1071" i="1"/>
  <c r="N1071" i="1"/>
  <c r="O1071" i="1" s="1"/>
  <c r="B1072" i="1"/>
  <c r="F1072" i="1" s="1"/>
  <c r="N1072" i="1"/>
  <c r="Q1072" i="1" s="1"/>
  <c r="B1073" i="1"/>
  <c r="I1073" i="1" s="1"/>
  <c r="N1073" i="1"/>
  <c r="O1073" i="1" s="1"/>
  <c r="B1074" i="1"/>
  <c r="N1074" i="1"/>
  <c r="P1074" i="1" s="1"/>
  <c r="B1075" i="1"/>
  <c r="I1075" i="1" s="1"/>
  <c r="N1075" i="1"/>
  <c r="B1076" i="1"/>
  <c r="G1076" i="1" s="1"/>
  <c r="N1076" i="1"/>
  <c r="B1077" i="1"/>
  <c r="N1077" i="1"/>
  <c r="B1078" i="1"/>
  <c r="I1078" i="1" s="1"/>
  <c r="N1078" i="1"/>
  <c r="P1078" i="1" s="1"/>
  <c r="B1079" i="1"/>
  <c r="E1079" i="1" s="1"/>
  <c r="N1079" i="1"/>
  <c r="P1079" i="1" s="1"/>
  <c r="B1080" i="1"/>
  <c r="F1080" i="1" s="1"/>
  <c r="N1080" i="1"/>
  <c r="O1080" i="1" s="1"/>
  <c r="B1081" i="1"/>
  <c r="E1081" i="1" s="1"/>
  <c r="N1081" i="1"/>
  <c r="O1081" i="1" s="1"/>
  <c r="B1082" i="1"/>
  <c r="F1082" i="1" s="1"/>
  <c r="N1082" i="1"/>
  <c r="P1082" i="1" s="1"/>
  <c r="B1083" i="1"/>
  <c r="C1083" i="1" s="1"/>
  <c r="N1083" i="1"/>
  <c r="B1084" i="1"/>
  <c r="F1084" i="1" s="1"/>
  <c r="N1084" i="1"/>
  <c r="Q1084" i="1" s="1"/>
  <c r="B1085" i="1"/>
  <c r="G1085" i="1" s="1"/>
  <c r="N1085" i="1"/>
  <c r="Q1085" i="1" s="1"/>
  <c r="B1086" i="1"/>
  <c r="N1086" i="1"/>
  <c r="P1086" i="1" s="1"/>
  <c r="B1087" i="1"/>
  <c r="N1087" i="1"/>
  <c r="B1088" i="1"/>
  <c r="F1088" i="1" s="1"/>
  <c r="N1088" i="1"/>
  <c r="Q1088" i="1" s="1"/>
  <c r="B1089" i="1"/>
  <c r="N1089" i="1"/>
  <c r="O1089" i="1" s="1"/>
  <c r="B1090" i="1"/>
  <c r="I1090" i="1" s="1"/>
  <c r="N1090" i="1"/>
  <c r="P1090" i="1" s="1"/>
  <c r="B1091" i="1"/>
  <c r="I1091" i="1" s="1"/>
  <c r="N1091" i="1"/>
  <c r="O1091" i="1" s="1"/>
  <c r="B1092" i="1"/>
  <c r="F1092" i="1" s="1"/>
  <c r="N1092" i="1"/>
  <c r="B1093" i="1"/>
  <c r="N1093" i="1"/>
  <c r="O1093" i="1" s="1"/>
  <c r="B1094" i="1"/>
  <c r="F1094" i="1" s="1"/>
  <c r="N1094" i="1"/>
  <c r="Q1094" i="1" s="1"/>
  <c r="B1095" i="1"/>
  <c r="E1095" i="1" s="1"/>
  <c r="N1095" i="1"/>
  <c r="B1096" i="1"/>
  <c r="N1096" i="1"/>
  <c r="O1096" i="1" s="1"/>
  <c r="B1097" i="1"/>
  <c r="E1097" i="1" s="1"/>
  <c r="N1097" i="1"/>
  <c r="B1098" i="1"/>
  <c r="E1098" i="1" s="1"/>
  <c r="N1098" i="1"/>
  <c r="P1098" i="1" s="1"/>
  <c r="B1099" i="1"/>
  <c r="C1099" i="1" s="1"/>
  <c r="N1099" i="1"/>
  <c r="P1099" i="1" s="1"/>
  <c r="B1100" i="1"/>
  <c r="F1100" i="1" s="1"/>
  <c r="N1100" i="1"/>
  <c r="Q1100" i="1" s="1"/>
  <c r="B1101" i="1"/>
  <c r="G1101" i="1" s="1"/>
  <c r="N1101" i="1"/>
  <c r="Q1101" i="1" s="1"/>
  <c r="B1102" i="1"/>
  <c r="N1102" i="1"/>
  <c r="P1102" i="1" s="1"/>
  <c r="B1103" i="1"/>
  <c r="N1103" i="1"/>
  <c r="O1103" i="1" s="1"/>
  <c r="B1104" i="1"/>
  <c r="F1104" i="1" s="1"/>
  <c r="N1104" i="1"/>
  <c r="P1104" i="1" s="1"/>
  <c r="B1105" i="1"/>
  <c r="I1105" i="1" s="1"/>
  <c r="N1105" i="1"/>
  <c r="P1105" i="1" s="1"/>
  <c r="B1106" i="1"/>
  <c r="I1106" i="1" s="1"/>
  <c r="N1106" i="1"/>
  <c r="P1106" i="1" s="1"/>
  <c r="B1107" i="1"/>
  <c r="I1107" i="1" s="1"/>
  <c r="N1107" i="1"/>
  <c r="B1108" i="1"/>
  <c r="F1108" i="1" s="1"/>
  <c r="N1108" i="1"/>
  <c r="B1109" i="1"/>
  <c r="N1109" i="1"/>
  <c r="O1109" i="1" s="1"/>
  <c r="B1110" i="1"/>
  <c r="G1110" i="1" s="1"/>
  <c r="N1110" i="1"/>
  <c r="P1110" i="1" s="1"/>
  <c r="B1111" i="1"/>
  <c r="E1111" i="1" s="1"/>
  <c r="N1111" i="1"/>
  <c r="B1112" i="1"/>
  <c r="F1112" i="1" s="1"/>
  <c r="N1112" i="1"/>
  <c r="P1112" i="1" s="1"/>
  <c r="B1113" i="1"/>
  <c r="E1113" i="1" s="1"/>
  <c r="N1113" i="1"/>
  <c r="B1114" i="1"/>
  <c r="N1114" i="1"/>
  <c r="P1114" i="1" s="1"/>
  <c r="B1115" i="1"/>
  <c r="C1115" i="1" s="1"/>
  <c r="N1115" i="1"/>
  <c r="B1116" i="1"/>
  <c r="F1116" i="1" s="1"/>
  <c r="N1116" i="1"/>
  <c r="Q1116" i="1" s="1"/>
  <c r="B1117" i="1"/>
  <c r="G1117" i="1" s="1"/>
  <c r="N1117" i="1"/>
  <c r="B1118" i="1"/>
  <c r="C1118" i="1" s="1"/>
  <c r="N1118" i="1"/>
  <c r="P1118" i="1" s="1"/>
  <c r="B1119" i="1"/>
  <c r="N1119" i="1"/>
  <c r="O1119" i="1" s="1"/>
  <c r="B1120" i="1"/>
  <c r="F1120" i="1" s="1"/>
  <c r="N1120" i="1"/>
  <c r="P1120" i="1" s="1"/>
  <c r="B1121" i="1"/>
  <c r="I1121" i="1" s="1"/>
  <c r="N1121" i="1"/>
  <c r="P1121" i="1" s="1"/>
  <c r="B1122" i="1"/>
  <c r="C1122" i="1" s="1"/>
  <c r="N1122" i="1"/>
  <c r="P1122" i="1" s="1"/>
  <c r="B1123" i="1"/>
  <c r="I1123" i="1" s="1"/>
  <c r="N1123" i="1"/>
  <c r="B1124" i="1"/>
  <c r="F1124" i="1" s="1"/>
  <c r="N1124" i="1"/>
  <c r="B1125" i="1"/>
  <c r="N1125" i="1"/>
  <c r="B1126" i="1"/>
  <c r="I1126" i="1" s="1"/>
  <c r="N1126" i="1"/>
  <c r="P1126" i="1" s="1"/>
  <c r="B1127" i="1"/>
  <c r="E1127" i="1" s="1"/>
  <c r="N1127" i="1"/>
  <c r="P1127" i="1" s="1"/>
  <c r="B1128" i="1"/>
  <c r="F1128" i="1" s="1"/>
  <c r="N1128" i="1"/>
  <c r="P1128" i="1" s="1"/>
  <c r="B1129" i="1"/>
  <c r="E1129" i="1" s="1"/>
  <c r="N1129" i="1"/>
  <c r="O1129" i="1" s="1"/>
  <c r="B1130" i="1"/>
  <c r="D1130" i="1" s="1"/>
  <c r="N1130" i="1"/>
  <c r="P1130" i="1" s="1"/>
  <c r="B1131" i="1"/>
  <c r="C1131" i="1" s="1"/>
  <c r="N1131" i="1"/>
  <c r="B1132" i="1"/>
  <c r="F1132" i="1" s="1"/>
  <c r="N1132" i="1"/>
  <c r="Q1132" i="1" s="1"/>
  <c r="B1133" i="1"/>
  <c r="G1133" i="1" s="1"/>
  <c r="N1133" i="1"/>
  <c r="Q1133" i="1" s="1"/>
  <c r="B1134" i="1"/>
  <c r="C1134" i="1" s="1"/>
  <c r="N1134" i="1"/>
  <c r="P1134" i="1" s="1"/>
  <c r="B1135" i="1"/>
  <c r="N1135" i="1"/>
  <c r="B1136" i="1"/>
  <c r="F1136" i="1" s="1"/>
  <c r="N1136" i="1"/>
  <c r="P1136" i="1" s="1"/>
  <c r="B1137" i="1"/>
  <c r="I1137" i="1" s="1"/>
  <c r="N1137" i="1"/>
  <c r="O1137" i="1" s="1"/>
  <c r="B1138" i="1"/>
  <c r="C1138" i="1" s="1"/>
  <c r="N1138" i="1"/>
  <c r="P1138" i="1" s="1"/>
  <c r="B1139" i="1"/>
  <c r="I1139" i="1" s="1"/>
  <c r="N1139" i="1"/>
  <c r="B1140" i="1"/>
  <c r="F1140" i="1" s="1"/>
  <c r="N1140" i="1"/>
  <c r="Q1140" i="1" s="1"/>
  <c r="B1141" i="1"/>
  <c r="N1141" i="1"/>
  <c r="O1141" i="1" s="1"/>
  <c r="B1142" i="1"/>
  <c r="I1142" i="1" s="1"/>
  <c r="N1142" i="1"/>
  <c r="P1142" i="1" s="1"/>
  <c r="B1143" i="1"/>
  <c r="E1143" i="1" s="1"/>
  <c r="N1143" i="1"/>
  <c r="B1144" i="1"/>
  <c r="F1144" i="1" s="1"/>
  <c r="N1144" i="1"/>
  <c r="P1144" i="1" s="1"/>
  <c r="B1145" i="1"/>
  <c r="E1145" i="1" s="1"/>
  <c r="N1145" i="1"/>
  <c r="B1146" i="1"/>
  <c r="I1146" i="1"/>
  <c r="N1146" i="1"/>
  <c r="P1146" i="1" s="1"/>
  <c r="B1147" i="1"/>
  <c r="C1147" i="1" s="1"/>
  <c r="N1147" i="1"/>
  <c r="O1147" i="1" s="1"/>
  <c r="B1148" i="1"/>
  <c r="F1148" i="1" s="1"/>
  <c r="N1148" i="1"/>
  <c r="Q1148" i="1" s="1"/>
  <c r="B1149" i="1"/>
  <c r="G1149" i="1" s="1"/>
  <c r="N1149" i="1"/>
  <c r="Q1149" i="1" s="1"/>
  <c r="P1149" i="1"/>
  <c r="B1150" i="1"/>
  <c r="C1150" i="1" s="1"/>
  <c r="N1150" i="1"/>
  <c r="P1150" i="1" s="1"/>
  <c r="B1151" i="1"/>
  <c r="N1151" i="1"/>
  <c r="O1151" i="1" s="1"/>
  <c r="B1152" i="1"/>
  <c r="F1152" i="1" s="1"/>
  <c r="N1152" i="1"/>
  <c r="P1152" i="1" s="1"/>
  <c r="B1153" i="1"/>
  <c r="I1153" i="1" s="1"/>
  <c r="N1153" i="1"/>
  <c r="B1154" i="1"/>
  <c r="N1154" i="1"/>
  <c r="P1154" i="1" s="1"/>
  <c r="B1155" i="1"/>
  <c r="I1155" i="1" s="1"/>
  <c r="N1155" i="1"/>
  <c r="O1155" i="1" s="1"/>
  <c r="B1156" i="1"/>
  <c r="F1156" i="1" s="1"/>
  <c r="N1156" i="1"/>
  <c r="Q1156" i="1" s="1"/>
  <c r="B1157" i="1"/>
  <c r="N1157" i="1"/>
  <c r="P1157" i="1" s="1"/>
  <c r="B1158" i="1"/>
  <c r="I1158" i="1" s="1"/>
  <c r="N1158" i="1"/>
  <c r="P1158" i="1" s="1"/>
  <c r="B1159" i="1"/>
  <c r="E1159" i="1" s="1"/>
  <c r="N1159" i="1"/>
  <c r="O1159" i="1" s="1"/>
  <c r="B1160" i="1"/>
  <c r="F1160" i="1" s="1"/>
  <c r="N1160" i="1"/>
  <c r="P1160" i="1" s="1"/>
  <c r="B1161" i="1"/>
  <c r="E1161" i="1" s="1"/>
  <c r="N1161" i="1"/>
  <c r="B1162" i="1"/>
  <c r="D1162" i="1" s="1"/>
  <c r="N1162" i="1"/>
  <c r="P1162" i="1" s="1"/>
  <c r="B1163" i="1"/>
  <c r="C1163" i="1" s="1"/>
  <c r="N1163" i="1"/>
  <c r="O1163" i="1" s="1"/>
  <c r="B1164" i="1"/>
  <c r="F1164" i="1" s="1"/>
  <c r="N1164" i="1"/>
  <c r="B1165" i="1"/>
  <c r="G1165" i="1" s="1"/>
  <c r="N1165" i="1"/>
  <c r="Q1165" i="1" s="1"/>
  <c r="B1166" i="1"/>
  <c r="C1166" i="1" s="1"/>
  <c r="N1166" i="1"/>
  <c r="P1166" i="1" s="1"/>
  <c r="B1167" i="1"/>
  <c r="N1167" i="1"/>
  <c r="B1168" i="1"/>
  <c r="F1168" i="1" s="1"/>
  <c r="N1168" i="1"/>
  <c r="P1168" i="1" s="1"/>
  <c r="B1169" i="1"/>
  <c r="I1169" i="1" s="1"/>
  <c r="N1169" i="1"/>
  <c r="O1169" i="1" s="1"/>
  <c r="B1170" i="1"/>
  <c r="C1170" i="1" s="1"/>
  <c r="N1170" i="1"/>
  <c r="P1170" i="1" s="1"/>
  <c r="B1171" i="1"/>
  <c r="I1171" i="1" s="1"/>
  <c r="N1171" i="1"/>
  <c r="B1172" i="1"/>
  <c r="F1172" i="1" s="1"/>
  <c r="N1172" i="1"/>
  <c r="P1172" i="1" s="1"/>
  <c r="B1173" i="1"/>
  <c r="N1173" i="1"/>
  <c r="O1173" i="1" s="1"/>
  <c r="B1174" i="1"/>
  <c r="I1174" i="1" s="1"/>
  <c r="E1174" i="1"/>
  <c r="F1174" i="1"/>
  <c r="N1174" i="1"/>
  <c r="P1174" i="1" s="1"/>
  <c r="B1175" i="1"/>
  <c r="E1175" i="1" s="1"/>
  <c r="N1175" i="1"/>
  <c r="B1176" i="1"/>
  <c r="F1176" i="1" s="1"/>
  <c r="N1176" i="1"/>
  <c r="P1176" i="1" s="1"/>
  <c r="B1177" i="1"/>
  <c r="E1177" i="1" s="1"/>
  <c r="N1177" i="1"/>
  <c r="O1177" i="1" s="1"/>
  <c r="B1178" i="1"/>
  <c r="N1178" i="1"/>
  <c r="P1178" i="1" s="1"/>
  <c r="B1179" i="1"/>
  <c r="C1179" i="1" s="1"/>
  <c r="N1179" i="1"/>
  <c r="B1180" i="1"/>
  <c r="F1180" i="1" s="1"/>
  <c r="N1180" i="1"/>
  <c r="B1181" i="1"/>
  <c r="G1181" i="1" s="1"/>
  <c r="N1181" i="1"/>
  <c r="B1182" i="1"/>
  <c r="C1182" i="1" s="1"/>
  <c r="N1182" i="1"/>
  <c r="P1182" i="1" s="1"/>
  <c r="B1183" i="1"/>
  <c r="N1183" i="1"/>
  <c r="O1183" i="1" s="1"/>
  <c r="B1184" i="1"/>
  <c r="F1184" i="1" s="1"/>
  <c r="N1184" i="1"/>
  <c r="P1184" i="1" s="1"/>
  <c r="B1185" i="1"/>
  <c r="D1185" i="1" s="1"/>
  <c r="N1185" i="1"/>
  <c r="B1186" i="1"/>
  <c r="D1186" i="1" s="1"/>
  <c r="N1186" i="1"/>
  <c r="P1186" i="1" s="1"/>
  <c r="B1187" i="1"/>
  <c r="D1187" i="1" s="1"/>
  <c r="N1187" i="1"/>
  <c r="O1187" i="1" s="1"/>
  <c r="B1188" i="1"/>
  <c r="F1188" i="1" s="1"/>
  <c r="N1188" i="1"/>
  <c r="Q1188" i="1" s="1"/>
  <c r="B1189" i="1"/>
  <c r="D1189" i="1" s="1"/>
  <c r="N1189" i="1"/>
  <c r="O1189" i="1" s="1"/>
  <c r="B1190" i="1"/>
  <c r="E1190" i="1" s="1"/>
  <c r="N1190" i="1"/>
  <c r="P1190" i="1" s="1"/>
  <c r="B1191" i="1"/>
  <c r="D1191" i="1" s="1"/>
  <c r="N1191" i="1"/>
  <c r="O1191" i="1" s="1"/>
  <c r="B1192" i="1"/>
  <c r="F1192" i="1" s="1"/>
  <c r="N1192" i="1"/>
  <c r="P1192" i="1" s="1"/>
  <c r="B1193" i="1"/>
  <c r="D1193" i="1" s="1"/>
  <c r="N1193" i="1"/>
  <c r="B1194" i="1"/>
  <c r="C1194" i="1" s="1"/>
  <c r="N1194" i="1"/>
  <c r="Q1194" i="1" s="1"/>
  <c r="B1195" i="1"/>
  <c r="D1195" i="1" s="1"/>
  <c r="N1195" i="1"/>
  <c r="B1196" i="1"/>
  <c r="F1196" i="1" s="1"/>
  <c r="N1196" i="1"/>
  <c r="Q1196" i="1" s="1"/>
  <c r="B1197" i="1"/>
  <c r="D1197" i="1" s="1"/>
  <c r="N1197" i="1"/>
  <c r="O1197" i="1" s="1"/>
  <c r="B1198" i="1"/>
  <c r="G1198" i="1" s="1"/>
  <c r="N1198" i="1"/>
  <c r="P1198" i="1" s="1"/>
  <c r="B1199" i="1"/>
  <c r="D1199" i="1" s="1"/>
  <c r="N1199" i="1"/>
  <c r="B1200" i="1"/>
  <c r="F1200" i="1" s="1"/>
  <c r="N1200" i="1"/>
  <c r="P1200" i="1" s="1"/>
  <c r="B1201" i="1"/>
  <c r="D1201" i="1" s="1"/>
  <c r="N1201" i="1"/>
  <c r="O1201" i="1" s="1"/>
  <c r="B1202" i="1"/>
  <c r="E1202" i="1" s="1"/>
  <c r="N1202" i="1"/>
  <c r="P1202" i="1" s="1"/>
  <c r="B1203" i="1"/>
  <c r="D1203" i="1" s="1"/>
  <c r="N1203" i="1"/>
  <c r="B1204" i="1"/>
  <c r="D1204" i="1" s="1"/>
  <c r="N1204" i="1"/>
  <c r="Q1204" i="1" s="1"/>
  <c r="B1205" i="1"/>
  <c r="D1205" i="1" s="1"/>
  <c r="N1205" i="1"/>
  <c r="Q1205" i="1" s="1"/>
  <c r="B1206" i="1"/>
  <c r="G1206" i="1" s="1"/>
  <c r="N1206" i="1"/>
  <c r="P1206" i="1" s="1"/>
  <c r="B1207" i="1"/>
  <c r="D1207" i="1" s="1"/>
  <c r="N1207" i="1"/>
  <c r="P1207" i="1" s="1"/>
  <c r="B1208" i="1"/>
  <c r="F1208" i="1" s="1"/>
  <c r="N1208" i="1"/>
  <c r="P1208" i="1" s="1"/>
  <c r="B1209" i="1"/>
  <c r="D1209" i="1" s="1"/>
  <c r="N1209" i="1"/>
  <c r="B1210" i="1"/>
  <c r="E1210" i="1" s="1"/>
  <c r="N1210" i="1"/>
  <c r="P1210" i="1" s="1"/>
  <c r="B1211" i="1"/>
  <c r="D1211" i="1" s="1"/>
  <c r="N1211" i="1"/>
  <c r="B1212" i="1"/>
  <c r="N1212" i="1"/>
  <c r="B1213" i="1"/>
  <c r="D1213" i="1" s="1"/>
  <c r="N1213" i="1"/>
  <c r="O1213" i="1" s="1"/>
  <c r="B1214" i="1"/>
  <c r="G1214" i="1" s="1"/>
  <c r="N1214" i="1"/>
  <c r="P1214" i="1" s="1"/>
  <c r="B1215" i="1"/>
  <c r="D1215" i="1" s="1"/>
  <c r="N1215" i="1"/>
  <c r="B1216" i="1"/>
  <c r="F1216" i="1" s="1"/>
  <c r="D1216" i="1"/>
  <c r="N1216" i="1"/>
  <c r="P1216" i="1" s="1"/>
  <c r="B1217" i="1"/>
  <c r="D1217" i="1" s="1"/>
  <c r="N1217" i="1"/>
  <c r="B1218" i="1"/>
  <c r="C1218" i="1" s="1"/>
  <c r="N1218" i="1"/>
  <c r="P1218" i="1" s="1"/>
  <c r="B1219" i="1"/>
  <c r="D1219" i="1" s="1"/>
  <c r="N1219" i="1"/>
  <c r="O1219" i="1" s="1"/>
  <c r="B1220" i="1"/>
  <c r="F1220" i="1" s="1"/>
  <c r="N1220" i="1"/>
  <c r="Q1220" i="1" s="1"/>
  <c r="B1221" i="1"/>
  <c r="D1221" i="1" s="1"/>
  <c r="N1221" i="1"/>
  <c r="B1222" i="1"/>
  <c r="F1222" i="1" s="1"/>
  <c r="N1222" i="1"/>
  <c r="P1222" i="1" s="1"/>
  <c r="B1223" i="1"/>
  <c r="D1223" i="1" s="1"/>
  <c r="N1223" i="1"/>
  <c r="O1223" i="1" s="1"/>
  <c r="B1224" i="1"/>
  <c r="F1224" i="1" s="1"/>
  <c r="N1224" i="1"/>
  <c r="P1224" i="1" s="1"/>
  <c r="B1225" i="1"/>
  <c r="D1225" i="1" s="1"/>
  <c r="N1225" i="1"/>
  <c r="P1225" i="1" s="1"/>
  <c r="B1226" i="1"/>
  <c r="D1226" i="1" s="1"/>
  <c r="N1226" i="1"/>
  <c r="P1226" i="1" s="1"/>
  <c r="B1227" i="1"/>
  <c r="D1227" i="1" s="1"/>
  <c r="N1227" i="1"/>
  <c r="O1227" i="1" s="1"/>
  <c r="B1228" i="1"/>
  <c r="F1228" i="1" s="1"/>
  <c r="N1228" i="1"/>
  <c r="B1229" i="1"/>
  <c r="D1229" i="1" s="1"/>
  <c r="N1229" i="1"/>
  <c r="O1229" i="1" s="1"/>
  <c r="B1230" i="1"/>
  <c r="F1230" i="1" s="1"/>
  <c r="N1230" i="1"/>
  <c r="P1230" i="1" s="1"/>
  <c r="B1231" i="1"/>
  <c r="N1231" i="1"/>
  <c r="B1232" i="1"/>
  <c r="F1232" i="1" s="1"/>
  <c r="N1232" i="1"/>
  <c r="P1232" i="1" s="1"/>
  <c r="B1233" i="1"/>
  <c r="D1233" i="1" s="1"/>
  <c r="N1233" i="1"/>
  <c r="B1234" i="1"/>
  <c r="I1234" i="1" s="1"/>
  <c r="N1234" i="1"/>
  <c r="P1234" i="1" s="1"/>
  <c r="B1235" i="1"/>
  <c r="D1235" i="1" s="1"/>
  <c r="N1235" i="1"/>
  <c r="B1236" i="1"/>
  <c r="F1236" i="1" s="1"/>
  <c r="N1236" i="1"/>
  <c r="Q1236" i="1" s="1"/>
  <c r="B1237" i="1"/>
  <c r="F1237" i="1" s="1"/>
  <c r="N1237" i="1"/>
  <c r="O1237" i="1" s="1"/>
  <c r="B1238" i="1"/>
  <c r="G1238" i="1" s="1"/>
  <c r="N1238" i="1"/>
  <c r="P1238" i="1" s="1"/>
  <c r="B1239" i="1"/>
  <c r="D1239" i="1" s="1"/>
  <c r="N1239" i="1"/>
  <c r="O1239" i="1" s="1"/>
  <c r="B1240" i="1"/>
  <c r="F1240" i="1" s="1"/>
  <c r="N1240" i="1"/>
  <c r="P1240" i="1" s="1"/>
  <c r="B1241" i="1"/>
  <c r="G1241" i="1" s="1"/>
  <c r="N1241" i="1"/>
  <c r="B1242" i="1"/>
  <c r="I1242" i="1" s="1"/>
  <c r="N1242" i="1"/>
  <c r="P1242" i="1" s="1"/>
  <c r="B1243" i="1"/>
  <c r="D1243" i="1" s="1"/>
  <c r="N1243" i="1"/>
  <c r="B1244" i="1"/>
  <c r="F1244" i="1" s="1"/>
  <c r="N1244" i="1"/>
  <c r="Q1244" i="1" s="1"/>
  <c r="B1245" i="1"/>
  <c r="G1245" i="1" s="1"/>
  <c r="N1245" i="1"/>
  <c r="B1246" i="1"/>
  <c r="G1246" i="1" s="1"/>
  <c r="N1246" i="1"/>
  <c r="P1246" i="1" s="1"/>
  <c r="B1247" i="1"/>
  <c r="N1247" i="1"/>
  <c r="B1248" i="1"/>
  <c r="F1248" i="1" s="1"/>
  <c r="N1248" i="1"/>
  <c r="P1248" i="1" s="1"/>
  <c r="B1249" i="1"/>
  <c r="D1249" i="1" s="1"/>
  <c r="N1249" i="1"/>
  <c r="O1249" i="1" s="1"/>
  <c r="B1250" i="1"/>
  <c r="C1250" i="1" s="1"/>
  <c r="N1250" i="1"/>
  <c r="P1250" i="1" s="1"/>
  <c r="B1251" i="1"/>
  <c r="D1251" i="1" s="1"/>
  <c r="N1251" i="1"/>
  <c r="B1252" i="1"/>
  <c r="N1252" i="1"/>
  <c r="Q1252" i="1" s="1"/>
  <c r="B1253" i="1"/>
  <c r="E1253" i="1" s="1"/>
  <c r="N1253" i="1"/>
  <c r="B1254" i="1"/>
  <c r="C1254" i="1" s="1"/>
  <c r="N1254" i="1"/>
  <c r="O1254" i="1" s="1"/>
  <c r="B1255" i="1"/>
  <c r="D1255" i="1" s="1"/>
  <c r="N1255" i="1"/>
  <c r="Q1255" i="1" s="1"/>
  <c r="B1256" i="1"/>
  <c r="F1256" i="1" s="1"/>
  <c r="N1256" i="1"/>
  <c r="P1256" i="1" s="1"/>
  <c r="B1257" i="1"/>
  <c r="C1257" i="1" s="1"/>
  <c r="N1257" i="1"/>
  <c r="O1257" i="1" s="1"/>
  <c r="B1258" i="1"/>
  <c r="F1258" i="1" s="1"/>
  <c r="N1258" i="1"/>
  <c r="P1258" i="1" s="1"/>
  <c r="B1259" i="1"/>
  <c r="D1259" i="1" s="1"/>
  <c r="N1259" i="1"/>
  <c r="B1260" i="1"/>
  <c r="F1260" i="1" s="1"/>
  <c r="N1260" i="1"/>
  <c r="O1260" i="1" s="1"/>
  <c r="B1261" i="1"/>
  <c r="C1261" i="1" s="1"/>
  <c r="N1261" i="1"/>
  <c r="O1261" i="1" s="1"/>
  <c r="B1262" i="1"/>
  <c r="F1262" i="1" s="1"/>
  <c r="N1262" i="1"/>
  <c r="P1262" i="1" s="1"/>
  <c r="B1263" i="1"/>
  <c r="D1263" i="1" s="1"/>
  <c r="N1263" i="1"/>
  <c r="B1264" i="1"/>
  <c r="F1264" i="1" s="1"/>
  <c r="N1264" i="1"/>
  <c r="P1264" i="1" s="1"/>
  <c r="B1265" i="1"/>
  <c r="I1265" i="1" s="1"/>
  <c r="N1265" i="1"/>
  <c r="B1266" i="1"/>
  <c r="E1266" i="1" s="1"/>
  <c r="N1266" i="1"/>
  <c r="P1266" i="1" s="1"/>
  <c r="B1267" i="1"/>
  <c r="D1267" i="1" s="1"/>
  <c r="N1267" i="1"/>
  <c r="B1268" i="1"/>
  <c r="F1268" i="1" s="1"/>
  <c r="N1268" i="1"/>
  <c r="P1268" i="1" s="1"/>
  <c r="B1269" i="1"/>
  <c r="F1269" i="1" s="1"/>
  <c r="N1269" i="1"/>
  <c r="O1269" i="1" s="1"/>
  <c r="B1270" i="1"/>
  <c r="I1270" i="1" s="1"/>
  <c r="N1270" i="1"/>
  <c r="P1270" i="1" s="1"/>
  <c r="B1271" i="1"/>
  <c r="D1271" i="1" s="1"/>
  <c r="N1271" i="1"/>
  <c r="P1271" i="1" s="1"/>
  <c r="B1272" i="1"/>
  <c r="F1272" i="1" s="1"/>
  <c r="N1272" i="1"/>
  <c r="P1272" i="1" s="1"/>
  <c r="B1273" i="1"/>
  <c r="G1273" i="1" s="1"/>
  <c r="N1273" i="1"/>
  <c r="O1273" i="1" s="1"/>
  <c r="B1274" i="1"/>
  <c r="I1274" i="1" s="1"/>
  <c r="E1274" i="1"/>
  <c r="N1274" i="1"/>
  <c r="P1274" i="1" s="1"/>
  <c r="B1275" i="1"/>
  <c r="D1275" i="1" s="1"/>
  <c r="N1275" i="1"/>
  <c r="B1276" i="1"/>
  <c r="F1276" i="1" s="1"/>
  <c r="N1276" i="1"/>
  <c r="B1277" i="1"/>
  <c r="G1277" i="1" s="1"/>
  <c r="N1277" i="1"/>
  <c r="B1278" i="1"/>
  <c r="N1278" i="1"/>
  <c r="P1278" i="1" s="1"/>
  <c r="B1279" i="1"/>
  <c r="D1279" i="1" s="1"/>
  <c r="N1279" i="1"/>
  <c r="O1279" i="1" s="1"/>
  <c r="B1280" i="1"/>
  <c r="G1280" i="1" s="1"/>
  <c r="N1280" i="1"/>
  <c r="P1280" i="1" s="1"/>
  <c r="B1281" i="1"/>
  <c r="G1281" i="1" s="1"/>
  <c r="N1281" i="1"/>
  <c r="B1282" i="1"/>
  <c r="D1282" i="1" s="1"/>
  <c r="N1282" i="1"/>
  <c r="P1282" i="1" s="1"/>
  <c r="B1283" i="1"/>
  <c r="D1283" i="1" s="1"/>
  <c r="N1283" i="1"/>
  <c r="B1284" i="1"/>
  <c r="G1284" i="1" s="1"/>
  <c r="N1284" i="1"/>
  <c r="B1285" i="1"/>
  <c r="G1285" i="1" s="1"/>
  <c r="N1285" i="1"/>
  <c r="O1285" i="1" s="1"/>
  <c r="B1286" i="1"/>
  <c r="D1286" i="1" s="1"/>
  <c r="N1286" i="1"/>
  <c r="P1286" i="1" s="1"/>
  <c r="B1287" i="1"/>
  <c r="G1287" i="1" s="1"/>
  <c r="N1287" i="1"/>
  <c r="B1288" i="1"/>
  <c r="G1288" i="1" s="1"/>
  <c r="N1288" i="1"/>
  <c r="P1288" i="1" s="1"/>
  <c r="B1289" i="1"/>
  <c r="G1289" i="1" s="1"/>
  <c r="N1289" i="1"/>
  <c r="Q1289" i="1" s="1"/>
  <c r="B1290" i="1"/>
  <c r="D1290" i="1" s="1"/>
  <c r="N1290" i="1"/>
  <c r="P1290" i="1" s="1"/>
  <c r="B1291" i="1"/>
  <c r="D1291" i="1" s="1"/>
  <c r="N1291" i="1"/>
  <c r="O1291" i="1" s="1"/>
  <c r="B1292" i="1"/>
  <c r="G1292" i="1" s="1"/>
  <c r="N1292" i="1"/>
  <c r="B1293" i="1"/>
  <c r="G1293" i="1" s="1"/>
  <c r="N1293" i="1"/>
  <c r="O1293" i="1" s="1"/>
  <c r="B1294" i="1"/>
  <c r="D1294" i="1" s="1"/>
  <c r="N1294" i="1"/>
  <c r="P1294" i="1" s="1"/>
  <c r="B1295" i="1"/>
  <c r="G1295" i="1" s="1"/>
  <c r="N1295" i="1"/>
  <c r="B1296" i="1"/>
  <c r="G1296" i="1" s="1"/>
  <c r="N1296" i="1"/>
  <c r="P1296" i="1" s="1"/>
  <c r="B1297" i="1"/>
  <c r="G1297" i="1" s="1"/>
  <c r="N1297" i="1"/>
  <c r="B1298" i="1"/>
  <c r="D1298" i="1" s="1"/>
  <c r="N1298" i="1"/>
  <c r="P1298" i="1" s="1"/>
  <c r="B1299" i="1"/>
  <c r="N1299" i="1"/>
  <c r="B1300" i="1"/>
  <c r="G1300" i="1" s="1"/>
  <c r="N1300" i="1"/>
  <c r="B1301" i="1"/>
  <c r="G1301" i="1" s="1"/>
  <c r="N1301" i="1"/>
  <c r="O1301" i="1" s="1"/>
  <c r="B1302" i="1"/>
  <c r="D1302" i="1" s="1"/>
  <c r="N1302" i="1"/>
  <c r="P1302" i="1" s="1"/>
  <c r="B1303" i="1"/>
  <c r="G1303" i="1" s="1"/>
  <c r="N1303" i="1"/>
  <c r="O1303" i="1" s="1"/>
  <c r="B1304" i="1"/>
  <c r="G1304" i="1" s="1"/>
  <c r="N1304" i="1"/>
  <c r="P1304" i="1" s="1"/>
  <c r="B1305" i="1"/>
  <c r="G1305" i="1" s="1"/>
  <c r="N1305" i="1"/>
  <c r="B1306" i="1"/>
  <c r="D1306" i="1" s="1"/>
  <c r="N1306" i="1"/>
  <c r="P1306" i="1" s="1"/>
  <c r="B1307" i="1"/>
  <c r="D1307" i="1" s="1"/>
  <c r="N1307" i="1"/>
  <c r="B1308" i="1"/>
  <c r="G1308" i="1" s="1"/>
  <c r="N1308" i="1"/>
  <c r="B1309" i="1"/>
  <c r="G1309" i="1" s="1"/>
  <c r="N1309" i="1"/>
  <c r="B1310" i="1"/>
  <c r="D1310" i="1" s="1"/>
  <c r="N1310" i="1"/>
  <c r="P1310" i="1" s="1"/>
  <c r="B1311" i="1"/>
  <c r="G1311" i="1" s="1"/>
  <c r="N1311" i="1"/>
  <c r="O1311" i="1" s="1"/>
  <c r="B1312" i="1"/>
  <c r="G1312" i="1" s="1"/>
  <c r="N1312" i="1"/>
  <c r="P1312" i="1" s="1"/>
  <c r="B1313" i="1"/>
  <c r="G1313" i="1" s="1"/>
  <c r="N1313" i="1"/>
  <c r="B1314" i="1"/>
  <c r="D1314" i="1" s="1"/>
  <c r="N1314" i="1"/>
  <c r="P1314" i="1" s="1"/>
  <c r="B1315" i="1"/>
  <c r="D1315" i="1" s="1"/>
  <c r="N1315" i="1"/>
  <c r="O1315" i="1" s="1"/>
  <c r="B1316" i="1"/>
  <c r="G1316" i="1" s="1"/>
  <c r="N1316" i="1"/>
  <c r="B1317" i="1"/>
  <c r="G1317" i="1" s="1"/>
  <c r="N1317" i="1"/>
  <c r="B1318" i="1"/>
  <c r="D1318" i="1" s="1"/>
  <c r="N1318" i="1"/>
  <c r="P1318" i="1" s="1"/>
  <c r="B1319" i="1"/>
  <c r="G1319" i="1" s="1"/>
  <c r="N1319" i="1"/>
  <c r="B1320" i="1"/>
  <c r="G1320" i="1" s="1"/>
  <c r="N1320" i="1"/>
  <c r="P1320" i="1" s="1"/>
  <c r="B1321" i="1"/>
  <c r="G1321" i="1" s="1"/>
  <c r="N1321" i="1"/>
  <c r="B1322" i="1"/>
  <c r="D1322" i="1" s="1"/>
  <c r="N1322" i="1"/>
  <c r="P1322" i="1" s="1"/>
  <c r="B1323" i="1"/>
  <c r="D1323" i="1" s="1"/>
  <c r="N1323" i="1"/>
  <c r="O1323" i="1" s="1"/>
  <c r="B1324" i="1"/>
  <c r="F1324" i="1" s="1"/>
  <c r="N1324" i="1"/>
  <c r="B1325" i="1"/>
  <c r="G1325" i="1" s="1"/>
  <c r="N1325" i="1"/>
  <c r="P1325" i="1" s="1"/>
  <c r="B1326" i="1"/>
  <c r="D1326" i="1" s="1"/>
  <c r="N1326" i="1"/>
  <c r="P1326" i="1" s="1"/>
  <c r="B1327" i="1"/>
  <c r="G1327" i="1" s="1"/>
  <c r="N1327" i="1"/>
  <c r="B1328" i="1"/>
  <c r="F1328" i="1" s="1"/>
  <c r="N1328" i="1"/>
  <c r="P1328" i="1" s="1"/>
  <c r="B1329" i="1"/>
  <c r="G1329" i="1" s="1"/>
  <c r="N1329" i="1"/>
  <c r="Q1329" i="1" s="1"/>
  <c r="B1330" i="1"/>
  <c r="D1330" i="1" s="1"/>
  <c r="N1330" i="1"/>
  <c r="P1330" i="1" s="1"/>
  <c r="B1331" i="1"/>
  <c r="D1331" i="1" s="1"/>
  <c r="N1331" i="1"/>
  <c r="B1332" i="1"/>
  <c r="G1332" i="1" s="1"/>
  <c r="N1332" i="1"/>
  <c r="B1333" i="1"/>
  <c r="G1333" i="1" s="1"/>
  <c r="N1333" i="1"/>
  <c r="B1334" i="1"/>
  <c r="D1334" i="1" s="1"/>
  <c r="N1334" i="1"/>
  <c r="P1334" i="1" s="1"/>
  <c r="B1335" i="1"/>
  <c r="G1335" i="1" s="1"/>
  <c r="N1335" i="1"/>
  <c r="O1335" i="1" s="1"/>
  <c r="B1336" i="1"/>
  <c r="F1336" i="1" s="1"/>
  <c r="N1336" i="1"/>
  <c r="P1336" i="1" s="1"/>
  <c r="B1337" i="1"/>
  <c r="G1337" i="1" s="1"/>
  <c r="N1337" i="1"/>
  <c r="Q1337" i="1" s="1"/>
  <c r="B1338" i="1"/>
  <c r="D1338" i="1" s="1"/>
  <c r="N1338" i="1"/>
  <c r="P1338" i="1" s="1"/>
  <c r="B1339" i="1"/>
  <c r="D1339" i="1" s="1"/>
  <c r="N1339" i="1"/>
  <c r="B1340" i="1"/>
  <c r="G1340" i="1" s="1"/>
  <c r="N1340" i="1"/>
  <c r="P1340" i="1" s="1"/>
  <c r="B1341" i="1"/>
  <c r="G1341" i="1" s="1"/>
  <c r="N1341" i="1"/>
  <c r="O1341" i="1" s="1"/>
  <c r="B1342" i="1"/>
  <c r="D1342" i="1" s="1"/>
  <c r="N1342" i="1"/>
  <c r="P1342" i="1" s="1"/>
  <c r="B1343" i="1"/>
  <c r="G1343" i="1" s="1"/>
  <c r="N1343" i="1"/>
  <c r="B1344" i="1"/>
  <c r="F1344" i="1" s="1"/>
  <c r="N1344" i="1"/>
  <c r="P1344" i="1" s="1"/>
  <c r="B1345" i="1"/>
  <c r="G1345" i="1" s="1"/>
  <c r="N1345" i="1"/>
  <c r="Q1345" i="1" s="1"/>
  <c r="B1346" i="1"/>
  <c r="C1346" i="1" s="1"/>
  <c r="N1346" i="1"/>
  <c r="P1346" i="1" s="1"/>
  <c r="B1347" i="1"/>
  <c r="F1347" i="1" s="1"/>
  <c r="I1347" i="1"/>
  <c r="N1347" i="1"/>
  <c r="O1347" i="1" s="1"/>
  <c r="B1348" i="1"/>
  <c r="F1348" i="1" s="1"/>
  <c r="N1348" i="1"/>
  <c r="Q1348" i="1" s="1"/>
  <c r="B1349" i="1"/>
  <c r="E1349" i="1" s="1"/>
  <c r="N1349" i="1"/>
  <c r="B1350" i="1"/>
  <c r="C1350" i="1" s="1"/>
  <c r="N1350" i="1"/>
  <c r="P1350" i="1" s="1"/>
  <c r="B1351" i="1"/>
  <c r="G1351" i="1" s="1"/>
  <c r="N1351" i="1"/>
  <c r="B1352" i="1"/>
  <c r="F1352" i="1" s="1"/>
  <c r="N1352" i="1"/>
  <c r="P1352" i="1" s="1"/>
  <c r="B1353" i="1"/>
  <c r="G1353" i="1" s="1"/>
  <c r="N1353" i="1"/>
  <c r="Q1353" i="1" s="1"/>
  <c r="B1354" i="1"/>
  <c r="C1354" i="1" s="1"/>
  <c r="N1354" i="1"/>
  <c r="P1354" i="1" s="1"/>
  <c r="B1355" i="1"/>
  <c r="G1355" i="1" s="1"/>
  <c r="N1355" i="1"/>
  <c r="B1356" i="1"/>
  <c r="F1356" i="1" s="1"/>
  <c r="N1356" i="1"/>
  <c r="Q1356" i="1" s="1"/>
  <c r="B1357" i="1"/>
  <c r="G1357" i="1" s="1"/>
  <c r="N1357" i="1"/>
  <c r="O1357" i="1" s="1"/>
  <c r="B1358" i="1"/>
  <c r="D1358" i="1" s="1"/>
  <c r="N1358" i="1"/>
  <c r="P1358" i="1" s="1"/>
  <c r="B1359" i="1"/>
  <c r="G1359" i="1" s="1"/>
  <c r="N1359" i="1"/>
  <c r="B1360" i="1"/>
  <c r="E1360" i="1" s="1"/>
  <c r="N1360" i="1"/>
  <c r="P1360" i="1" s="1"/>
  <c r="B1361" i="1"/>
  <c r="G1361" i="1" s="1"/>
  <c r="N1361" i="1"/>
  <c r="B1362" i="1"/>
  <c r="I1362" i="1" s="1"/>
  <c r="N1362" i="1"/>
  <c r="P1362" i="1" s="1"/>
  <c r="Y214" i="1"/>
  <c r="AA214" i="1"/>
  <c r="AB214" i="1" s="1"/>
  <c r="Y215" i="1"/>
  <c r="AA215" i="1"/>
  <c r="AB215" i="1" s="1"/>
  <c r="Y216" i="1"/>
  <c r="AA216" i="1"/>
  <c r="AB216" i="1" s="1"/>
  <c r="Y217" i="1"/>
  <c r="AA217" i="1"/>
  <c r="AB217" i="1" s="1"/>
  <c r="Y218" i="1"/>
  <c r="AA218" i="1"/>
  <c r="AB218" i="1" s="1"/>
  <c r="Y219" i="1"/>
  <c r="AA219" i="1"/>
  <c r="AB219" i="1" s="1"/>
  <c r="Y220" i="1"/>
  <c r="AI220" i="1" s="1"/>
  <c r="AA220" i="1"/>
  <c r="AB220" i="1" s="1"/>
  <c r="Y221" i="1"/>
  <c r="AA221" i="1"/>
  <c r="AB221" i="1" s="1"/>
  <c r="Y302" i="1"/>
  <c r="AA302" i="1"/>
  <c r="AB302" i="1" s="1"/>
  <c r="Y303" i="1"/>
  <c r="AA303" i="1"/>
  <c r="AB303" i="1" s="1"/>
  <c r="Y304" i="1"/>
  <c r="AA304" i="1"/>
  <c r="AB304" i="1" s="1"/>
  <c r="Y310" i="1"/>
  <c r="AA310" i="1"/>
  <c r="AB310" i="1" s="1"/>
  <c r="Y311" i="1"/>
  <c r="AA311" i="1"/>
  <c r="AB311" i="1" s="1"/>
  <c r="Y312" i="1"/>
  <c r="AA312" i="1"/>
  <c r="AB312" i="1" s="1"/>
  <c r="D17" i="1"/>
  <c r="Q485" i="1" l="1"/>
  <c r="U485" i="1" s="1"/>
  <c r="I1301" i="1"/>
  <c r="F772" i="1"/>
  <c r="F699" i="1"/>
  <c r="V3553" i="1"/>
  <c r="V3439" i="1"/>
  <c r="V3157" i="1"/>
  <c r="V3052" i="1"/>
  <c r="V2836" i="1"/>
  <c r="W2829" i="1"/>
  <c r="W2628" i="1"/>
  <c r="V2621" i="1"/>
  <c r="X2392" i="1"/>
  <c r="X2332" i="1"/>
  <c r="X2268" i="1"/>
  <c r="V2103" i="1"/>
  <c r="X2061" i="1"/>
  <c r="X1805" i="1"/>
  <c r="W1732" i="1"/>
  <c r="W1378" i="1"/>
  <c r="W1178" i="1"/>
  <c r="V1083" i="1"/>
  <c r="V1064" i="1"/>
  <c r="W992" i="1"/>
  <c r="V959" i="1"/>
  <c r="V945" i="1"/>
  <c r="X851" i="1"/>
  <c r="V787" i="1"/>
  <c r="V673" i="1"/>
  <c r="W597" i="1"/>
  <c r="W532" i="1"/>
  <c r="X3048" i="1"/>
  <c r="W2870" i="1"/>
  <c r="X2388" i="1"/>
  <c r="W2302" i="1"/>
  <c r="V1992" i="1"/>
  <c r="X1927" i="1"/>
  <c r="V1904" i="1"/>
  <c r="V1812" i="1"/>
  <c r="X1631" i="1"/>
  <c r="V1517" i="1"/>
  <c r="W1419" i="1"/>
  <c r="V1404" i="1"/>
  <c r="W1393" i="1"/>
  <c r="V1272" i="1"/>
  <c r="X1197" i="1"/>
  <c r="X929" i="1"/>
  <c r="P1085" i="1"/>
  <c r="G1082" i="1"/>
  <c r="D994" i="1"/>
  <c r="E983" i="1"/>
  <c r="I852" i="1"/>
  <c r="I737" i="1"/>
  <c r="G566" i="1"/>
  <c r="C519" i="1"/>
  <c r="C522" i="1"/>
  <c r="E537" i="1"/>
  <c r="W3594" i="1"/>
  <c r="V3537" i="1"/>
  <c r="W3507" i="1"/>
  <c r="V3388" i="1"/>
  <c r="X3369" i="1"/>
  <c r="W3343" i="1"/>
  <c r="W3163" i="1"/>
  <c r="V3102" i="1"/>
  <c r="W3048" i="1"/>
  <c r="X2892" i="1"/>
  <c r="V2870" i="1"/>
  <c r="V2787" i="1"/>
  <c r="W2742" i="1"/>
  <c r="X2674" i="1"/>
  <c r="V2532" i="1"/>
  <c r="X2468" i="1"/>
  <c r="W2453" i="1"/>
  <c r="X998" i="1"/>
  <c r="W955" i="1"/>
  <c r="V729" i="1"/>
  <c r="V691" i="1"/>
  <c r="V665" i="1"/>
  <c r="F522" i="1"/>
  <c r="X2793" i="1"/>
  <c r="W1314" i="1"/>
  <c r="X1170" i="1"/>
  <c r="X1066" i="1"/>
  <c r="X1047" i="1"/>
  <c r="V1024" i="1"/>
  <c r="V1005" i="1"/>
  <c r="V991" i="1"/>
  <c r="W973" i="1"/>
  <c r="D634" i="1"/>
  <c r="F619" i="1"/>
  <c r="I592" i="1"/>
  <c r="P512" i="1"/>
  <c r="G522" i="1"/>
  <c r="F531" i="1"/>
  <c r="Q774" i="1"/>
  <c r="X3562" i="1"/>
  <c r="X3525" i="1"/>
  <c r="X3426" i="1"/>
  <c r="V3365" i="1"/>
  <c r="W3323" i="1"/>
  <c r="V3308" i="1"/>
  <c r="V3265" i="1"/>
  <c r="W3189" i="1"/>
  <c r="X3120" i="1"/>
  <c r="X3020" i="1"/>
  <c r="V2998" i="1"/>
  <c r="W2971" i="1"/>
  <c r="W2960" i="1"/>
  <c r="W2876" i="1"/>
  <c r="W2793" i="1"/>
  <c r="W2580" i="1"/>
  <c r="W2549" i="1"/>
  <c r="W2501" i="1"/>
  <c r="V2308" i="1"/>
  <c r="X2236" i="1"/>
  <c r="W2197" i="1"/>
  <c r="X1991" i="1"/>
  <c r="V1680" i="1"/>
  <c r="V1649" i="1"/>
  <c r="W1439" i="1"/>
  <c r="X1399" i="1"/>
  <c r="V1333" i="1"/>
  <c r="W900" i="1"/>
  <c r="X657" i="1"/>
  <c r="W499" i="1"/>
  <c r="G1150" i="1"/>
  <c r="Q764" i="1"/>
  <c r="V3562" i="1"/>
  <c r="X3528" i="1"/>
  <c r="V3513" i="1"/>
  <c r="V3433" i="1"/>
  <c r="X3387" i="1"/>
  <c r="X3268" i="1"/>
  <c r="X3238" i="1"/>
  <c r="W3212" i="1"/>
  <c r="W3169" i="1"/>
  <c r="W3120" i="1"/>
  <c r="X3023" i="1"/>
  <c r="V3020" i="1"/>
  <c r="V2684" i="1"/>
  <c r="X2626" i="1"/>
  <c r="W2455" i="1"/>
  <c r="X2428" i="1"/>
  <c r="V2405" i="1"/>
  <c r="X2368" i="1"/>
  <c r="X2220" i="1"/>
  <c r="V2108" i="1"/>
  <c r="W2097" i="1"/>
  <c r="V2044" i="1"/>
  <c r="V1872" i="1"/>
  <c r="W1611" i="1"/>
  <c r="X1154" i="1"/>
  <c r="W997" i="1"/>
  <c r="W987" i="1"/>
  <c r="W827" i="1"/>
  <c r="W645" i="1"/>
  <c r="W541" i="1"/>
  <c r="V514" i="1"/>
  <c r="F1223" i="1"/>
  <c r="D1188" i="1"/>
  <c r="F1095" i="1"/>
  <c r="E1003" i="1"/>
  <c r="P648" i="1"/>
  <c r="V3490" i="1"/>
  <c r="V3238" i="1"/>
  <c r="V3219" i="1"/>
  <c r="V3004" i="1"/>
  <c r="V2940" i="1"/>
  <c r="X2770" i="1"/>
  <c r="W2729" i="1"/>
  <c r="V2541" i="1"/>
  <c r="X2519" i="1"/>
  <c r="V2477" i="1"/>
  <c r="V2428" i="1"/>
  <c r="X2364" i="1"/>
  <c r="W2254" i="1"/>
  <c r="V2089" i="1"/>
  <c r="W2051" i="1"/>
  <c r="X1983" i="1"/>
  <c r="V1928" i="1"/>
  <c r="V1917" i="1"/>
  <c r="X1898" i="1"/>
  <c r="V1748" i="1"/>
  <c r="V1592" i="1"/>
  <c r="X1453" i="1"/>
  <c r="X1242" i="1"/>
  <c r="V1172" i="1"/>
  <c r="W1134" i="1"/>
  <c r="W1034" i="1"/>
  <c r="W1019" i="1"/>
  <c r="W990" i="1"/>
  <c r="W830" i="1"/>
  <c r="V819" i="1"/>
  <c r="V777" i="1"/>
  <c r="W750" i="1"/>
  <c r="X712" i="1"/>
  <c r="W637" i="1"/>
  <c r="X547" i="1"/>
  <c r="P462" i="1"/>
  <c r="Q462" i="1" s="1"/>
  <c r="G457" i="1"/>
  <c r="C429" i="1"/>
  <c r="D429" i="1" s="1"/>
  <c r="G451" i="1"/>
  <c r="D414" i="1"/>
  <c r="E422" i="1"/>
  <c r="F422" i="1" s="1"/>
  <c r="C400" i="1"/>
  <c r="E400" i="1" s="1"/>
  <c r="G402" i="1"/>
  <c r="E405" i="1"/>
  <c r="F405" i="1" s="1"/>
  <c r="E315" i="1"/>
  <c r="F315" i="1" s="1"/>
  <c r="H315" i="1" s="1"/>
  <c r="I315" i="1" s="1"/>
  <c r="D316" i="1"/>
  <c r="F316" i="1"/>
  <c r="H316" i="1" s="1"/>
  <c r="I316" i="1" s="1"/>
  <c r="E1039" i="1"/>
  <c r="C974" i="1"/>
  <c r="E920" i="1"/>
  <c r="F707" i="1"/>
  <c r="F661" i="1"/>
  <c r="F642" i="1"/>
  <c r="O651" i="1"/>
  <c r="O366" i="1"/>
  <c r="Q366" i="1" s="1"/>
  <c r="W3589" i="1"/>
  <c r="X3522" i="1"/>
  <c r="X3501" i="1"/>
  <c r="V3480" i="1"/>
  <c r="X3473" i="1"/>
  <c r="W3458" i="1"/>
  <c r="W3451" i="1"/>
  <c r="X3417" i="1"/>
  <c r="W3414" i="1"/>
  <c r="W3407" i="1"/>
  <c r="W3400" i="1"/>
  <c r="X3370" i="1"/>
  <c r="V3294" i="1"/>
  <c r="X3220" i="1"/>
  <c r="X3169" i="1"/>
  <c r="V3140" i="1"/>
  <c r="V3081" i="1"/>
  <c r="X3060" i="1"/>
  <c r="W2988" i="1"/>
  <c r="X2948" i="1"/>
  <c r="X2926" i="1"/>
  <c r="V2915" i="1"/>
  <c r="W2857" i="1"/>
  <c r="X2836" i="1"/>
  <c r="W2787" i="1"/>
  <c r="X2737" i="1"/>
  <c r="V2724" i="1"/>
  <c r="X2695" i="1"/>
  <c r="X2684" i="1"/>
  <c r="X2647" i="1"/>
  <c r="V2644" i="1"/>
  <c r="W2637" i="1"/>
  <c r="V2564" i="1"/>
  <c r="V2561" i="1"/>
  <c r="X2532" i="1"/>
  <c r="V2529" i="1"/>
  <c r="X2338" i="1"/>
  <c r="V2292" i="1"/>
  <c r="X2248" i="1"/>
  <c r="X2184" i="1"/>
  <c r="V2157" i="1"/>
  <c r="X2144" i="1"/>
  <c r="V2104" i="1"/>
  <c r="V1951" i="1"/>
  <c r="W1889" i="1"/>
  <c r="V1876" i="1"/>
  <c r="V1831" i="1"/>
  <c r="V1724" i="1"/>
  <c r="X1698" i="1"/>
  <c r="W1603" i="1"/>
  <c r="V1544" i="1"/>
  <c r="V1513" i="1"/>
  <c r="W1506" i="1"/>
  <c r="X1356" i="1"/>
  <c r="W1291" i="1"/>
  <c r="V1191" i="1"/>
  <c r="X1167" i="1"/>
  <c r="W1156" i="1"/>
  <c r="V1051" i="1"/>
  <c r="X1034" i="1"/>
  <c r="V1012" i="1"/>
  <c r="X984" i="1"/>
  <c r="X973" i="1"/>
  <c r="V971" i="1"/>
  <c r="V960" i="1"/>
  <c r="V944" i="1"/>
  <c r="V937" i="1"/>
  <c r="W853" i="1"/>
  <c r="W836" i="1"/>
  <c r="V833" i="1"/>
  <c r="W819" i="1"/>
  <c r="W771" i="1"/>
  <c r="V715" i="1"/>
  <c r="V682" i="1"/>
  <c r="W581" i="1"/>
  <c r="Q315" i="1"/>
  <c r="C943" i="1"/>
  <c r="G1134" i="1"/>
  <c r="I992" i="1"/>
  <c r="E985" i="1"/>
  <c r="C982" i="1"/>
  <c r="D866" i="1"/>
  <c r="F723" i="1"/>
  <c r="E685" i="1"/>
  <c r="C598" i="1"/>
  <c r="G587" i="1"/>
  <c r="P389" i="1"/>
  <c r="D457" i="1"/>
  <c r="P508" i="1"/>
  <c r="O774" i="1"/>
  <c r="O389" i="1"/>
  <c r="X3589" i="1"/>
  <c r="X3557" i="1"/>
  <c r="V3554" i="1"/>
  <c r="V3529" i="1"/>
  <c r="V3505" i="1"/>
  <c r="W3498" i="1"/>
  <c r="X3480" i="1"/>
  <c r="X3404" i="1"/>
  <c r="X3368" i="1"/>
  <c r="W3331" i="1"/>
  <c r="X3302" i="1"/>
  <c r="V3258" i="1"/>
  <c r="V3211" i="1"/>
  <c r="V3196" i="1"/>
  <c r="W3144" i="1"/>
  <c r="W3137" i="1"/>
  <c r="V3108" i="1"/>
  <c r="V3078" i="1"/>
  <c r="W3067" i="1"/>
  <c r="X3035" i="1"/>
  <c r="W3028" i="1"/>
  <c r="W2992" i="1"/>
  <c r="W2945" i="1"/>
  <c r="X2894" i="1"/>
  <c r="W2830" i="1"/>
  <c r="X2724" i="1"/>
  <c r="X2644" i="1"/>
  <c r="V2493" i="1"/>
  <c r="X2471" i="1"/>
  <c r="V2453" i="1"/>
  <c r="X2416" i="1"/>
  <c r="W2397" i="1"/>
  <c r="V2390" i="1"/>
  <c r="X2292" i="1"/>
  <c r="V2266" i="1"/>
  <c r="V2230" i="1"/>
  <c r="W2188" i="1"/>
  <c r="X2154" i="1"/>
  <c r="V2125" i="1"/>
  <c r="X2102" i="1"/>
  <c r="X1948" i="1"/>
  <c r="W1883" i="1"/>
  <c r="X1831" i="1"/>
  <c r="V1828" i="1"/>
  <c r="W1688" i="1"/>
  <c r="X1603" i="1"/>
  <c r="X1191" i="1"/>
  <c r="W1051" i="1"/>
  <c r="W971" i="1"/>
  <c r="X960" i="1"/>
  <c r="X944" i="1"/>
  <c r="X833" i="1"/>
  <c r="P1329" i="1"/>
  <c r="F1134" i="1"/>
  <c r="E866" i="1"/>
  <c r="G401" i="1"/>
  <c r="G523" i="1"/>
  <c r="O832" i="1"/>
  <c r="O408" i="1"/>
  <c r="Q408" i="1" s="1"/>
  <c r="X3554" i="1"/>
  <c r="X3258" i="1"/>
  <c r="X3108" i="1"/>
  <c r="X3067" i="1"/>
  <c r="X3028" i="1"/>
  <c r="C1201" i="1"/>
  <c r="P1260" i="1"/>
  <c r="F1153" i="1"/>
  <c r="C933" i="1"/>
  <c r="I878" i="1"/>
  <c r="I828" i="1"/>
  <c r="C772" i="1"/>
  <c r="P764" i="1"/>
  <c r="G606" i="1"/>
  <c r="E397" i="1"/>
  <c r="F397" i="1" s="1"/>
  <c r="C403" i="1"/>
  <c r="D403" i="1" s="1"/>
  <c r="D405" i="1"/>
  <c r="C413" i="1"/>
  <c r="D413" i="1" s="1"/>
  <c r="C508" i="1"/>
  <c r="P514" i="1"/>
  <c r="D523" i="1"/>
  <c r="P525" i="1"/>
  <c r="F537" i="1"/>
  <c r="O883" i="1"/>
  <c r="O434" i="1"/>
  <c r="Q434" i="1" s="1"/>
  <c r="V3587" i="1"/>
  <c r="X3584" i="1"/>
  <c r="V3520" i="1"/>
  <c r="X3509" i="1"/>
  <c r="X3474" i="1"/>
  <c r="W3442" i="1"/>
  <c r="W3435" i="1"/>
  <c r="V3432" i="1"/>
  <c r="V3412" i="1"/>
  <c r="X3379" i="1"/>
  <c r="V3354" i="1"/>
  <c r="X3280" i="1"/>
  <c r="V3116" i="1"/>
  <c r="X3054" i="1"/>
  <c r="V2964" i="1"/>
  <c r="W2913" i="1"/>
  <c r="X2862" i="1"/>
  <c r="V2844" i="1"/>
  <c r="X2774" i="1"/>
  <c r="X2745" i="1"/>
  <c r="V2689" i="1"/>
  <c r="X2642" i="1"/>
  <c r="W2617" i="1"/>
  <c r="V2580" i="1"/>
  <c r="W2565" i="1"/>
  <c r="X2562" i="1"/>
  <c r="V2548" i="1"/>
  <c r="X2516" i="1"/>
  <c r="W2505" i="1"/>
  <c r="X2260" i="1"/>
  <c r="X2208" i="1"/>
  <c r="V2166" i="1"/>
  <c r="X2108" i="1"/>
  <c r="V2105" i="1"/>
  <c r="V2047" i="1"/>
  <c r="W1887" i="1"/>
  <c r="X1877" i="1"/>
  <c r="W1807" i="1"/>
  <c r="W1696" i="1"/>
  <c r="V1621" i="1"/>
  <c r="V1607" i="1"/>
  <c r="V1601" i="1"/>
  <c r="X1579" i="1"/>
  <c r="V1511" i="1"/>
  <c r="V1471" i="1"/>
  <c r="V1369" i="1"/>
  <c r="V1343" i="1"/>
  <c r="V1289" i="1"/>
  <c r="V931" i="1"/>
  <c r="V776" i="1"/>
  <c r="W739" i="1"/>
  <c r="G461" i="1"/>
  <c r="O491" i="1"/>
  <c r="T491" i="1" s="1"/>
  <c r="W1369" i="1"/>
  <c r="X1343" i="1"/>
  <c r="G1188" i="1"/>
  <c r="F1121" i="1"/>
  <c r="P1101" i="1"/>
  <c r="D1098" i="1"/>
  <c r="E1080" i="1"/>
  <c r="I1038" i="1"/>
  <c r="E1011" i="1"/>
  <c r="G772" i="1"/>
  <c r="D762" i="1"/>
  <c r="G702" i="1"/>
  <c r="E637" i="1"/>
  <c r="C570" i="1"/>
  <c r="G398" i="1"/>
  <c r="G406" i="1"/>
  <c r="C423" i="1"/>
  <c r="P451" i="1"/>
  <c r="D485" i="1"/>
  <c r="F517" i="1"/>
  <c r="O527" i="1"/>
  <c r="V3545" i="1"/>
  <c r="V3538" i="1"/>
  <c r="X3464" i="1"/>
  <c r="X3457" i="1"/>
  <c r="V3426" i="1"/>
  <c r="W3419" i="1"/>
  <c r="V3416" i="1"/>
  <c r="V3352" i="1"/>
  <c r="W3311" i="1"/>
  <c r="X3266" i="1"/>
  <c r="V3216" i="1"/>
  <c r="W3062" i="1"/>
  <c r="V2838" i="1"/>
  <c r="V2818" i="1"/>
  <c r="X2803" i="1"/>
  <c r="X2764" i="1"/>
  <c r="X2732" i="1"/>
  <c r="V2729" i="1"/>
  <c r="V2701" i="1"/>
  <c r="X2668" i="1"/>
  <c r="W2665" i="1"/>
  <c r="V2636" i="1"/>
  <c r="X2599" i="1"/>
  <c r="W2425" i="1"/>
  <c r="V2374" i="1"/>
  <c r="X2356" i="1"/>
  <c r="V2330" i="1"/>
  <c r="X2308" i="1"/>
  <c r="V2254" i="1"/>
  <c r="V2146" i="1"/>
  <c r="X2103" i="1"/>
  <c r="W2089" i="1"/>
  <c r="W2041" i="1"/>
  <c r="X1981" i="1"/>
  <c r="W1898" i="1"/>
  <c r="W1891" i="1"/>
  <c r="W1840" i="1"/>
  <c r="V1823" i="1"/>
  <c r="W1730" i="1"/>
  <c r="W1708" i="1"/>
  <c r="V1656" i="1"/>
  <c r="V1550" i="1"/>
  <c r="V1505" i="1"/>
  <c r="V1479" i="1"/>
  <c r="V1453" i="1"/>
  <c r="W1442" i="1"/>
  <c r="V1439" i="1"/>
  <c r="V1436" i="1"/>
  <c r="V1396" i="1"/>
  <c r="V1208" i="1"/>
  <c r="W1186" i="1"/>
  <c r="X1175" i="1"/>
  <c r="W1172" i="1"/>
  <c r="V1155" i="1"/>
  <c r="V1121" i="1"/>
  <c r="X1079" i="1"/>
  <c r="W1050" i="1"/>
  <c r="V1047" i="1"/>
  <c r="V1036" i="1"/>
  <c r="X959" i="1"/>
  <c r="V943" i="1"/>
  <c r="W909" i="1"/>
  <c r="X878" i="1"/>
  <c r="V867" i="1"/>
  <c r="W852" i="1"/>
  <c r="V811" i="1"/>
  <c r="W747" i="1"/>
  <c r="V699" i="1"/>
  <c r="W684" i="1"/>
  <c r="V666" i="1"/>
  <c r="X641" i="1"/>
  <c r="X622" i="1"/>
  <c r="X542" i="1"/>
  <c r="W500" i="1"/>
  <c r="G409" i="1"/>
  <c r="P432" i="1"/>
  <c r="C461" i="1"/>
  <c r="D461" i="1" s="1"/>
  <c r="D463" i="1"/>
  <c r="D488" i="1"/>
  <c r="P527" i="1"/>
  <c r="C1229" i="1"/>
  <c r="I1188" i="1"/>
  <c r="E1152" i="1"/>
  <c r="I1097" i="1"/>
  <c r="C1066" i="1"/>
  <c r="F1010" i="1"/>
  <c r="D837" i="1"/>
  <c r="F621" i="1"/>
  <c r="D618" i="1"/>
  <c r="P419" i="1"/>
  <c r="C467" i="1"/>
  <c r="E467" i="1" s="1"/>
  <c r="F467" i="1" s="1"/>
  <c r="P475" i="1"/>
  <c r="P495" i="1"/>
  <c r="P513" i="1"/>
  <c r="C523" i="1"/>
  <c r="O509" i="1"/>
  <c r="O374" i="1"/>
  <c r="Q374" i="1" s="1"/>
  <c r="Q558" i="1"/>
  <c r="X3549" i="1"/>
  <c r="V3546" i="1"/>
  <c r="W3523" i="1"/>
  <c r="V3514" i="1"/>
  <c r="X3498" i="1"/>
  <c r="X3485" i="1"/>
  <c r="V3449" i="1"/>
  <c r="V3396" i="1"/>
  <c r="V3372" i="1"/>
  <c r="V3349" i="1"/>
  <c r="V3322" i="1"/>
  <c r="X3316" i="1"/>
  <c r="W3292" i="1"/>
  <c r="V3257" i="1"/>
  <c r="X3212" i="1"/>
  <c r="X3139" i="1"/>
  <c r="V3128" i="1"/>
  <c r="V3121" i="1"/>
  <c r="W3003" i="1"/>
  <c r="X2960" i="1"/>
  <c r="V2932" i="1"/>
  <c r="V2908" i="1"/>
  <c r="X2888" i="1"/>
  <c r="X2796" i="1"/>
  <c r="X2790" i="1"/>
  <c r="V2717" i="1"/>
  <c r="W2697" i="1"/>
  <c r="W2645" i="1"/>
  <c r="W2601" i="1"/>
  <c r="W2533" i="1"/>
  <c r="X2503" i="1"/>
  <c r="X2500" i="1"/>
  <c r="W2489" i="1"/>
  <c r="X2476" i="1"/>
  <c r="V2437" i="1"/>
  <c r="V2420" i="1"/>
  <c r="W2417" i="1"/>
  <c r="V2340" i="1"/>
  <c r="V2277" i="1"/>
  <c r="W2246" i="1"/>
  <c r="V2214" i="1"/>
  <c r="X2192" i="1"/>
  <c r="V2189" i="1"/>
  <c r="X2186" i="1"/>
  <c r="X2160" i="1"/>
  <c r="W2105" i="1"/>
  <c r="V2101" i="1"/>
  <c r="V2054" i="1"/>
  <c r="X2045" i="1"/>
  <c r="X2042" i="1"/>
  <c r="W2039" i="1"/>
  <c r="V1990" i="1"/>
  <c r="V1987" i="1"/>
  <c r="W1970" i="1"/>
  <c r="V1967" i="1"/>
  <c r="W1952" i="1"/>
  <c r="V1943" i="1"/>
  <c r="X1887" i="1"/>
  <c r="W1872" i="1"/>
  <c r="W1851" i="1"/>
  <c r="V1844" i="1"/>
  <c r="V1841" i="1"/>
  <c r="W1787" i="1"/>
  <c r="V1784" i="1"/>
  <c r="V1767" i="1"/>
  <c r="X1730" i="1"/>
  <c r="W1676" i="1"/>
  <c r="X1659" i="1"/>
  <c r="W1656" i="1"/>
  <c r="V1647" i="1"/>
  <c r="V1640" i="1"/>
  <c r="V1569" i="1"/>
  <c r="V1531" i="1"/>
  <c r="V1528" i="1"/>
  <c r="X1471" i="1"/>
  <c r="V1452" i="1"/>
  <c r="V1433" i="1"/>
  <c r="V1430" i="1"/>
  <c r="X1427" i="1"/>
  <c r="V1381" i="1"/>
  <c r="X1353" i="1"/>
  <c r="V1340" i="1"/>
  <c r="V1319" i="1"/>
  <c r="V1301" i="1"/>
  <c r="W1294" i="1"/>
  <c r="V1269" i="1"/>
  <c r="X1239" i="1"/>
  <c r="W1208" i="1"/>
  <c r="V1205" i="1"/>
  <c r="X1155" i="1"/>
  <c r="V1147" i="1"/>
  <c r="V1056" i="1"/>
  <c r="X1019" i="1"/>
  <c r="X1009" i="1"/>
  <c r="X992" i="1"/>
  <c r="X990" i="1"/>
  <c r="X987" i="1"/>
  <c r="X945" i="1"/>
  <c r="X943" i="1"/>
  <c r="W926" i="1"/>
  <c r="W923" i="1"/>
  <c r="V845" i="1"/>
  <c r="W828" i="1"/>
  <c r="W772" i="1"/>
  <c r="X747" i="1"/>
  <c r="V730" i="1"/>
  <c r="X713" i="1"/>
  <c r="W685" i="1"/>
  <c r="V683" i="1"/>
  <c r="W660" i="1"/>
  <c r="V643" i="1"/>
  <c r="X625" i="1"/>
  <c r="V611" i="1"/>
  <c r="W531" i="1"/>
  <c r="V513" i="1"/>
  <c r="W510" i="1"/>
  <c r="V507" i="1"/>
  <c r="Q811" i="1"/>
  <c r="Q612" i="1"/>
  <c r="X3546" i="1"/>
  <c r="W3514" i="1"/>
  <c r="W3396" i="1"/>
  <c r="W3372" i="1"/>
  <c r="W2932" i="1"/>
  <c r="W2437" i="1"/>
  <c r="X2420" i="1"/>
  <c r="X2340" i="1"/>
  <c r="W2214" i="1"/>
  <c r="W2189" i="1"/>
  <c r="X2101" i="1"/>
  <c r="X1990" i="1"/>
  <c r="X1970" i="1"/>
  <c r="X1967" i="1"/>
  <c r="W1943" i="1"/>
  <c r="X1851" i="1"/>
  <c r="W1844" i="1"/>
  <c r="X1787" i="1"/>
  <c r="X1767" i="1"/>
  <c r="W1647" i="1"/>
  <c r="W1528" i="1"/>
  <c r="X1452" i="1"/>
  <c r="W1433" i="1"/>
  <c r="X1381" i="1"/>
  <c r="W1319" i="1"/>
  <c r="W1147" i="1"/>
  <c r="X923" i="1"/>
  <c r="W683" i="1"/>
  <c r="X513" i="1"/>
  <c r="X510" i="1"/>
  <c r="G449" i="1"/>
  <c r="G546" i="1"/>
  <c r="P1337" i="1"/>
  <c r="I1291" i="1"/>
  <c r="D1092" i="1"/>
  <c r="D1070" i="1"/>
  <c r="E994" i="1"/>
  <c r="D974" i="1"/>
  <c r="C968" i="1"/>
  <c r="F945" i="1"/>
  <c r="F713" i="1"/>
  <c r="E693" i="1"/>
  <c r="G682" i="1"/>
  <c r="F629" i="1"/>
  <c r="P384" i="1"/>
  <c r="Q384" i="1" s="1"/>
  <c r="D397" i="1"/>
  <c r="F398" i="1"/>
  <c r="G399" i="1"/>
  <c r="C411" i="1"/>
  <c r="D411" i="1" s="1"/>
  <c r="C425" i="1"/>
  <c r="P433" i="1"/>
  <c r="P443" i="1"/>
  <c r="C451" i="1"/>
  <c r="D451" i="1" s="1"/>
  <c r="G489" i="1"/>
  <c r="E498" i="1"/>
  <c r="F501" i="1"/>
  <c r="F513" i="1"/>
  <c r="D521" i="1"/>
  <c r="P522" i="1"/>
  <c r="D524" i="1"/>
  <c r="E531" i="1"/>
  <c r="E546" i="1"/>
  <c r="O558" i="1"/>
  <c r="O400" i="1"/>
  <c r="Q400" i="1" s="1"/>
  <c r="Q817" i="1"/>
  <c r="X3570" i="1"/>
  <c r="V3544" i="1"/>
  <c r="V3521" i="1"/>
  <c r="X3505" i="1"/>
  <c r="V3465" i="1"/>
  <c r="X3462" i="1"/>
  <c r="V3459" i="1"/>
  <c r="V3443" i="1"/>
  <c r="X3440" i="1"/>
  <c r="X3437" i="1"/>
  <c r="X3434" i="1"/>
  <c r="V3425" i="1"/>
  <c r="X3412" i="1"/>
  <c r="V3406" i="1"/>
  <c r="V3403" i="1"/>
  <c r="V3376" i="1"/>
  <c r="X3360" i="1"/>
  <c r="V3340" i="1"/>
  <c r="V3329" i="1"/>
  <c r="V3326" i="1"/>
  <c r="V3320" i="1"/>
  <c r="W3307" i="1"/>
  <c r="X3296" i="1"/>
  <c r="W3267" i="1"/>
  <c r="V3240" i="1"/>
  <c r="W3222" i="1"/>
  <c r="X3196" i="1"/>
  <c r="W3171" i="1"/>
  <c r="X3143" i="1"/>
  <c r="W3116" i="1"/>
  <c r="X3113" i="1"/>
  <c r="V3030" i="1"/>
  <c r="V3024" i="1"/>
  <c r="W2984" i="1"/>
  <c r="W2977" i="1"/>
  <c r="X2964" i="1"/>
  <c r="V2956" i="1"/>
  <c r="W2939" i="1"/>
  <c r="X2915" i="1"/>
  <c r="V2864" i="1"/>
  <c r="W2861" i="1"/>
  <c r="W2831" i="1"/>
  <c r="X2818" i="1"/>
  <c r="X2811" i="1"/>
  <c r="W2804" i="1"/>
  <c r="X2785" i="1"/>
  <c r="V2772" i="1"/>
  <c r="W2765" i="1"/>
  <c r="X2738" i="1"/>
  <c r="W2701" i="1"/>
  <c r="V2692" i="1"/>
  <c r="V2653" i="1"/>
  <c r="W2629" i="1"/>
  <c r="X2620" i="1"/>
  <c r="V2588" i="1"/>
  <c r="X2578" i="1"/>
  <c r="X2567" i="1"/>
  <c r="X2564" i="1"/>
  <c r="W2537" i="1"/>
  <c r="W2517" i="1"/>
  <c r="V2484" i="1"/>
  <c r="V2358" i="1"/>
  <c r="V2348" i="1"/>
  <c r="X2300" i="1"/>
  <c r="V2218" i="1"/>
  <c r="W2142" i="1"/>
  <c r="V2052" i="1"/>
  <c r="W2018" i="1"/>
  <c r="W2015" i="1"/>
  <c r="W2000" i="1"/>
  <c r="X1929" i="1"/>
  <c r="V1923" i="1"/>
  <c r="W1916" i="1"/>
  <c r="W1903" i="1"/>
  <c r="V1900" i="1"/>
  <c r="X1863" i="1"/>
  <c r="W1827" i="1"/>
  <c r="V1808" i="1"/>
  <c r="W1795" i="1"/>
  <c r="W1699" i="1"/>
  <c r="V1687" i="1"/>
  <c r="V1684" i="1"/>
  <c r="V1593" i="1"/>
  <c r="V1576" i="1"/>
  <c r="X1555" i="1"/>
  <c r="X1548" i="1"/>
  <c r="V1545" i="1"/>
  <c r="V1542" i="1"/>
  <c r="V1526" i="1"/>
  <c r="V1519" i="1"/>
  <c r="W1498" i="1"/>
  <c r="V1462" i="1"/>
  <c r="V1459" i="1"/>
  <c r="V1415" i="1"/>
  <c r="X1405" i="1"/>
  <c r="X1395" i="1"/>
  <c r="X1388" i="1"/>
  <c r="V1351" i="1"/>
  <c r="V1334" i="1"/>
  <c r="X1331" i="1"/>
  <c r="X1273" i="1"/>
  <c r="V1151" i="1"/>
  <c r="W1130" i="1"/>
  <c r="W1098" i="1"/>
  <c r="V1071" i="1"/>
  <c r="X1003" i="1"/>
  <c r="V913" i="1"/>
  <c r="W907" i="1"/>
  <c r="X888" i="1"/>
  <c r="W862" i="1"/>
  <c r="V813" i="1"/>
  <c r="V755" i="1"/>
  <c r="V745" i="1"/>
  <c r="V721" i="1"/>
  <c r="W707" i="1"/>
  <c r="V674" i="1"/>
  <c r="V658" i="1"/>
  <c r="V651" i="1"/>
  <c r="V563" i="1"/>
  <c r="V545" i="1"/>
  <c r="W542" i="1"/>
  <c r="V539" i="1"/>
  <c r="G1092" i="1"/>
  <c r="H1092" i="1" s="1"/>
  <c r="G994" i="1"/>
  <c r="E974" i="1"/>
  <c r="G968" i="1"/>
  <c r="I693" i="1"/>
  <c r="C406" i="1"/>
  <c r="D406" i="1" s="1"/>
  <c r="P413" i="1"/>
  <c r="C421" i="1"/>
  <c r="E421" i="1" s="1"/>
  <c r="P439" i="1"/>
  <c r="D453" i="1"/>
  <c r="G477" i="1"/>
  <c r="E501" i="1"/>
  <c r="G510" i="1"/>
  <c r="E513" i="1"/>
  <c r="E526" i="1"/>
  <c r="G533" i="1"/>
  <c r="D546" i="1"/>
  <c r="G550" i="1"/>
  <c r="O1009" i="1"/>
  <c r="O725" i="1"/>
  <c r="Q883" i="1"/>
  <c r="Q625" i="1"/>
  <c r="W3459" i="1"/>
  <c r="W3443" i="1"/>
  <c r="W3376" i="1"/>
  <c r="W3340" i="1"/>
  <c r="X3320" i="1"/>
  <c r="X3240" i="1"/>
  <c r="W3030" i="1"/>
  <c r="X3024" i="1"/>
  <c r="X2984" i="1"/>
  <c r="X2977" i="1"/>
  <c r="W2956" i="1"/>
  <c r="X2772" i="1"/>
  <c r="X2692" i="1"/>
  <c r="W2653" i="1"/>
  <c r="X2484" i="1"/>
  <c r="W2348" i="1"/>
  <c r="W2052" i="1"/>
  <c r="X2018" i="1"/>
  <c r="X2015" i="1"/>
  <c r="V1957" i="1"/>
  <c r="W1927" i="1"/>
  <c r="V1913" i="1"/>
  <c r="V1836" i="1"/>
  <c r="X1818" i="1"/>
  <c r="W1808" i="1"/>
  <c r="V1775" i="1"/>
  <c r="X1741" i="1"/>
  <c r="W1731" i="1"/>
  <c r="W1687" i="1"/>
  <c r="W1674" i="1"/>
  <c r="X1671" i="1"/>
  <c r="V1664" i="1"/>
  <c r="V1641" i="1"/>
  <c r="V1631" i="1"/>
  <c r="W1570" i="1"/>
  <c r="X1545" i="1"/>
  <c r="V1535" i="1"/>
  <c r="V1532" i="1"/>
  <c r="X1526" i="1"/>
  <c r="V1523" i="1"/>
  <c r="V1495" i="1"/>
  <c r="V1475" i="1"/>
  <c r="V1472" i="1"/>
  <c r="X1462" i="1"/>
  <c r="X1459" i="1"/>
  <c r="X1431" i="1"/>
  <c r="X1415" i="1"/>
  <c r="W1412" i="1"/>
  <c r="V1385" i="1"/>
  <c r="V1365" i="1"/>
  <c r="X1334" i="1"/>
  <c r="V1302" i="1"/>
  <c r="X1299" i="1"/>
  <c r="V1267" i="1"/>
  <c r="V1225" i="1"/>
  <c r="W1162" i="1"/>
  <c r="V1159" i="1"/>
  <c r="V1156" i="1"/>
  <c r="W1154" i="1"/>
  <c r="W1151" i="1"/>
  <c r="X1130" i="1"/>
  <c r="X1098" i="1"/>
  <c r="X1095" i="1"/>
  <c r="W1071" i="1"/>
  <c r="X913" i="1"/>
  <c r="X907" i="1"/>
  <c r="I1092" i="1"/>
  <c r="I968" i="1"/>
  <c r="C412" i="1"/>
  <c r="E412" i="1" s="1"/>
  <c r="C449" i="1"/>
  <c r="D449" i="1" s="1"/>
  <c r="C489" i="1"/>
  <c r="E489" i="1" s="1"/>
  <c r="D503" i="1"/>
  <c r="P520" i="1"/>
  <c r="P530" i="1"/>
  <c r="G541" i="1"/>
  <c r="G543" i="1"/>
  <c r="C546" i="1"/>
  <c r="F550" i="1"/>
  <c r="O419" i="1"/>
  <c r="Q1009" i="1"/>
  <c r="V983" i="1"/>
  <c r="W942" i="1"/>
  <c r="W694" i="1"/>
  <c r="W678" i="1"/>
  <c r="W668" i="1"/>
  <c r="X638" i="1"/>
  <c r="V579" i="1"/>
  <c r="D399" i="1"/>
  <c r="G450" i="1"/>
  <c r="D543" i="1"/>
  <c r="D550" i="1"/>
  <c r="O811" i="1"/>
  <c r="O621" i="1"/>
  <c r="Q1130" i="1"/>
  <c r="Q520" i="1"/>
  <c r="W509" i="1"/>
  <c r="F541" i="1"/>
  <c r="G552" i="1"/>
  <c r="P1254" i="1"/>
  <c r="E1251" i="1"/>
  <c r="D1198" i="1"/>
  <c r="P1194" i="1"/>
  <c r="E1188" i="1"/>
  <c r="F1170" i="1"/>
  <c r="F1122" i="1"/>
  <c r="E1054" i="1"/>
  <c r="G1028" i="1"/>
  <c r="F821" i="1"/>
  <c r="G776" i="1"/>
  <c r="I755" i="1"/>
  <c r="I741" i="1"/>
  <c r="E701" i="1"/>
  <c r="C698" i="1"/>
  <c r="F606" i="1"/>
  <c r="C592" i="1"/>
  <c r="I585" i="1"/>
  <c r="G570" i="1"/>
  <c r="E399" i="1"/>
  <c r="P411" i="1"/>
  <c r="G426" i="1"/>
  <c r="P448" i="1"/>
  <c r="Q448" i="1" s="1"/>
  <c r="G465" i="1"/>
  <c r="P467" i="1"/>
  <c r="P478" i="1"/>
  <c r="F485" i="1"/>
  <c r="G490" i="1"/>
  <c r="G493" i="1"/>
  <c r="G517" i="1"/>
  <c r="D522" i="1"/>
  <c r="F523" i="1"/>
  <c r="G535" i="1"/>
  <c r="E541" i="1"/>
  <c r="C543" i="1"/>
  <c r="E547" i="1"/>
  <c r="C552" i="1"/>
  <c r="O1130" i="1"/>
  <c r="O817" i="1"/>
  <c r="O625" i="1"/>
  <c r="Q1136" i="1"/>
  <c r="Q740" i="1"/>
  <c r="Q522" i="1"/>
  <c r="V3593" i="1"/>
  <c r="V3536" i="1"/>
  <c r="V3504" i="1"/>
  <c r="V3474" i="1"/>
  <c r="X3407" i="1"/>
  <c r="X3308" i="1"/>
  <c r="V3280" i="1"/>
  <c r="W3253" i="1"/>
  <c r="W3195" i="1"/>
  <c r="W3180" i="1"/>
  <c r="X3105" i="1"/>
  <c r="X3079" i="1"/>
  <c r="V3062" i="1"/>
  <c r="V3059" i="1"/>
  <c r="X3052" i="1"/>
  <c r="V2992" i="1"/>
  <c r="W2965" i="1"/>
  <c r="W2947" i="1"/>
  <c r="X2944" i="1"/>
  <c r="W2924" i="1"/>
  <c r="W2894" i="1"/>
  <c r="X2880" i="1"/>
  <c r="W2838" i="1"/>
  <c r="X2832" i="1"/>
  <c r="X2823" i="1"/>
  <c r="W2773" i="1"/>
  <c r="W2713" i="1"/>
  <c r="W2693" i="1"/>
  <c r="W2676" i="1"/>
  <c r="V2628" i="1"/>
  <c r="V2625" i="1"/>
  <c r="X2615" i="1"/>
  <c r="W2597" i="1"/>
  <c r="V2556" i="1"/>
  <c r="X2546" i="1"/>
  <c r="V2516" i="1"/>
  <c r="V2509" i="1"/>
  <c r="W2485" i="1"/>
  <c r="V2461" i="1"/>
  <c r="W2439" i="1"/>
  <c r="W2405" i="1"/>
  <c r="X2336" i="1"/>
  <c r="V2326" i="1"/>
  <c r="W2316" i="1"/>
  <c r="V2238" i="1"/>
  <c r="V2198" i="1"/>
  <c r="W2182" i="1"/>
  <c r="V2156" i="1"/>
  <c r="V2150" i="1"/>
  <c r="W2075" i="1"/>
  <c r="W2056" i="1"/>
  <c r="V2051" i="1"/>
  <c r="X2031" i="1"/>
  <c r="V1999" i="1"/>
  <c r="V1983" i="1"/>
  <c r="V1980" i="1"/>
  <c r="X1911" i="1"/>
  <c r="W1904" i="1"/>
  <c r="V1889" i="1"/>
  <c r="V1881" i="1"/>
  <c r="W1868" i="1"/>
  <c r="X1828" i="1"/>
  <c r="V1807" i="1"/>
  <c r="W1746" i="1"/>
  <c r="X1735" i="1"/>
  <c r="V1732" i="1"/>
  <c r="V1719" i="1"/>
  <c r="V1688" i="1"/>
  <c r="X1611" i="1"/>
  <c r="V1584" i="1"/>
  <c r="V1575" i="1"/>
  <c r="V1493" i="1"/>
  <c r="V1467" i="1"/>
  <c r="V1448" i="1"/>
  <c r="V1416" i="1"/>
  <c r="W1410" i="1"/>
  <c r="V1383" i="1"/>
  <c r="V1377" i="1"/>
  <c r="V1359" i="1"/>
  <c r="X1311" i="1"/>
  <c r="V1257" i="1"/>
  <c r="X1186" i="1"/>
  <c r="W1170" i="1"/>
  <c r="X1163" i="1"/>
  <c r="V1131" i="1"/>
  <c r="X1103" i="1"/>
  <c r="W1082" i="1"/>
  <c r="V1079" i="1"/>
  <c r="W1066" i="1"/>
  <c r="W1042" i="1"/>
  <c r="V1039" i="1"/>
  <c r="W998" i="1"/>
  <c r="V977" i="1"/>
  <c r="W958" i="1"/>
  <c r="W908" i="1"/>
  <c r="W820" i="1"/>
  <c r="X785" i="1"/>
  <c r="W740" i="1"/>
  <c r="X726" i="1"/>
  <c r="W702" i="1"/>
  <c r="W621" i="1"/>
  <c r="V595" i="1"/>
  <c r="O1136" i="1"/>
  <c r="X515" i="1"/>
  <c r="W3158" i="1"/>
  <c r="V3158" i="1"/>
  <c r="V3015" i="1"/>
  <c r="X3015" i="1"/>
  <c r="W2716" i="1"/>
  <c r="V2716" i="1"/>
  <c r="W2706" i="1"/>
  <c r="X2706" i="1"/>
  <c r="V2679" i="1"/>
  <c r="X2679" i="1"/>
  <c r="G1226" i="1"/>
  <c r="I966" i="1"/>
  <c r="I1226" i="1"/>
  <c r="P1165" i="1"/>
  <c r="I1143" i="1"/>
  <c r="E1136" i="1"/>
  <c r="C1108" i="1"/>
  <c r="C978" i="1"/>
  <c r="G964" i="1"/>
  <c r="G883" i="1"/>
  <c r="P853" i="1"/>
  <c r="F739" i="1"/>
  <c r="I570" i="1"/>
  <c r="E480" i="1"/>
  <c r="F480" i="1" s="1"/>
  <c r="F493" i="1"/>
  <c r="D535" i="1"/>
  <c r="D541" i="1"/>
  <c r="G551" i="1"/>
  <c r="O1274" i="1"/>
  <c r="O1207" i="1"/>
  <c r="O1040" i="1"/>
  <c r="O1011" i="1"/>
  <c r="O985" i="1"/>
  <c r="O950" i="1"/>
  <c r="O801" i="1"/>
  <c r="O747" i="1"/>
  <c r="O514" i="1"/>
  <c r="O421" i="1"/>
  <c r="Q1268" i="1"/>
  <c r="Q1172" i="1"/>
  <c r="Q1099" i="1"/>
  <c r="Q1017" i="1"/>
  <c r="Q980" i="1"/>
  <c r="Q916" i="1"/>
  <c r="Q828" i="1"/>
  <c r="Q706" i="1"/>
  <c r="Q574" i="1"/>
  <c r="Q498" i="1"/>
  <c r="V3603" i="1"/>
  <c r="X3600" i="1"/>
  <c r="V3591" i="1"/>
  <c r="E1357" i="1"/>
  <c r="P1353" i="1"/>
  <c r="G1210" i="1"/>
  <c r="I1159" i="1"/>
  <c r="I1156" i="1"/>
  <c r="F1150" i="1"/>
  <c r="I1127" i="1"/>
  <c r="D1110" i="1"/>
  <c r="D1108" i="1"/>
  <c r="G1098" i="1"/>
  <c r="P1080" i="1"/>
  <c r="C1054" i="1"/>
  <c r="I1033" i="1"/>
  <c r="F987" i="1"/>
  <c r="G978" i="1"/>
  <c r="I973" i="1"/>
  <c r="I964" i="1"/>
  <c r="D887" i="1"/>
  <c r="D821" i="1"/>
  <c r="P799" i="1"/>
  <c r="F729" i="1"/>
  <c r="P557" i="1"/>
  <c r="G394" i="1"/>
  <c r="P399" i="1"/>
  <c r="C401" i="1"/>
  <c r="E401" i="1" s="1"/>
  <c r="G403" i="1"/>
  <c r="G411" i="1"/>
  <c r="G412" i="1"/>
  <c r="G413" i="1"/>
  <c r="G414" i="1"/>
  <c r="C416" i="1"/>
  <c r="E416" i="1" s="1"/>
  <c r="F416" i="1" s="1"/>
  <c r="P421" i="1"/>
  <c r="P427" i="1"/>
  <c r="G435" i="1"/>
  <c r="P446" i="1"/>
  <c r="Q446" i="1" s="1"/>
  <c r="P453" i="1"/>
  <c r="P456" i="1"/>
  <c r="P470" i="1"/>
  <c r="Q470" i="1" s="1"/>
  <c r="D480" i="1"/>
  <c r="G482" i="1"/>
  <c r="E485" i="1"/>
  <c r="E493" i="1"/>
  <c r="C495" i="1"/>
  <c r="P497" i="1"/>
  <c r="D505" i="1"/>
  <c r="P507" i="1"/>
  <c r="G509" i="1"/>
  <c r="P518" i="1"/>
  <c r="P521" i="1"/>
  <c r="E524" i="1"/>
  <c r="C535" i="1"/>
  <c r="P538" i="1"/>
  <c r="C541" i="1"/>
  <c r="C544" i="1"/>
  <c r="P545" i="1"/>
  <c r="C547" i="1"/>
  <c r="F548" i="1"/>
  <c r="F551" i="1"/>
  <c r="O1325" i="1"/>
  <c r="O1218" i="1"/>
  <c r="O1149" i="1"/>
  <c r="O1105" i="1"/>
  <c r="O1014" i="1"/>
  <c r="O853" i="1"/>
  <c r="O805" i="1"/>
  <c r="O706" i="1"/>
  <c r="O475" i="1"/>
  <c r="T475" i="1" s="1"/>
  <c r="O423" i="1"/>
  <c r="O399" i="1"/>
  <c r="Q1271" i="1"/>
  <c r="Q1184" i="1"/>
  <c r="Q1105" i="1"/>
  <c r="Q1024" i="1"/>
  <c r="Q985" i="1"/>
  <c r="Q923" i="1"/>
  <c r="Q832" i="1"/>
  <c r="Q776" i="1"/>
  <c r="Q715" i="1"/>
  <c r="Q648" i="1"/>
  <c r="Q586" i="1"/>
  <c r="Q543" i="1"/>
  <c r="Q508" i="1"/>
  <c r="Q478" i="1"/>
  <c r="Q423" i="1"/>
  <c r="W3603" i="1"/>
  <c r="V3594" i="1"/>
  <c r="X3573" i="1"/>
  <c r="V3570" i="1"/>
  <c r="V3561" i="1"/>
  <c r="V3552" i="1"/>
  <c r="X3530" i="1"/>
  <c r="V3528" i="1"/>
  <c r="V3522" i="1"/>
  <c r="V3497" i="1"/>
  <c r="W3491" i="1"/>
  <c r="V3489" i="1"/>
  <c r="X3469" i="1"/>
  <c r="W3466" i="1"/>
  <c r="V3464" i="1"/>
  <c r="X3461" i="1"/>
  <c r="X3456" i="1"/>
  <c r="X3453" i="1"/>
  <c r="X3448" i="1"/>
  <c r="V3434" i="1"/>
  <c r="X3420" i="1"/>
  <c r="X3415" i="1"/>
  <c r="V3404" i="1"/>
  <c r="W3389" i="1"/>
  <c r="V3387" i="1"/>
  <c r="V3368" i="1"/>
  <c r="X3339" i="1"/>
  <c r="V3334" i="1"/>
  <c r="W3316" i="1"/>
  <c r="X3307" i="1"/>
  <c r="X3298" i="1"/>
  <c r="V3285" i="1"/>
  <c r="V3273" i="1"/>
  <c r="X3264" i="1"/>
  <c r="V3253" i="1"/>
  <c r="V3250" i="1"/>
  <c r="V3242" i="1"/>
  <c r="X3234" i="1"/>
  <c r="W3228" i="1"/>
  <c r="V3222" i="1"/>
  <c r="X3209" i="1"/>
  <c r="X3188" i="1"/>
  <c r="W3182" i="1"/>
  <c r="V3180" i="1"/>
  <c r="V3171" i="1"/>
  <c r="W3113" i="1"/>
  <c r="V3097" i="1"/>
  <c r="W3088" i="1"/>
  <c r="X3081" i="1"/>
  <c r="X3068" i="1"/>
  <c r="W3060" i="1"/>
  <c r="X3044" i="1"/>
  <c r="W3035" i="1"/>
  <c r="X3004" i="1"/>
  <c r="X3002" i="1"/>
  <c r="X2990" i="1"/>
  <c r="V2988" i="1"/>
  <c r="W2979" i="1"/>
  <c r="V2948" i="1"/>
  <c r="W2933" i="1"/>
  <c r="X2920" i="1"/>
  <c r="X2912" i="1"/>
  <c r="W2862" i="1"/>
  <c r="X2850" i="1"/>
  <c r="W2805" i="1"/>
  <c r="X2756" i="1"/>
  <c r="W3012" i="1"/>
  <c r="V3012" i="1"/>
  <c r="V2937" i="1"/>
  <c r="X2937" i="1"/>
  <c r="X2860" i="1"/>
  <c r="W2860" i="1"/>
  <c r="V2779" i="1"/>
  <c r="W2779" i="1"/>
  <c r="W2690" i="1"/>
  <c r="X2690" i="1"/>
  <c r="W2612" i="1"/>
  <c r="V2612" i="1"/>
  <c r="I1251" i="1"/>
  <c r="I1210" i="1"/>
  <c r="G1108" i="1"/>
  <c r="H1108" i="1" s="1"/>
  <c r="I1098" i="1"/>
  <c r="G389" i="1"/>
  <c r="G390" i="1"/>
  <c r="G395" i="1"/>
  <c r="G404" i="1"/>
  <c r="G408" i="1"/>
  <c r="G419" i="1"/>
  <c r="G420" i="1"/>
  <c r="D475" i="1"/>
  <c r="G491" i="1"/>
  <c r="D493" i="1"/>
  <c r="D509" i="1"/>
  <c r="E520" i="1"/>
  <c r="G525" i="1"/>
  <c r="D529" i="1"/>
  <c r="G532" i="1"/>
  <c r="H535" i="1"/>
  <c r="G536" i="1"/>
  <c r="E548" i="1"/>
  <c r="O1329" i="1"/>
  <c r="O1222" i="1"/>
  <c r="O1110" i="1"/>
  <c r="O1055" i="1"/>
  <c r="O1017" i="1"/>
  <c r="O995" i="1"/>
  <c r="O923" i="1"/>
  <c r="O869" i="1"/>
  <c r="O709" i="1"/>
  <c r="O671" i="1"/>
  <c r="O566" i="1"/>
  <c r="O521" i="1"/>
  <c r="O486" i="1"/>
  <c r="O424" i="1"/>
  <c r="Q424" i="1" s="1"/>
  <c r="Q1274" i="1"/>
  <c r="Q1207" i="1"/>
  <c r="Q1118" i="1"/>
  <c r="Q1033" i="1"/>
  <c r="Q988" i="1"/>
  <c r="Q937" i="1"/>
  <c r="Q836" i="1"/>
  <c r="Q718" i="1"/>
  <c r="Q544" i="1"/>
  <c r="X3466" i="1"/>
  <c r="X2979" i="1"/>
  <c r="V3148" i="1"/>
  <c r="X3148" i="1"/>
  <c r="V3086" i="1"/>
  <c r="X3086" i="1"/>
  <c r="V2991" i="1"/>
  <c r="W2991" i="1"/>
  <c r="V2928" i="1"/>
  <c r="W2928" i="1"/>
  <c r="W2806" i="1"/>
  <c r="V2806" i="1"/>
  <c r="V2760" i="1"/>
  <c r="X2760" i="1"/>
  <c r="W2760" i="1"/>
  <c r="V2727" i="1"/>
  <c r="W2727" i="1"/>
  <c r="W2700" i="1"/>
  <c r="X2700" i="1"/>
  <c r="V2700" i="1"/>
  <c r="X2669" i="1"/>
  <c r="W2669" i="1"/>
  <c r="V2669" i="1"/>
  <c r="W2652" i="1"/>
  <c r="X2652" i="1"/>
  <c r="V2652" i="1"/>
  <c r="F1110" i="1"/>
  <c r="F1271" i="1"/>
  <c r="E1184" i="1"/>
  <c r="D1174" i="1"/>
  <c r="F1137" i="1"/>
  <c r="I1110" i="1"/>
  <c r="I1108" i="1"/>
  <c r="G1097" i="1"/>
  <c r="C1092" i="1"/>
  <c r="P1064" i="1"/>
  <c r="I1054" i="1"/>
  <c r="E1031" i="1"/>
  <c r="E1028" i="1"/>
  <c r="D1010" i="1"/>
  <c r="D1000" i="1"/>
  <c r="E976" i="1"/>
  <c r="G821" i="1"/>
  <c r="D685" i="1"/>
  <c r="G670" i="1"/>
  <c r="C582" i="1"/>
  <c r="D394" i="1"/>
  <c r="G396" i="1"/>
  <c r="G397" i="1"/>
  <c r="G405" i="1"/>
  <c r="C410" i="1"/>
  <c r="D410" i="1" s="1"/>
  <c r="E414" i="1"/>
  <c r="P415" i="1"/>
  <c r="G421" i="1"/>
  <c r="G422" i="1"/>
  <c r="C427" i="1"/>
  <c r="D427" i="1" s="1"/>
  <c r="P431" i="1"/>
  <c r="C437" i="1"/>
  <c r="E437" i="1" s="1"/>
  <c r="C441" i="1"/>
  <c r="E441" i="1" s="1"/>
  <c r="P461" i="1"/>
  <c r="C475" i="1"/>
  <c r="C491" i="1"/>
  <c r="C493" i="1"/>
  <c r="P494" i="1"/>
  <c r="P499" i="1"/>
  <c r="P504" i="1"/>
  <c r="C509" i="1"/>
  <c r="G518" i="1"/>
  <c r="H518" i="1" s="1"/>
  <c r="C520" i="1"/>
  <c r="G521" i="1"/>
  <c r="E525" i="1"/>
  <c r="P526" i="1"/>
  <c r="C529" i="1"/>
  <c r="E532" i="1"/>
  <c r="E536" i="1"/>
  <c r="P540" i="1"/>
  <c r="P543" i="1"/>
  <c r="G545" i="1"/>
  <c r="D548" i="1"/>
  <c r="G549" i="1"/>
  <c r="P550" i="1"/>
  <c r="O1344" i="1"/>
  <c r="O1224" i="1"/>
  <c r="O1157" i="1"/>
  <c r="O1118" i="1"/>
  <c r="O1064" i="1"/>
  <c r="O976" i="1"/>
  <c r="O873" i="1"/>
  <c r="O813" i="1"/>
  <c r="O776" i="1"/>
  <c r="O715" i="1"/>
  <c r="O674" i="1"/>
  <c r="O574" i="1"/>
  <c r="O427" i="1"/>
  <c r="O407" i="1"/>
  <c r="O382" i="1"/>
  <c r="Q382" i="1" s="1"/>
  <c r="Q1218" i="1"/>
  <c r="Q1121" i="1"/>
  <c r="Q1040" i="1"/>
  <c r="Q995" i="1"/>
  <c r="Q943" i="1"/>
  <c r="Q873" i="1"/>
  <c r="Q786" i="1"/>
  <c r="Q722" i="1"/>
  <c r="Q651" i="1"/>
  <c r="Q596" i="1"/>
  <c r="Q545" i="1"/>
  <c r="Q486" i="1"/>
  <c r="V3577" i="1"/>
  <c r="V3568" i="1"/>
  <c r="X3517" i="1"/>
  <c r="V3512" i="1"/>
  <c r="V3506" i="1"/>
  <c r="V3481" i="1"/>
  <c r="W3475" i="1"/>
  <c r="V3473" i="1"/>
  <c r="X3446" i="1"/>
  <c r="X3429" i="1"/>
  <c r="V3424" i="1"/>
  <c r="X3393" i="1"/>
  <c r="V3381" i="1"/>
  <c r="X3362" i="1"/>
  <c r="W3356" i="1"/>
  <c r="W3351" i="1"/>
  <c r="W3345" i="1"/>
  <c r="W3337" i="1"/>
  <c r="V3314" i="1"/>
  <c r="V3289" i="1"/>
  <c r="X3283" i="1"/>
  <c r="V3277" i="1"/>
  <c r="V3248" i="1"/>
  <c r="V3245" i="1"/>
  <c r="V3232" i="1"/>
  <c r="V3204" i="1"/>
  <c r="V3139" i="1"/>
  <c r="V3126" i="1"/>
  <c r="W3092" i="1"/>
  <c r="V3042" i="1"/>
  <c r="W3022" i="1"/>
  <c r="X2983" i="1"/>
  <c r="X2963" i="1"/>
  <c r="W2958" i="1"/>
  <c r="X2918" i="1"/>
  <c r="W2888" i="1"/>
  <c r="V2860" i="1"/>
  <c r="V2857" i="1"/>
  <c r="X2854" i="1"/>
  <c r="W2797" i="1"/>
  <c r="X2779" i="1"/>
  <c r="X2612" i="1"/>
  <c r="W3145" i="1"/>
  <c r="V3145" i="1"/>
  <c r="V3080" i="1"/>
  <c r="W3080" i="1"/>
  <c r="X2925" i="1"/>
  <c r="W2925" i="1"/>
  <c r="W2810" i="1"/>
  <c r="X2810" i="1"/>
  <c r="W2786" i="1"/>
  <c r="V2786" i="1"/>
  <c r="V2663" i="1"/>
  <c r="X2663" i="1"/>
  <c r="W2596" i="1"/>
  <c r="V2596" i="1"/>
  <c r="V2585" i="1"/>
  <c r="W2585" i="1"/>
  <c r="P386" i="1"/>
  <c r="Q386" i="1" s="1"/>
  <c r="P391" i="1"/>
  <c r="Q391" i="1" s="1"/>
  <c r="E394" i="1"/>
  <c r="C443" i="1"/>
  <c r="D443" i="1" s="1"/>
  <c r="P445" i="1"/>
  <c r="C448" i="1"/>
  <c r="D448" i="1" s="1"/>
  <c r="E453" i="1"/>
  <c r="F453" i="1" s="1"/>
  <c r="P459" i="1"/>
  <c r="G463" i="1"/>
  <c r="G470" i="1"/>
  <c r="P496" i="1"/>
  <c r="P501" i="1"/>
  <c r="P515" i="1"/>
  <c r="F521" i="1"/>
  <c r="D525" i="1"/>
  <c r="G534" i="1"/>
  <c r="C536" i="1"/>
  <c r="P537" i="1"/>
  <c r="E545" i="1"/>
  <c r="E549" i="1"/>
  <c r="O1358" i="1"/>
  <c r="O1225" i="1"/>
  <c r="O1160" i="1"/>
  <c r="O1121" i="1"/>
  <c r="O1070" i="1"/>
  <c r="O1024" i="1"/>
  <c r="O1000" i="1"/>
  <c r="O978" i="1"/>
  <c r="O877" i="1"/>
  <c r="O718" i="1"/>
  <c r="O681" i="1"/>
  <c r="O495" i="1"/>
  <c r="O431" i="1"/>
  <c r="Q1340" i="1"/>
  <c r="Q1222" i="1"/>
  <c r="Q1127" i="1"/>
  <c r="Q1055" i="1"/>
  <c r="Q1000" i="1"/>
  <c r="Q950" i="1"/>
  <c r="Q880" i="1"/>
  <c r="Q801" i="1"/>
  <c r="Q671" i="1"/>
  <c r="Q555" i="1"/>
  <c r="X3512" i="1"/>
  <c r="X3506" i="1"/>
  <c r="X3424" i="1"/>
  <c r="X3351" i="1"/>
  <c r="X3248" i="1"/>
  <c r="X3232" i="1"/>
  <c r="X3204" i="1"/>
  <c r="X3092" i="1"/>
  <c r="X2958" i="1"/>
  <c r="X3133" i="1"/>
  <c r="V3133" i="1"/>
  <c r="W3074" i="1"/>
  <c r="V3074" i="1"/>
  <c r="W2978" i="1"/>
  <c r="V2978" i="1"/>
  <c r="X2916" i="1"/>
  <c r="V2916" i="1"/>
  <c r="V2855" i="1"/>
  <c r="X2855" i="1"/>
  <c r="W2828" i="1"/>
  <c r="X2828" i="1"/>
  <c r="W2708" i="1"/>
  <c r="V2708" i="1"/>
  <c r="V2681" i="1"/>
  <c r="W2681" i="1"/>
  <c r="X2677" i="1"/>
  <c r="W2677" i="1"/>
  <c r="V2660" i="1"/>
  <c r="X2660" i="1"/>
  <c r="X2613" i="1"/>
  <c r="W2613" i="1"/>
  <c r="X2589" i="1"/>
  <c r="V2589" i="1"/>
  <c r="W2572" i="1"/>
  <c r="X2572" i="1"/>
  <c r="V2572" i="1"/>
  <c r="H536" i="1"/>
  <c r="O1362" i="1"/>
  <c r="O1250" i="1"/>
  <c r="O1178" i="1"/>
  <c r="O1127" i="1"/>
  <c r="O1002" i="1"/>
  <c r="O937" i="1"/>
  <c r="O786" i="1"/>
  <c r="O722" i="1"/>
  <c r="O498" i="1"/>
  <c r="O415" i="1"/>
  <c r="Q1344" i="1"/>
  <c r="Q1225" i="1"/>
  <c r="Q956" i="1"/>
  <c r="Q674" i="1"/>
  <c r="V2972" i="1"/>
  <c r="V2947" i="1"/>
  <c r="V2892" i="1"/>
  <c r="V2876" i="1"/>
  <c r="X2596" i="1"/>
  <c r="W2914" i="1"/>
  <c r="V2914" i="1"/>
  <c r="V2843" i="1"/>
  <c r="W2843" i="1"/>
  <c r="W2777" i="1"/>
  <c r="X2777" i="1"/>
  <c r="W2748" i="1"/>
  <c r="V2748" i="1"/>
  <c r="V2633" i="1"/>
  <c r="W2633" i="1"/>
  <c r="W2610" i="1"/>
  <c r="X2610" i="1"/>
  <c r="W2593" i="1"/>
  <c r="V2593" i="1"/>
  <c r="P1345" i="1"/>
  <c r="F1251" i="1"/>
  <c r="C1226" i="1"/>
  <c r="E1158" i="1"/>
  <c r="G1122" i="1"/>
  <c r="H1122" i="1" s="1"/>
  <c r="I1095" i="1"/>
  <c r="I1055" i="1"/>
  <c r="E1042" i="1"/>
  <c r="C1018" i="1"/>
  <c r="C980" i="1"/>
  <c r="C964" i="1"/>
  <c r="E954" i="1"/>
  <c r="P813" i="1"/>
  <c r="E784" i="1"/>
  <c r="F693" i="1"/>
  <c r="D610" i="1"/>
  <c r="P596" i="1"/>
  <c r="I576" i="1"/>
  <c r="F570" i="1"/>
  <c r="D389" i="1"/>
  <c r="D390" i="1"/>
  <c r="D395" i="1"/>
  <c r="C404" i="1"/>
  <c r="D404" i="1" s="1"/>
  <c r="G416" i="1"/>
  <c r="C419" i="1"/>
  <c r="E419" i="1" s="1"/>
  <c r="C420" i="1"/>
  <c r="E420" i="1" s="1"/>
  <c r="P430" i="1"/>
  <c r="Q430" i="1" s="1"/>
  <c r="P447" i="1"/>
  <c r="P454" i="1"/>
  <c r="Q454" i="1" s="1"/>
  <c r="C459" i="1"/>
  <c r="D459" i="1" s="1"/>
  <c r="C476" i="1"/>
  <c r="E476" i="1" s="1"/>
  <c r="P480" i="1"/>
  <c r="C492" i="1"/>
  <c r="P505" i="1"/>
  <c r="C521" i="1"/>
  <c r="P524" i="1"/>
  <c r="D526" i="1"/>
  <c r="C528" i="1"/>
  <c r="H541" i="1"/>
  <c r="C545" i="1"/>
  <c r="O1264" i="1"/>
  <c r="O1184" i="1"/>
  <c r="O1079" i="1"/>
  <c r="O1033" i="1"/>
  <c r="O938" i="1"/>
  <c r="O880" i="1"/>
  <c r="O825" i="1"/>
  <c r="O693" i="1"/>
  <c r="O586" i="1"/>
  <c r="O507" i="1"/>
  <c r="O442" i="1"/>
  <c r="O416" i="1"/>
  <c r="Q1358" i="1"/>
  <c r="Q1250" i="1"/>
  <c r="Q1070" i="1"/>
  <c r="Q1011" i="1"/>
  <c r="Q976" i="1"/>
  <c r="Q681" i="1"/>
  <c r="Q524" i="1"/>
  <c r="Q494" i="1"/>
  <c r="X3593" i="1"/>
  <c r="V3578" i="1"/>
  <c r="V3569" i="1"/>
  <c r="V3560" i="1"/>
  <c r="X3538" i="1"/>
  <c r="X3521" i="1"/>
  <c r="X3496" i="1"/>
  <c r="X3493" i="1"/>
  <c r="X3490" i="1"/>
  <c r="V3488" i="1"/>
  <c r="V3482" i="1"/>
  <c r="V3455" i="1"/>
  <c r="X3433" i="1"/>
  <c r="V3422" i="1"/>
  <c r="W3403" i="1"/>
  <c r="W3391" i="1"/>
  <c r="X3388" i="1"/>
  <c r="W3374" i="1"/>
  <c r="W3349" i="1"/>
  <c r="V3336" i="1"/>
  <c r="V3300" i="1"/>
  <c r="W3284" i="1"/>
  <c r="W3281" i="1"/>
  <c r="W3272" i="1"/>
  <c r="W3260" i="1"/>
  <c r="V3252" i="1"/>
  <c r="V3244" i="1"/>
  <c r="V3241" i="1"/>
  <c r="V3236" i="1"/>
  <c r="V3230" i="1"/>
  <c r="W3216" i="1"/>
  <c r="V3184" i="1"/>
  <c r="W3181" i="1"/>
  <c r="X3074" i="1"/>
  <c r="X3034" i="1"/>
  <c r="W3023" i="1"/>
  <c r="W2660" i="1"/>
  <c r="V3118" i="1"/>
  <c r="W3118" i="1"/>
  <c r="X3029" i="1"/>
  <c r="V3029" i="1"/>
  <c r="W2970" i="1"/>
  <c r="X2970" i="1"/>
  <c r="V2825" i="1"/>
  <c r="W2825" i="1"/>
  <c r="X2725" i="1"/>
  <c r="W2725" i="1"/>
  <c r="V2725" i="1"/>
  <c r="W2722" i="1"/>
  <c r="X2722" i="1"/>
  <c r="X2685" i="1"/>
  <c r="W2685" i="1"/>
  <c r="V2685" i="1"/>
  <c r="W2657" i="1"/>
  <c r="V2657" i="1"/>
  <c r="F954" i="1"/>
  <c r="H954" i="1" s="1"/>
  <c r="O1271" i="1"/>
  <c r="O1133" i="1"/>
  <c r="O1085" i="1"/>
  <c r="O1010" i="1"/>
  <c r="O943" i="1"/>
  <c r="O555" i="1"/>
  <c r="O447" i="1"/>
  <c r="O392" i="1"/>
  <c r="Q392" i="1" s="1"/>
  <c r="Q1362" i="1"/>
  <c r="Q1264" i="1"/>
  <c r="Q1160" i="1"/>
  <c r="Q1079" i="1"/>
  <c r="Q1014" i="1"/>
  <c r="Q978" i="1"/>
  <c r="Q900" i="1"/>
  <c r="Q825" i="1"/>
  <c r="Q566" i="1"/>
  <c r="Q540" i="1"/>
  <c r="X3578" i="1"/>
  <c r="W3482" i="1"/>
  <c r="X3374" i="1"/>
  <c r="W3336" i="1"/>
  <c r="X3300" i="1"/>
  <c r="W3244" i="1"/>
  <c r="X3236" i="1"/>
  <c r="W3184" i="1"/>
  <c r="W3161" i="1"/>
  <c r="V3161" i="1"/>
  <c r="X3107" i="1"/>
  <c r="W3107" i="1"/>
  <c r="X3021" i="1"/>
  <c r="W3021" i="1"/>
  <c r="V2951" i="1"/>
  <c r="X2951" i="1"/>
  <c r="W2905" i="1"/>
  <c r="X2905" i="1"/>
  <c r="W2884" i="1"/>
  <c r="X2884" i="1"/>
  <c r="W2822" i="1"/>
  <c r="X2822" i="1"/>
  <c r="X2661" i="1"/>
  <c r="W2661" i="1"/>
  <c r="W2604" i="1"/>
  <c r="V2604" i="1"/>
  <c r="W2594" i="1"/>
  <c r="X2594" i="1"/>
  <c r="V2583" i="1"/>
  <c r="X2583" i="1"/>
  <c r="V2553" i="1"/>
  <c r="W2553" i="1"/>
  <c r="I1042" i="1"/>
  <c r="I980" i="1"/>
  <c r="E1270" i="1"/>
  <c r="G1216" i="1"/>
  <c r="H1216" i="1" s="1"/>
  <c r="C1210" i="1"/>
  <c r="I1175" i="1"/>
  <c r="G1162" i="1"/>
  <c r="P1133" i="1"/>
  <c r="I1130" i="1"/>
  <c r="C1110" i="1"/>
  <c r="F1098" i="1"/>
  <c r="P1069" i="1"/>
  <c r="I954" i="1"/>
  <c r="I661" i="1"/>
  <c r="I621" i="1"/>
  <c r="C594" i="1"/>
  <c r="G407" i="1"/>
  <c r="G410" i="1"/>
  <c r="E505" i="1"/>
  <c r="D547" i="1"/>
  <c r="O1099" i="1"/>
  <c r="V3576" i="1"/>
  <c r="X3533" i="1"/>
  <c r="V3530" i="1"/>
  <c r="X3477" i="1"/>
  <c r="V3472" i="1"/>
  <c r="W3461" i="1"/>
  <c r="V3448" i="1"/>
  <c r="W3445" i="1"/>
  <c r="V3420" i="1"/>
  <c r="W3415" i="1"/>
  <c r="V3409" i="1"/>
  <c r="X3401" i="1"/>
  <c r="W3383" i="1"/>
  <c r="W3380" i="1"/>
  <c r="X3361" i="1"/>
  <c r="V3358" i="1"/>
  <c r="W3355" i="1"/>
  <c r="X3347" i="1"/>
  <c r="W3344" i="1"/>
  <c r="W3339" i="1"/>
  <c r="W3324" i="1"/>
  <c r="V3264" i="1"/>
  <c r="W3247" i="1"/>
  <c r="V3209" i="1"/>
  <c r="X3140" i="1"/>
  <c r="V3100" i="1"/>
  <c r="V3088" i="1"/>
  <c r="V3068" i="1"/>
  <c r="W2990" i="1"/>
  <c r="X2945" i="1"/>
  <c r="X2939" i="1"/>
  <c r="W2920" i="1"/>
  <c r="X2908" i="1"/>
  <c r="X2887" i="1"/>
  <c r="W2864" i="1"/>
  <c r="W2856" i="1"/>
  <c r="V2850" i="1"/>
  <c r="V2805" i="1"/>
  <c r="X2799" i="1"/>
  <c r="W2756" i="1"/>
  <c r="X2530" i="1"/>
  <c r="V2524" i="1"/>
  <c r="V2500" i="1"/>
  <c r="V2497" i="1"/>
  <c r="X2482" i="1"/>
  <c r="W2469" i="1"/>
  <c r="V2426" i="1"/>
  <c r="X2412" i="1"/>
  <c r="V2406" i="1"/>
  <c r="V2388" i="1"/>
  <c r="V2362" i="1"/>
  <c r="V2356" i="1"/>
  <c r="V2309" i="1"/>
  <c r="X2284" i="1"/>
  <c r="V2282" i="1"/>
  <c r="V2261" i="1"/>
  <c r="V2258" i="1"/>
  <c r="V2242" i="1"/>
  <c r="V2236" i="1"/>
  <c r="W2134" i="1"/>
  <c r="W2087" i="1"/>
  <c r="V2078" i="1"/>
  <c r="W2066" i="1"/>
  <c r="X2063" i="1"/>
  <c r="X2054" i="1"/>
  <c r="V2037" i="1"/>
  <c r="V2031" i="1"/>
  <c r="V2028" i="1"/>
  <c r="X2006" i="1"/>
  <c r="V1907" i="1"/>
  <c r="X1795" i="1"/>
  <c r="V1768" i="1"/>
  <c r="W1763" i="1"/>
  <c r="X1754" i="1"/>
  <c r="W1748" i="1"/>
  <c r="V1733" i="1"/>
  <c r="W1719" i="1"/>
  <c r="X1703" i="1"/>
  <c r="V1701" i="1"/>
  <c r="W1675" i="1"/>
  <c r="V1645" i="1"/>
  <c r="W1635" i="1"/>
  <c r="V1629" i="1"/>
  <c r="X1623" i="1"/>
  <c r="X1607" i="1"/>
  <c r="V1599" i="1"/>
  <c r="V1577" i="1"/>
  <c r="X1561" i="1"/>
  <c r="V1558" i="1"/>
  <c r="W1538" i="1"/>
  <c r="W1535" i="1"/>
  <c r="V1527" i="1"/>
  <c r="W1519" i="1"/>
  <c r="V1507" i="1"/>
  <c r="W1495" i="1"/>
  <c r="V1478" i="1"/>
  <c r="V1463" i="1"/>
  <c r="X1446" i="1"/>
  <c r="W1426" i="1"/>
  <c r="W1423" i="1"/>
  <c r="V1417" i="1"/>
  <c r="V1400" i="1"/>
  <c r="V1397" i="1"/>
  <c r="V1388" i="1"/>
  <c r="W1370" i="1"/>
  <c r="X1341" i="1"/>
  <c r="V1327" i="1"/>
  <c r="W1324" i="1"/>
  <c r="V1321" i="1"/>
  <c r="X1306" i="1"/>
  <c r="V1303" i="1"/>
  <c r="X1287" i="1"/>
  <c r="W1284" i="1"/>
  <c r="V1263" i="1"/>
  <c r="V1260" i="1"/>
  <c r="W1250" i="1"/>
  <c r="W1247" i="1"/>
  <c r="X1222" i="1"/>
  <c r="X1209" i="1"/>
  <c r="V1207" i="1"/>
  <c r="W1179" i="1"/>
  <c r="V1171" i="1"/>
  <c r="V1163" i="1"/>
  <c r="W1138" i="1"/>
  <c r="W1135" i="1"/>
  <c r="W1123" i="1"/>
  <c r="W1114" i="1"/>
  <c r="X1111" i="1"/>
  <c r="V1099" i="1"/>
  <c r="X1087" i="1"/>
  <c r="V1084" i="1"/>
  <c r="V1052" i="1"/>
  <c r="W1043" i="1"/>
  <c r="X1026" i="1"/>
  <c r="V1007" i="1"/>
  <c r="V999" i="1"/>
  <c r="W974" i="1"/>
  <c r="X969" i="1"/>
  <c r="W966" i="1"/>
  <c r="X952" i="1"/>
  <c r="W939" i="1"/>
  <c r="W915" i="1"/>
  <c r="W910" i="1"/>
  <c r="X889" i="1"/>
  <c r="X880" i="1"/>
  <c r="W875" i="1"/>
  <c r="V872" i="1"/>
  <c r="W860" i="1"/>
  <c r="X809" i="1"/>
  <c r="X803" i="1"/>
  <c r="X801" i="1"/>
  <c r="X798" i="1"/>
  <c r="X795" i="1"/>
  <c r="V792" i="1"/>
  <c r="V769" i="1"/>
  <c r="X766" i="1"/>
  <c r="X763" i="1"/>
  <c r="V760" i="1"/>
  <c r="V737" i="1"/>
  <c r="X734" i="1"/>
  <c r="V723" i="1"/>
  <c r="W708" i="1"/>
  <c r="W676" i="1"/>
  <c r="W661" i="1"/>
  <c r="V659" i="1"/>
  <c r="W653" i="1"/>
  <c r="X643" i="1"/>
  <c r="V641" i="1"/>
  <c r="W638" i="1"/>
  <c r="V635" i="1"/>
  <c r="W628" i="1"/>
  <c r="V626" i="1"/>
  <c r="X611" i="1"/>
  <c r="X609" i="1"/>
  <c r="X606" i="1"/>
  <c r="W589" i="1"/>
  <c r="X579" i="1"/>
  <c r="X577" i="1"/>
  <c r="X574" i="1"/>
  <c r="W557" i="1"/>
  <c r="W547" i="1"/>
  <c r="X529" i="1"/>
  <c r="X526" i="1"/>
  <c r="W516" i="1"/>
  <c r="X2744" i="1"/>
  <c r="X2723" i="1"/>
  <c r="V2676" i="1"/>
  <c r="X2658" i="1"/>
  <c r="W2649" i="1"/>
  <c r="V2637" i="1"/>
  <c r="X2631" i="1"/>
  <c r="V2620" i="1"/>
  <c r="W2581" i="1"/>
  <c r="W2569" i="1"/>
  <c r="V2557" i="1"/>
  <c r="X2551" i="1"/>
  <c r="X2524" i="1"/>
  <c r="W2521" i="1"/>
  <c r="V2476" i="1"/>
  <c r="W2452" i="1"/>
  <c r="X2442" i="1"/>
  <c r="V2436" i="1"/>
  <c r="W2404" i="1"/>
  <c r="V2397" i="1"/>
  <c r="X2394" i="1"/>
  <c r="W2381" i="1"/>
  <c r="W2349" i="1"/>
  <c r="V2338" i="1"/>
  <c r="V2316" i="1"/>
  <c r="X2304" i="1"/>
  <c r="V2294" i="1"/>
  <c r="X2282" i="1"/>
  <c r="V2276" i="1"/>
  <c r="W2270" i="1"/>
  <c r="X2264" i="1"/>
  <c r="W2222" i="1"/>
  <c r="V2213" i="1"/>
  <c r="V2210" i="1"/>
  <c r="V2197" i="1"/>
  <c r="V2188" i="1"/>
  <c r="V2182" i="1"/>
  <c r="X2176" i="1"/>
  <c r="X2148" i="1"/>
  <c r="V2142" i="1"/>
  <c r="X2112" i="1"/>
  <c r="X2028" i="1"/>
  <c r="X1907" i="1"/>
  <c r="W1768" i="1"/>
  <c r="X1763" i="1"/>
  <c r="X1701" i="1"/>
  <c r="X1675" i="1"/>
  <c r="X1635" i="1"/>
  <c r="X1527" i="1"/>
  <c r="X1507" i="1"/>
  <c r="W1478" i="1"/>
  <c r="X1463" i="1"/>
  <c r="X1426" i="1"/>
  <c r="X1370" i="1"/>
  <c r="X1327" i="1"/>
  <c r="X1324" i="1"/>
  <c r="X1303" i="1"/>
  <c r="X1263" i="1"/>
  <c r="X1260" i="1"/>
  <c r="X1247" i="1"/>
  <c r="W1207" i="1"/>
  <c r="X1179" i="1"/>
  <c r="X1171" i="1"/>
  <c r="X1138" i="1"/>
  <c r="X1135" i="1"/>
  <c r="X999" i="1"/>
  <c r="X939" i="1"/>
  <c r="X915" i="1"/>
  <c r="X910" i="1"/>
  <c r="X872" i="1"/>
  <c r="W723" i="1"/>
  <c r="Q316" i="1"/>
  <c r="X2831" i="1"/>
  <c r="W2717" i="1"/>
  <c r="W2605" i="1"/>
  <c r="X2588" i="1"/>
  <c r="V2540" i="1"/>
  <c r="X2498" i="1"/>
  <c r="V2492" i="1"/>
  <c r="V2468" i="1"/>
  <c r="V2465" i="1"/>
  <c r="V2450" i="1"/>
  <c r="V2421" i="1"/>
  <c r="V2413" i="1"/>
  <c r="V2410" i="1"/>
  <c r="V2341" i="1"/>
  <c r="V2314" i="1"/>
  <c r="W2285" i="1"/>
  <c r="V2274" i="1"/>
  <c r="V2262" i="1"/>
  <c r="X2256" i="1"/>
  <c r="W2230" i="1"/>
  <c r="X2180" i="1"/>
  <c r="V2174" i="1"/>
  <c r="W2164" i="1"/>
  <c r="W2157" i="1"/>
  <c r="X2132" i="1"/>
  <c r="W2125" i="1"/>
  <c r="V2116" i="1"/>
  <c r="V2110" i="1"/>
  <c r="W2094" i="1"/>
  <c r="W2082" i="1"/>
  <c r="X2079" i="1"/>
  <c r="V2073" i="1"/>
  <c r="W2070" i="1"/>
  <c r="W2064" i="1"/>
  <c r="W2047" i="1"/>
  <c r="X2026" i="1"/>
  <c r="V2023" i="1"/>
  <c r="V2014" i="1"/>
  <c r="X2007" i="1"/>
  <c r="V1995" i="1"/>
  <c r="W1987" i="1"/>
  <c r="V1942" i="1"/>
  <c r="W1939" i="1"/>
  <c r="W1923" i="1"/>
  <c r="W1913" i="1"/>
  <c r="V1911" i="1"/>
  <c r="W1900" i="1"/>
  <c r="X1891" i="1"/>
  <c r="X1868" i="1"/>
  <c r="V1863" i="1"/>
  <c r="V1860" i="1"/>
  <c r="V1848" i="1"/>
  <c r="W1836" i="1"/>
  <c r="W1810" i="1"/>
  <c r="V1781" i="1"/>
  <c r="W1775" i="1"/>
  <c r="V1752" i="1"/>
  <c r="V1744" i="1"/>
  <c r="W1723" i="1"/>
  <c r="V1720" i="1"/>
  <c r="V1711" i="1"/>
  <c r="X1699" i="1"/>
  <c r="W1682" i="1"/>
  <c r="V1671" i="1"/>
  <c r="V1624" i="1"/>
  <c r="X1621" i="1"/>
  <c r="V1597" i="1"/>
  <c r="W1587" i="1"/>
  <c r="W1584" i="1"/>
  <c r="V1573" i="1"/>
  <c r="W1550" i="1"/>
  <c r="X1542" i="1"/>
  <c r="V1539" i="1"/>
  <c r="X1523" i="1"/>
  <c r="W1511" i="1"/>
  <c r="X1490" i="1"/>
  <c r="X1484" i="1"/>
  <c r="V1481" i="1"/>
  <c r="W1467" i="1"/>
  <c r="X1455" i="1"/>
  <c r="V1447" i="1"/>
  <c r="V1441" i="1"/>
  <c r="W1407" i="1"/>
  <c r="X1401" i="1"/>
  <c r="W1383" i="1"/>
  <c r="W1374" i="1"/>
  <c r="W1359" i="1"/>
  <c r="W1351" i="1"/>
  <c r="W1348" i="1"/>
  <c r="V1336" i="1"/>
  <c r="V1331" i="1"/>
  <c r="V1317" i="1"/>
  <c r="V1311" i="1"/>
  <c r="W1282" i="1"/>
  <c r="W1279" i="1"/>
  <c r="V1276" i="1"/>
  <c r="W1267" i="1"/>
  <c r="V1255" i="1"/>
  <c r="V1239" i="1"/>
  <c r="W1232" i="1"/>
  <c r="V1223" i="1"/>
  <c r="W1220" i="1"/>
  <c r="X1205" i="1"/>
  <c r="V1203" i="1"/>
  <c r="V1193" i="1"/>
  <c r="V1167" i="1"/>
  <c r="W1118" i="1"/>
  <c r="V1115" i="1"/>
  <c r="V1103" i="1"/>
  <c r="V1100" i="1"/>
  <c r="V1095" i="1"/>
  <c r="V1088" i="1"/>
  <c r="W1039" i="1"/>
  <c r="W1036" i="1"/>
  <c r="V1027" i="1"/>
  <c r="X1021" i="1"/>
  <c r="V1015" i="1"/>
  <c r="W1005" i="1"/>
  <c r="V1003" i="1"/>
  <c r="X977" i="1"/>
  <c r="V975" i="1"/>
  <c r="V953" i="1"/>
  <c r="V947" i="1"/>
  <c r="W934" i="1"/>
  <c r="W931" i="1"/>
  <c r="V904" i="1"/>
  <c r="X897" i="1"/>
  <c r="V881" i="1"/>
  <c r="W876" i="1"/>
  <c r="W867" i="1"/>
  <c r="V859" i="1"/>
  <c r="W845" i="1"/>
  <c r="V843" i="1"/>
  <c r="W840" i="1"/>
  <c r="W816" i="1"/>
  <c r="W804" i="1"/>
  <c r="V802" i="1"/>
  <c r="W787" i="1"/>
  <c r="X776" i="1"/>
  <c r="V770" i="1"/>
  <c r="W755" i="1"/>
  <c r="X744" i="1"/>
  <c r="V738" i="1"/>
  <c r="W732" i="1"/>
  <c r="X729" i="1"/>
  <c r="W718" i="1"/>
  <c r="W715" i="1"/>
  <c r="X694" i="1"/>
  <c r="W677" i="1"/>
  <c r="X654" i="1"/>
  <c r="X651" i="1"/>
  <c r="W629" i="1"/>
  <c r="V627" i="1"/>
  <c r="V619" i="1"/>
  <c r="W612" i="1"/>
  <c r="V610" i="1"/>
  <c r="W595" i="1"/>
  <c r="V593" i="1"/>
  <c r="W590" i="1"/>
  <c r="V587" i="1"/>
  <c r="W580" i="1"/>
  <c r="V578" i="1"/>
  <c r="W563" i="1"/>
  <c r="V561" i="1"/>
  <c r="W558" i="1"/>
  <c r="V555" i="1"/>
  <c r="V530" i="1"/>
  <c r="X499" i="1"/>
  <c r="V497" i="1"/>
  <c r="W494" i="1"/>
  <c r="X2540" i="1"/>
  <c r="X2492" i="1"/>
  <c r="X2314" i="1"/>
  <c r="X2274" i="1"/>
  <c r="W2262" i="1"/>
  <c r="W2174" i="1"/>
  <c r="W2116" i="1"/>
  <c r="W2110" i="1"/>
  <c r="X2082" i="1"/>
  <c r="X2073" i="1"/>
  <c r="X2070" i="1"/>
  <c r="X2023" i="1"/>
  <c r="W2014" i="1"/>
  <c r="W1942" i="1"/>
  <c r="X1860" i="1"/>
  <c r="X1781" i="1"/>
  <c r="W1744" i="1"/>
  <c r="X1723" i="1"/>
  <c r="W1720" i="1"/>
  <c r="X1587" i="1"/>
  <c r="X1573" i="1"/>
  <c r="X1481" i="1"/>
  <c r="X1447" i="1"/>
  <c r="W1441" i="1"/>
  <c r="X1317" i="1"/>
  <c r="X1255" i="1"/>
  <c r="X1223" i="1"/>
  <c r="W1203" i="1"/>
  <c r="W1115" i="1"/>
  <c r="W1100" i="1"/>
  <c r="X975" i="1"/>
  <c r="X953" i="1"/>
  <c r="W947" i="1"/>
  <c r="V929" i="1"/>
  <c r="V909" i="1"/>
  <c r="W904" i="1"/>
  <c r="W884" i="1"/>
  <c r="X881" i="1"/>
  <c r="X865" i="1"/>
  <c r="W859" i="1"/>
  <c r="W843" i="1"/>
  <c r="X816" i="1"/>
  <c r="V785" i="1"/>
  <c r="W782" i="1"/>
  <c r="V753" i="1"/>
  <c r="W724" i="1"/>
  <c r="V713" i="1"/>
  <c r="V704" i="1"/>
  <c r="V675" i="1"/>
  <c r="W627" i="1"/>
  <c r="V625" i="1"/>
  <c r="W622" i="1"/>
  <c r="X619" i="1"/>
  <c r="W605" i="1"/>
  <c r="X593" i="1"/>
  <c r="X590" i="1"/>
  <c r="W573" i="1"/>
  <c r="X561" i="1"/>
  <c r="X558" i="1"/>
  <c r="W548" i="1"/>
  <c r="W525" i="1"/>
  <c r="W515" i="1"/>
  <c r="X497" i="1"/>
  <c r="X494" i="1"/>
  <c r="X2636" i="1"/>
  <c r="W2621" i="1"/>
  <c r="X2556" i="1"/>
  <c r="V2508" i="1"/>
  <c r="X2466" i="1"/>
  <c r="V2460" i="1"/>
  <c r="X2444" i="1"/>
  <c r="V2414" i="1"/>
  <c r="V2396" i="1"/>
  <c r="V2378" i="1"/>
  <c r="V2346" i="1"/>
  <c r="W2317" i="1"/>
  <c r="V2306" i="1"/>
  <c r="V2284" i="1"/>
  <c r="X2272" i="1"/>
  <c r="X2212" i="1"/>
  <c r="V2206" i="1"/>
  <c r="W2196" i="1"/>
  <c r="V2181" i="1"/>
  <c r="V2178" i="1"/>
  <c r="V2165" i="1"/>
  <c r="V2130" i="1"/>
  <c r="X2114" i="1"/>
  <c r="V2095" i="1"/>
  <c r="X2092" i="1"/>
  <c r="W2080" i="1"/>
  <c r="W2068" i="1"/>
  <c r="V2063" i="1"/>
  <c r="V2008" i="1"/>
  <c r="W2002" i="1"/>
  <c r="V1996" i="1"/>
  <c r="V1988" i="1"/>
  <c r="W1940" i="1"/>
  <c r="V1892" i="1"/>
  <c r="X1869" i="1"/>
  <c r="V1849" i="1"/>
  <c r="X1837" i="1"/>
  <c r="W1826" i="1"/>
  <c r="W1811" i="1"/>
  <c r="W1803" i="1"/>
  <c r="V1800" i="1"/>
  <c r="V1797" i="1"/>
  <c r="V1791" i="1"/>
  <c r="X1770" i="1"/>
  <c r="W1756" i="1"/>
  <c r="W1739" i="1"/>
  <c r="V1703" i="1"/>
  <c r="W1683" i="1"/>
  <c r="V1669" i="1"/>
  <c r="X1666" i="1"/>
  <c r="V1625" i="1"/>
  <c r="V1616" i="1"/>
  <c r="V1585" i="1"/>
  <c r="W1554" i="1"/>
  <c r="V1551" i="1"/>
  <c r="V1543" i="1"/>
  <c r="V1524" i="1"/>
  <c r="V1500" i="1"/>
  <c r="X1497" i="1"/>
  <c r="V1468" i="1"/>
  <c r="X1414" i="1"/>
  <c r="V1408" i="1"/>
  <c r="V1372" i="1"/>
  <c r="V1367" i="1"/>
  <c r="W1360" i="1"/>
  <c r="W1346" i="1"/>
  <c r="X1337" i="1"/>
  <c r="W1329" i="1"/>
  <c r="W1296" i="1"/>
  <c r="X1271" i="1"/>
  <c r="V1237" i="1"/>
  <c r="W1230" i="1"/>
  <c r="W1218" i="1"/>
  <c r="V1215" i="1"/>
  <c r="W1201" i="1"/>
  <c r="X1194" i="1"/>
  <c r="W1185" i="1"/>
  <c r="W1146" i="1"/>
  <c r="V1143" i="1"/>
  <c r="V1140" i="1"/>
  <c r="V1040" i="1"/>
  <c r="V1001" i="1"/>
  <c r="V978" i="1"/>
  <c r="W941" i="1"/>
  <c r="W917" i="1"/>
  <c r="W877" i="1"/>
  <c r="V857" i="1"/>
  <c r="W846" i="1"/>
  <c r="V841" i="1"/>
  <c r="V803" i="1"/>
  <c r="X2508" i="1"/>
  <c r="X2460" i="1"/>
  <c r="W2414" i="1"/>
  <c r="X2378" i="1"/>
  <c r="X2346" i="1"/>
  <c r="X2306" i="1"/>
  <c r="W2206" i="1"/>
  <c r="W2165" i="1"/>
  <c r="X2095" i="1"/>
  <c r="W1988" i="1"/>
  <c r="W1849" i="1"/>
  <c r="X1811" i="1"/>
  <c r="X1803" i="1"/>
  <c r="X1739" i="1"/>
  <c r="X1551" i="1"/>
  <c r="W1543" i="1"/>
  <c r="W1524" i="1"/>
  <c r="W1408" i="1"/>
  <c r="X1367" i="1"/>
  <c r="W1358" i="1"/>
  <c r="W1355" i="1"/>
  <c r="V1287" i="1"/>
  <c r="W1227" i="1"/>
  <c r="V1224" i="1"/>
  <c r="X1215" i="1"/>
  <c r="V1212" i="1"/>
  <c r="W1204" i="1"/>
  <c r="X1143" i="1"/>
  <c r="W1140" i="1"/>
  <c r="V1123" i="1"/>
  <c r="V1111" i="1"/>
  <c r="V1087" i="1"/>
  <c r="V1043" i="1"/>
  <c r="V1032" i="1"/>
  <c r="W1026" i="1"/>
  <c r="V976" i="1"/>
  <c r="V969" i="1"/>
  <c r="X941" i="1"/>
  <c r="V921" i="1"/>
  <c r="V905" i="1"/>
  <c r="W892" i="1"/>
  <c r="W880" i="1"/>
  <c r="W868" i="1"/>
  <c r="X849" i="1"/>
  <c r="X846" i="1"/>
  <c r="X822" i="1"/>
  <c r="X817" i="1"/>
  <c r="V809" i="1"/>
  <c r="W798" i="1"/>
  <c r="V795" i="1"/>
  <c r="W780" i="1"/>
  <c r="X777" i="1"/>
  <c r="W766" i="1"/>
  <c r="V763" i="1"/>
  <c r="V754" i="1"/>
  <c r="X745" i="1"/>
  <c r="V728" i="1"/>
  <c r="V705" i="1"/>
  <c r="X702" i="1"/>
  <c r="X699" i="1"/>
  <c r="W693" i="1"/>
  <c r="X681" i="1"/>
  <c r="X678" i="1"/>
  <c r="W670" i="1"/>
  <c r="V609" i="1"/>
  <c r="W606" i="1"/>
  <c r="V603" i="1"/>
  <c r="W596" i="1"/>
  <c r="V594" i="1"/>
  <c r="V577" i="1"/>
  <c r="W574" i="1"/>
  <c r="V571" i="1"/>
  <c r="W564" i="1"/>
  <c r="V562" i="1"/>
  <c r="X531" i="1"/>
  <c r="V529" i="1"/>
  <c r="W526" i="1"/>
  <c r="V523" i="1"/>
  <c r="V498" i="1"/>
  <c r="J502" i="1"/>
  <c r="K502" i="1" s="1"/>
  <c r="L502" i="1" s="1"/>
  <c r="M502" i="1" s="1"/>
  <c r="H502" i="1"/>
  <c r="P1361" i="1"/>
  <c r="Q1361" i="1"/>
  <c r="P1351" i="1"/>
  <c r="Q1351" i="1"/>
  <c r="P1319" i="1"/>
  <c r="Q1319" i="1"/>
  <c r="P1307" i="1"/>
  <c r="Q1307" i="1"/>
  <c r="P1300" i="1"/>
  <c r="O1300" i="1"/>
  <c r="P1331" i="1"/>
  <c r="Q1331" i="1"/>
  <c r="P1297" i="1"/>
  <c r="Q1297" i="1"/>
  <c r="P1275" i="1"/>
  <c r="Q1275" i="1"/>
  <c r="P1265" i="1"/>
  <c r="Q1265" i="1"/>
  <c r="D1247" i="1"/>
  <c r="F1247" i="1"/>
  <c r="P1233" i="1"/>
  <c r="Q1233" i="1"/>
  <c r="P1193" i="1"/>
  <c r="Q1193" i="1"/>
  <c r="C1154" i="1"/>
  <c r="G1154" i="1"/>
  <c r="P1135" i="1"/>
  <c r="Q1135" i="1"/>
  <c r="P1065" i="1"/>
  <c r="Q1065" i="1"/>
  <c r="P1056" i="1"/>
  <c r="O1056" i="1"/>
  <c r="E1046" i="1"/>
  <c r="D1046" i="1"/>
  <c r="P969" i="1"/>
  <c r="Q969" i="1"/>
  <c r="P944" i="1"/>
  <c r="O944" i="1"/>
  <c r="P941" i="1"/>
  <c r="Q941" i="1"/>
  <c r="P912" i="1"/>
  <c r="O912" i="1"/>
  <c r="P899" i="1"/>
  <c r="Q899" i="1"/>
  <c r="P863" i="1"/>
  <c r="Q863" i="1"/>
  <c r="P856" i="1"/>
  <c r="O856" i="1"/>
  <c r="P787" i="1"/>
  <c r="Q787" i="1"/>
  <c r="P777" i="1"/>
  <c r="Q777" i="1"/>
  <c r="P768" i="1"/>
  <c r="O768" i="1"/>
  <c r="P757" i="1"/>
  <c r="Q757" i="1"/>
  <c r="P687" i="1"/>
  <c r="Q687" i="1"/>
  <c r="P677" i="1"/>
  <c r="Q677" i="1"/>
  <c r="P667" i="1"/>
  <c r="Q667" i="1"/>
  <c r="Q541" i="1"/>
  <c r="P541" i="1"/>
  <c r="P1355" i="1"/>
  <c r="Q1355" i="1"/>
  <c r="D1347" i="1"/>
  <c r="G1347" i="1"/>
  <c r="P1343" i="1"/>
  <c r="Q1343" i="1"/>
  <c r="P1339" i="1"/>
  <c r="Q1339" i="1"/>
  <c r="P1324" i="1"/>
  <c r="O1324" i="1"/>
  <c r="P1316" i="1"/>
  <c r="O1316" i="1"/>
  <c r="P1308" i="1"/>
  <c r="O1308" i="1"/>
  <c r="P1247" i="1"/>
  <c r="Q1247" i="1"/>
  <c r="F1234" i="1"/>
  <c r="E1234" i="1"/>
  <c r="P1221" i="1"/>
  <c r="Q1221" i="1"/>
  <c r="P1217" i="1"/>
  <c r="Q1217" i="1"/>
  <c r="P1209" i="1"/>
  <c r="Q1209" i="1"/>
  <c r="P1203" i="1"/>
  <c r="Q1203" i="1"/>
  <c r="P1197" i="1"/>
  <c r="Q1197" i="1"/>
  <c r="P1151" i="1"/>
  <c r="Q1151" i="1"/>
  <c r="P1145" i="1"/>
  <c r="Q1145" i="1"/>
  <c r="P1108" i="1"/>
  <c r="O1108" i="1"/>
  <c r="P1073" i="1"/>
  <c r="Q1073" i="1"/>
  <c r="P1049" i="1"/>
  <c r="Q1049" i="1"/>
  <c r="P1035" i="1"/>
  <c r="Q1035" i="1"/>
  <c r="P1032" i="1"/>
  <c r="O1032" i="1"/>
  <c r="P1029" i="1"/>
  <c r="Q1029" i="1"/>
  <c r="P1019" i="1"/>
  <c r="Q1019" i="1"/>
  <c r="P999" i="1"/>
  <c r="Q999" i="1"/>
  <c r="P996" i="1"/>
  <c r="O996" i="1"/>
  <c r="P989" i="1"/>
  <c r="Q989" i="1"/>
  <c r="P983" i="1"/>
  <c r="Q983" i="1"/>
  <c r="P981" i="1"/>
  <c r="Q981" i="1"/>
  <c r="P979" i="1"/>
  <c r="Q979" i="1"/>
  <c r="P977" i="1"/>
  <c r="Q977" i="1"/>
  <c r="I970" i="1"/>
  <c r="E970" i="1"/>
  <c r="P967" i="1"/>
  <c r="Q967" i="1"/>
  <c r="P965" i="1"/>
  <c r="Q965" i="1"/>
  <c r="F964" i="1"/>
  <c r="E964" i="1"/>
  <c r="P951" i="1"/>
  <c r="Q951" i="1"/>
  <c r="P948" i="1"/>
  <c r="O948" i="1"/>
  <c r="P931" i="1"/>
  <c r="Q931" i="1"/>
  <c r="P927" i="1"/>
  <c r="Q927" i="1"/>
  <c r="P905" i="1"/>
  <c r="Q905" i="1"/>
  <c r="P901" i="1"/>
  <c r="Q901" i="1"/>
  <c r="P896" i="1"/>
  <c r="O896" i="1"/>
  <c r="P892" i="1"/>
  <c r="O892" i="1"/>
  <c r="P888" i="1"/>
  <c r="O888" i="1"/>
  <c r="P879" i="1"/>
  <c r="Q879" i="1"/>
  <c r="P876" i="1"/>
  <c r="O876" i="1"/>
  <c r="P872" i="1"/>
  <c r="O872" i="1"/>
  <c r="P835" i="1"/>
  <c r="Q835" i="1"/>
  <c r="P831" i="1"/>
  <c r="Q831" i="1"/>
  <c r="P824" i="1"/>
  <c r="O824" i="1"/>
  <c r="P819" i="1"/>
  <c r="Q819" i="1"/>
  <c r="P815" i="1"/>
  <c r="Q815" i="1"/>
  <c r="P795" i="1"/>
  <c r="Q795" i="1"/>
  <c r="P791" i="1"/>
  <c r="Q791" i="1"/>
  <c r="P784" i="1"/>
  <c r="O784" i="1"/>
  <c r="P781" i="1"/>
  <c r="Q781" i="1"/>
  <c r="P751" i="1"/>
  <c r="Q751" i="1"/>
  <c r="P738" i="1"/>
  <c r="O738" i="1"/>
  <c r="P735" i="1"/>
  <c r="Q735" i="1"/>
  <c r="P731" i="1"/>
  <c r="Q731" i="1"/>
  <c r="P703" i="1"/>
  <c r="Q703" i="1"/>
  <c r="P700" i="1"/>
  <c r="O700" i="1"/>
  <c r="P697" i="1"/>
  <c r="Q697" i="1"/>
  <c r="P691" i="1"/>
  <c r="Q691" i="1"/>
  <c r="P657" i="1"/>
  <c r="Q657" i="1"/>
  <c r="P650" i="1"/>
  <c r="O650" i="1"/>
  <c r="P647" i="1"/>
  <c r="Q647" i="1"/>
  <c r="P640" i="1"/>
  <c r="O640" i="1"/>
  <c r="P633" i="1"/>
  <c r="Q633" i="1"/>
  <c r="P629" i="1"/>
  <c r="Q629" i="1"/>
  <c r="P626" i="1"/>
  <c r="O626" i="1"/>
  <c r="P622" i="1"/>
  <c r="O622" i="1"/>
  <c r="P619" i="1"/>
  <c r="Q619" i="1"/>
  <c r="P616" i="1"/>
  <c r="O616" i="1"/>
  <c r="P609" i="1"/>
  <c r="Q609" i="1"/>
  <c r="P603" i="1"/>
  <c r="Q603" i="1"/>
  <c r="P599" i="1"/>
  <c r="Q599" i="1"/>
  <c r="P593" i="1"/>
  <c r="Q593" i="1"/>
  <c r="P590" i="1"/>
  <c r="O590" i="1"/>
  <c r="Q581" i="1"/>
  <c r="P581" i="1"/>
  <c r="P577" i="1"/>
  <c r="Q577" i="1"/>
  <c r="P563" i="1"/>
  <c r="Q563" i="1"/>
  <c r="P560" i="1"/>
  <c r="O560" i="1"/>
  <c r="P373" i="1"/>
  <c r="Q373" i="1" s="1"/>
  <c r="P393" i="1"/>
  <c r="Q393" i="1" s="1"/>
  <c r="P425" i="1"/>
  <c r="O428" i="1"/>
  <c r="P428" i="1"/>
  <c r="G437" i="1"/>
  <c r="C444" i="1"/>
  <c r="E444" i="1" s="1"/>
  <c r="G453" i="1"/>
  <c r="E457" i="1"/>
  <c r="F457" i="1" s="1"/>
  <c r="O488" i="1"/>
  <c r="T488" i="1" s="1"/>
  <c r="P488" i="1"/>
  <c r="I530" i="1"/>
  <c r="G530" i="1"/>
  <c r="O542" i="1"/>
  <c r="P542" i="1"/>
  <c r="I548" i="1"/>
  <c r="G548" i="1"/>
  <c r="H548" i="1" s="1"/>
  <c r="I549" i="1"/>
  <c r="F549" i="1"/>
  <c r="H549" i="1" s="1"/>
  <c r="I550" i="1"/>
  <c r="E550" i="1"/>
  <c r="X3579" i="1"/>
  <c r="W3579" i="1"/>
  <c r="V3579" i="1"/>
  <c r="X3555" i="1"/>
  <c r="W3555" i="1"/>
  <c r="V3555" i="1"/>
  <c r="X3495" i="1"/>
  <c r="V3495" i="1"/>
  <c r="X3483" i="1"/>
  <c r="W3483" i="1"/>
  <c r="V3483" i="1"/>
  <c r="X3384" i="1"/>
  <c r="W3384" i="1"/>
  <c r="V3384" i="1"/>
  <c r="P1289" i="1"/>
  <c r="D1236" i="1"/>
  <c r="G1172" i="1"/>
  <c r="H1172" i="1" s="1"/>
  <c r="D1349" i="1"/>
  <c r="E1224" i="1"/>
  <c r="F1217" i="1"/>
  <c r="F1138" i="1"/>
  <c r="P1094" i="1"/>
  <c r="E1070" i="1"/>
  <c r="P1062" i="1"/>
  <c r="F1054" i="1"/>
  <c r="G1052" i="1"/>
  <c r="D1038" i="1"/>
  <c r="I1035" i="1"/>
  <c r="F1026" i="1"/>
  <c r="E1016" i="1"/>
  <c r="G1010" i="1"/>
  <c r="E996" i="1"/>
  <c r="G974" i="1"/>
  <c r="I965" i="1"/>
  <c r="F951" i="1"/>
  <c r="F885" i="1"/>
  <c r="D869" i="1"/>
  <c r="F866" i="1"/>
  <c r="G853" i="1"/>
  <c r="I824" i="1"/>
  <c r="D810" i="1"/>
  <c r="D650" i="1"/>
  <c r="E1301" i="1"/>
  <c r="I1283" i="1"/>
  <c r="C1262" i="1"/>
  <c r="P1255" i="1"/>
  <c r="P1205" i="1"/>
  <c r="E1185" i="1"/>
  <c r="F1182" i="1"/>
  <c r="F1154" i="1"/>
  <c r="G1138" i="1"/>
  <c r="G1130" i="1"/>
  <c r="C1123" i="1"/>
  <c r="G1118" i="1"/>
  <c r="I1115" i="1"/>
  <c r="I1113" i="1"/>
  <c r="E1107" i="1"/>
  <c r="E1104" i="1"/>
  <c r="F1097" i="1"/>
  <c r="H1097" i="1" s="1"/>
  <c r="G1090" i="1"/>
  <c r="F1070" i="1"/>
  <c r="G1068" i="1"/>
  <c r="G1054" i="1"/>
  <c r="C1046" i="1"/>
  <c r="P1042" i="1"/>
  <c r="I1040" i="1"/>
  <c r="E1038" i="1"/>
  <c r="I1023" i="1"/>
  <c r="I1016" i="1"/>
  <c r="I1013" i="1"/>
  <c r="E1005" i="1"/>
  <c r="D992" i="1"/>
  <c r="I974" i="1"/>
  <c r="P960" i="1"/>
  <c r="D909" i="1"/>
  <c r="G885" i="1"/>
  <c r="F883" i="1"/>
  <c r="F869" i="1"/>
  <c r="E860" i="1"/>
  <c r="E810" i="1"/>
  <c r="D661" i="1"/>
  <c r="G584" i="1"/>
  <c r="D569" i="1"/>
  <c r="I557" i="1"/>
  <c r="D554" i="1"/>
  <c r="G392" i="1"/>
  <c r="C402" i="1"/>
  <c r="E402" i="1" s="1"/>
  <c r="C408" i="1"/>
  <c r="D408" i="1" s="1"/>
  <c r="G418" i="1"/>
  <c r="G424" i="1"/>
  <c r="G427" i="1"/>
  <c r="G433" i="1"/>
  <c r="C435" i="1"/>
  <c r="D435" i="1" s="1"/>
  <c r="G458" i="1"/>
  <c r="C460" i="1"/>
  <c r="D460" i="1" s="1"/>
  <c r="C465" i="1"/>
  <c r="E465" i="1" s="1"/>
  <c r="G466" i="1"/>
  <c r="C468" i="1"/>
  <c r="D468" i="1" s="1"/>
  <c r="P472" i="1"/>
  <c r="Q472" i="1" s="1"/>
  <c r="C483" i="1"/>
  <c r="D483" i="1" s="1"/>
  <c r="D499" i="1"/>
  <c r="E502" i="1"/>
  <c r="P503" i="1"/>
  <c r="F505" i="1"/>
  <c r="C512" i="1"/>
  <c r="G513" i="1"/>
  <c r="H513" i="1" s="1"/>
  <c r="C515" i="1"/>
  <c r="D517" i="1"/>
  <c r="E521" i="1"/>
  <c r="E522" i="1"/>
  <c r="E523" i="1"/>
  <c r="F524" i="1"/>
  <c r="J524" i="1" s="1"/>
  <c r="K524" i="1" s="1"/>
  <c r="L524" i="1" s="1"/>
  <c r="M524" i="1" s="1"/>
  <c r="F525" i="1"/>
  <c r="H525" i="1" s="1"/>
  <c r="F526" i="1"/>
  <c r="D533" i="1"/>
  <c r="D534" i="1"/>
  <c r="G537" i="1"/>
  <c r="P546" i="1"/>
  <c r="O1355" i="1"/>
  <c r="O1346" i="1"/>
  <c r="O1337" i="1"/>
  <c r="O1328" i="1"/>
  <c r="O1319" i="1"/>
  <c r="O1310" i="1"/>
  <c r="O1282" i="1"/>
  <c r="O1255" i="1"/>
  <c r="O1246" i="1"/>
  <c r="O1209" i="1"/>
  <c r="O1200" i="1"/>
  <c r="O1182" i="1"/>
  <c r="O1154" i="1"/>
  <c r="O1145" i="1"/>
  <c r="O1078" i="1"/>
  <c r="O1058" i="1"/>
  <c r="O1038" i="1"/>
  <c r="O1018" i="1"/>
  <c r="O998" i="1"/>
  <c r="O977" i="1"/>
  <c r="O967" i="1"/>
  <c r="O946" i="1"/>
  <c r="O914" i="1"/>
  <c r="O882" i="1"/>
  <c r="O862" i="1"/>
  <c r="O831" i="1"/>
  <c r="O810" i="1"/>
  <c r="O799" i="1"/>
  <c r="O789" i="1"/>
  <c r="O778" i="1"/>
  <c r="O758" i="1"/>
  <c r="O735" i="1"/>
  <c r="O609" i="1"/>
  <c r="O593" i="1"/>
  <c r="O537" i="1"/>
  <c r="O497" i="1"/>
  <c r="O467" i="1"/>
  <c r="O451" i="1"/>
  <c r="O439" i="1"/>
  <c r="O425" i="1"/>
  <c r="O413" i="1"/>
  <c r="O387" i="1"/>
  <c r="Q1326" i="1"/>
  <c r="Q1310" i="1"/>
  <c r="Q1294" i="1"/>
  <c r="Q1278" i="1"/>
  <c r="Q1248" i="1"/>
  <c r="Q1232" i="1"/>
  <c r="Q1126" i="1"/>
  <c r="Q1112" i="1"/>
  <c r="Q1026" i="1"/>
  <c r="Q1012" i="1"/>
  <c r="Q986" i="1"/>
  <c r="Q942" i="1"/>
  <c r="Q914" i="1"/>
  <c r="Q898" i="1"/>
  <c r="Q870" i="1"/>
  <c r="Q854" i="1"/>
  <c r="Q838" i="1"/>
  <c r="Q824" i="1"/>
  <c r="Q798" i="1"/>
  <c r="Q782" i="1"/>
  <c r="Q766" i="1"/>
  <c r="Q750" i="1"/>
  <c r="Q528" i="1"/>
  <c r="P1359" i="1"/>
  <c r="Q1359" i="1"/>
  <c r="P1349" i="1"/>
  <c r="Q1349" i="1"/>
  <c r="P1332" i="1"/>
  <c r="O1332" i="1"/>
  <c r="P1287" i="1"/>
  <c r="Q1287" i="1"/>
  <c r="P1283" i="1"/>
  <c r="Q1283" i="1"/>
  <c r="P1276" i="1"/>
  <c r="O1276" i="1"/>
  <c r="P1259" i="1"/>
  <c r="Q1259" i="1"/>
  <c r="P1253" i="1"/>
  <c r="Q1253" i="1"/>
  <c r="P1245" i="1"/>
  <c r="Q1245" i="1"/>
  <c r="P1241" i="1"/>
  <c r="Q1241" i="1"/>
  <c r="P1237" i="1"/>
  <c r="Q1237" i="1"/>
  <c r="D1231" i="1"/>
  <c r="C1231" i="1"/>
  <c r="P1227" i="1"/>
  <c r="Q1227" i="1"/>
  <c r="P1215" i="1"/>
  <c r="Q1215" i="1"/>
  <c r="P1211" i="1"/>
  <c r="Q1211" i="1"/>
  <c r="F1204" i="1"/>
  <c r="I1204" i="1"/>
  <c r="P1185" i="1"/>
  <c r="Q1185" i="1"/>
  <c r="P1167" i="1"/>
  <c r="Q1167" i="1"/>
  <c r="P1164" i="1"/>
  <c r="O1164" i="1"/>
  <c r="D1146" i="1"/>
  <c r="G1146" i="1"/>
  <c r="P1123" i="1"/>
  <c r="Q1123" i="1"/>
  <c r="P1115" i="1"/>
  <c r="Q1115" i="1"/>
  <c r="P1113" i="1"/>
  <c r="Q1113" i="1"/>
  <c r="P1087" i="1"/>
  <c r="Q1087" i="1"/>
  <c r="P1076" i="1"/>
  <c r="O1076" i="1"/>
  <c r="I1074" i="1"/>
  <c r="G1074" i="1"/>
  <c r="P1068" i="1"/>
  <c r="O1068" i="1"/>
  <c r="P1063" i="1"/>
  <c r="Q1063" i="1"/>
  <c r="P1057" i="1"/>
  <c r="Q1057" i="1"/>
  <c r="P1052" i="1"/>
  <c r="O1052" i="1"/>
  <c r="P1023" i="1"/>
  <c r="Q1023" i="1"/>
  <c r="P1016" i="1"/>
  <c r="O1016" i="1"/>
  <c r="P1013" i="1"/>
  <c r="Q1013" i="1"/>
  <c r="D966" i="1"/>
  <c r="C966" i="1"/>
  <c r="P913" i="1"/>
  <c r="Q913" i="1"/>
  <c r="P909" i="1"/>
  <c r="Q909" i="1"/>
  <c r="D889" i="1"/>
  <c r="G889" i="1"/>
  <c r="P885" i="1"/>
  <c r="Q885" i="1"/>
  <c r="P864" i="1"/>
  <c r="O864" i="1"/>
  <c r="P860" i="1"/>
  <c r="O860" i="1"/>
  <c r="P857" i="1"/>
  <c r="Q857" i="1"/>
  <c r="P851" i="1"/>
  <c r="Q851" i="1"/>
  <c r="P847" i="1"/>
  <c r="Q847" i="1"/>
  <c r="P843" i="1"/>
  <c r="Q843" i="1"/>
  <c r="P839" i="1"/>
  <c r="Q839" i="1"/>
  <c r="P807" i="1"/>
  <c r="Q807" i="1"/>
  <c r="P803" i="1"/>
  <c r="Q803" i="1"/>
  <c r="P788" i="1"/>
  <c r="O788" i="1"/>
  <c r="P769" i="1"/>
  <c r="Q769" i="1"/>
  <c r="P765" i="1"/>
  <c r="Q765" i="1"/>
  <c r="P744" i="1"/>
  <c r="O744" i="1"/>
  <c r="P729" i="1"/>
  <c r="Q729" i="1"/>
  <c r="P719" i="1"/>
  <c r="Q719" i="1"/>
  <c r="P716" i="1"/>
  <c r="O716" i="1"/>
  <c r="P713" i="1"/>
  <c r="Q713" i="1"/>
  <c r="P694" i="1"/>
  <c r="O694" i="1"/>
  <c r="P688" i="1"/>
  <c r="O688" i="1"/>
  <c r="P678" i="1"/>
  <c r="O678" i="1"/>
  <c r="P668" i="1"/>
  <c r="O668" i="1"/>
  <c r="P664" i="1"/>
  <c r="O664" i="1"/>
  <c r="C658" i="1"/>
  <c r="F658" i="1"/>
  <c r="P654" i="1"/>
  <c r="O654" i="1"/>
  <c r="P644" i="1"/>
  <c r="O644" i="1"/>
  <c r="P613" i="1"/>
  <c r="Q613" i="1"/>
  <c r="Q571" i="1"/>
  <c r="P571" i="1"/>
  <c r="P569" i="1"/>
  <c r="Q569" i="1"/>
  <c r="F564" i="1"/>
  <c r="E564" i="1"/>
  <c r="P554" i="1"/>
  <c r="O554" i="1"/>
  <c r="P357" i="1"/>
  <c r="P361" i="1"/>
  <c r="P367" i="1"/>
  <c r="P370" i="1"/>
  <c r="O370" i="1"/>
  <c r="P381" i="1"/>
  <c r="P396" i="1"/>
  <c r="O396" i="1"/>
  <c r="O398" i="1"/>
  <c r="P398" i="1"/>
  <c r="P429" i="1"/>
  <c r="P489" i="1"/>
  <c r="O492" i="1"/>
  <c r="P492" i="1"/>
  <c r="I501" i="1"/>
  <c r="G501" i="1"/>
  <c r="H501" i="1" s="1"/>
  <c r="I531" i="1"/>
  <c r="G531" i="1"/>
  <c r="H531" i="1" s="1"/>
  <c r="I532" i="1"/>
  <c r="F532" i="1"/>
  <c r="J532" i="1" s="1"/>
  <c r="K532" i="1" s="1"/>
  <c r="L532" i="1" s="1"/>
  <c r="M532" i="1" s="1"/>
  <c r="I551" i="1"/>
  <c r="E551" i="1"/>
  <c r="V3586" i="1"/>
  <c r="X3586" i="1"/>
  <c r="X3583" i="1"/>
  <c r="V3583" i="1"/>
  <c r="V3565" i="1"/>
  <c r="W3565" i="1"/>
  <c r="X3559" i="1"/>
  <c r="V3559" i="1"/>
  <c r="X3531" i="1"/>
  <c r="W3531" i="1"/>
  <c r="V3531" i="1"/>
  <c r="W3454" i="1"/>
  <c r="X3454" i="1"/>
  <c r="J1347" i="1"/>
  <c r="K1347" i="1" s="1"/>
  <c r="L1347" i="1" s="1"/>
  <c r="M1347" i="1" s="1"/>
  <c r="I1118" i="1"/>
  <c r="F1107" i="1"/>
  <c r="G1070" i="1"/>
  <c r="F1038" i="1"/>
  <c r="G869" i="1"/>
  <c r="I584" i="1"/>
  <c r="D386" i="1"/>
  <c r="P387" i="1"/>
  <c r="G391" i="1"/>
  <c r="G393" i="1"/>
  <c r="P395" i="1"/>
  <c r="P397" i="1"/>
  <c r="C407" i="1"/>
  <c r="D407" i="1" s="1"/>
  <c r="C409" i="1"/>
  <c r="E409" i="1" s="1"/>
  <c r="G423" i="1"/>
  <c r="G425" i="1"/>
  <c r="P437" i="1"/>
  <c r="D439" i="1"/>
  <c r="G469" i="1"/>
  <c r="G481" i="1"/>
  <c r="F484" i="1"/>
  <c r="P485" i="1"/>
  <c r="G497" i="1"/>
  <c r="C499" i="1"/>
  <c r="C507" i="1"/>
  <c r="C517" i="1"/>
  <c r="J518" i="1"/>
  <c r="K518" i="1" s="1"/>
  <c r="L518" i="1" s="1"/>
  <c r="M518" i="1" s="1"/>
  <c r="P519" i="1"/>
  <c r="F527" i="1"/>
  <c r="P529" i="1"/>
  <c r="G538" i="1"/>
  <c r="G539" i="1"/>
  <c r="G542" i="1"/>
  <c r="G544" i="1"/>
  <c r="P548" i="1"/>
  <c r="P549" i="1"/>
  <c r="O1338" i="1"/>
  <c r="O1320" i="1"/>
  <c r="O1302" i="1"/>
  <c r="O1283" i="1"/>
  <c r="O1265" i="1"/>
  <c r="O1256" i="1"/>
  <c r="O1247" i="1"/>
  <c r="O1238" i="1"/>
  <c r="O1210" i="1"/>
  <c r="O1192" i="1"/>
  <c r="O1174" i="1"/>
  <c r="O1165" i="1"/>
  <c r="O1146" i="1"/>
  <c r="O1128" i="1"/>
  <c r="O1101" i="1"/>
  <c r="O1090" i="1"/>
  <c r="O1069" i="1"/>
  <c r="O969" i="1"/>
  <c r="O958" i="1"/>
  <c r="O926" i="1"/>
  <c r="O894" i="1"/>
  <c r="O874" i="1"/>
  <c r="O863" i="1"/>
  <c r="O842" i="1"/>
  <c r="O822" i="1"/>
  <c r="O790" i="1"/>
  <c r="O770" i="1"/>
  <c r="O713" i="1"/>
  <c r="O702" i="1"/>
  <c r="O687" i="1"/>
  <c r="O539" i="1"/>
  <c r="O523" i="1"/>
  <c r="O513" i="1"/>
  <c r="O485" i="1"/>
  <c r="T485" i="1" s="1"/>
  <c r="O469" i="1"/>
  <c r="Q469" i="1" s="1"/>
  <c r="O453" i="1"/>
  <c r="Q1342" i="1"/>
  <c r="Q1328" i="1"/>
  <c r="Q1312" i="1"/>
  <c r="Q1296" i="1"/>
  <c r="Q1280" i="1"/>
  <c r="Q1266" i="1"/>
  <c r="Q1234" i="1"/>
  <c r="Q1206" i="1"/>
  <c r="Q1190" i="1"/>
  <c r="Q1174" i="1"/>
  <c r="Q1158" i="1"/>
  <c r="Q1142" i="1"/>
  <c r="Q1114" i="1"/>
  <c r="Q1086" i="1"/>
  <c r="Q1056" i="1"/>
  <c r="Q1042" i="1"/>
  <c r="Q1002" i="1"/>
  <c r="Q974" i="1"/>
  <c r="Q958" i="1"/>
  <c r="Q930" i="1"/>
  <c r="Q872" i="1"/>
  <c r="Q856" i="1"/>
  <c r="Q768" i="1"/>
  <c r="Q678" i="1"/>
  <c r="Q664" i="1"/>
  <c r="Q530" i="1"/>
  <c r="Q516" i="1"/>
  <c r="Q500" i="1"/>
  <c r="Q456" i="1"/>
  <c r="Q1321" i="1"/>
  <c r="P1321" i="1"/>
  <c r="P1313" i="1"/>
  <c r="Q1313" i="1"/>
  <c r="P1309" i="1"/>
  <c r="Q1309" i="1"/>
  <c r="P1305" i="1"/>
  <c r="Q1305" i="1"/>
  <c r="D1299" i="1"/>
  <c r="I1299" i="1"/>
  <c r="P1273" i="1"/>
  <c r="Q1273" i="1"/>
  <c r="P1231" i="1"/>
  <c r="Q1231" i="1"/>
  <c r="F1212" i="1"/>
  <c r="C1212" i="1"/>
  <c r="P1179" i="1"/>
  <c r="Q1179" i="1"/>
  <c r="P1175" i="1"/>
  <c r="Q1175" i="1"/>
  <c r="P1173" i="1"/>
  <c r="Q1173" i="1"/>
  <c r="P1161" i="1"/>
  <c r="Q1161" i="1"/>
  <c r="D1114" i="1"/>
  <c r="C1114" i="1"/>
  <c r="P1111" i="1"/>
  <c r="Q1111" i="1"/>
  <c r="P1109" i="1"/>
  <c r="Q1109" i="1"/>
  <c r="P1107" i="1"/>
  <c r="Q1107" i="1"/>
  <c r="P1092" i="1"/>
  <c r="O1092" i="1"/>
  <c r="C1086" i="1"/>
  <c r="I1086" i="1"/>
  <c r="I1061" i="1"/>
  <c r="F1061" i="1"/>
  <c r="P1043" i="1"/>
  <c r="Q1043" i="1"/>
  <c r="O1036" i="1"/>
  <c r="P1036" i="1"/>
  <c r="P1027" i="1"/>
  <c r="Q1027" i="1"/>
  <c r="P1020" i="1"/>
  <c r="O1020" i="1"/>
  <c r="P1005" i="1"/>
  <c r="Q1005" i="1"/>
  <c r="P997" i="1"/>
  <c r="Q997" i="1"/>
  <c r="P992" i="1"/>
  <c r="O992" i="1"/>
  <c r="P973" i="1"/>
  <c r="Q973" i="1"/>
  <c r="P961" i="1"/>
  <c r="Q961" i="1"/>
  <c r="I959" i="1"/>
  <c r="F959" i="1"/>
  <c r="P952" i="1"/>
  <c r="O952" i="1"/>
  <c r="P949" i="1"/>
  <c r="Q949" i="1"/>
  <c r="P945" i="1"/>
  <c r="Q945" i="1"/>
  <c r="P939" i="1"/>
  <c r="Q939" i="1"/>
  <c r="P935" i="1"/>
  <c r="Q935" i="1"/>
  <c r="P932" i="1"/>
  <c r="O932" i="1"/>
  <c r="P928" i="1"/>
  <c r="O928" i="1"/>
  <c r="P924" i="1"/>
  <c r="O924" i="1"/>
  <c r="P920" i="1"/>
  <c r="O920" i="1"/>
  <c r="P897" i="1"/>
  <c r="Q897" i="1"/>
  <c r="P893" i="1"/>
  <c r="Q893" i="1"/>
  <c r="P889" i="1"/>
  <c r="Q889" i="1"/>
  <c r="P820" i="1"/>
  <c r="O820" i="1"/>
  <c r="P816" i="1"/>
  <c r="O816" i="1"/>
  <c r="P796" i="1"/>
  <c r="O796" i="1"/>
  <c r="P792" i="1"/>
  <c r="O792" i="1"/>
  <c r="P785" i="1"/>
  <c r="Q785" i="1"/>
  <c r="P775" i="1"/>
  <c r="Q775" i="1"/>
  <c r="P772" i="1"/>
  <c r="O772" i="1"/>
  <c r="P755" i="1"/>
  <c r="Q755" i="1"/>
  <c r="P752" i="1"/>
  <c r="O752" i="1"/>
  <c r="P748" i="1"/>
  <c r="O748" i="1"/>
  <c r="P741" i="1"/>
  <c r="Q741" i="1"/>
  <c r="P736" i="1"/>
  <c r="O736" i="1"/>
  <c r="P732" i="1"/>
  <c r="O732" i="1"/>
  <c r="P723" i="1"/>
  <c r="Q723" i="1"/>
  <c r="P704" i="1"/>
  <c r="O704" i="1"/>
  <c r="P692" i="1"/>
  <c r="O692" i="1"/>
  <c r="P675" i="1"/>
  <c r="Q675" i="1"/>
  <c r="P672" i="1"/>
  <c r="O672" i="1"/>
  <c r="P658" i="1"/>
  <c r="O658" i="1"/>
  <c r="I645" i="1"/>
  <c r="D645" i="1"/>
  <c r="P641" i="1"/>
  <c r="Q641" i="1"/>
  <c r="P637" i="1"/>
  <c r="Q637" i="1"/>
  <c r="P630" i="1"/>
  <c r="O630" i="1"/>
  <c r="P623" i="1"/>
  <c r="Q623" i="1"/>
  <c r="P620" i="1"/>
  <c r="O620" i="1"/>
  <c r="P617" i="1"/>
  <c r="Q617" i="1"/>
  <c r="P606" i="1"/>
  <c r="O606" i="1"/>
  <c r="P600" i="1"/>
  <c r="O600" i="1"/>
  <c r="P591" i="1"/>
  <c r="Q591" i="1"/>
  <c r="P587" i="1"/>
  <c r="Q587" i="1"/>
  <c r="P584" i="1"/>
  <c r="O584" i="1"/>
  <c r="P578" i="1"/>
  <c r="O578" i="1"/>
  <c r="P561" i="1"/>
  <c r="Q561" i="1"/>
  <c r="P364" i="1"/>
  <c r="O364" i="1"/>
  <c r="P375" i="1"/>
  <c r="Q375" i="1" s="1"/>
  <c r="P378" i="1"/>
  <c r="O378" i="1"/>
  <c r="P401" i="1"/>
  <c r="Q401" i="1" s="1"/>
  <c r="O464" i="1"/>
  <c r="P464" i="1"/>
  <c r="P473" i="1"/>
  <c r="C477" i="1"/>
  <c r="D477" i="1" s="1"/>
  <c r="P482" i="1"/>
  <c r="O482" i="1"/>
  <c r="Q493" i="1"/>
  <c r="P493" i="1"/>
  <c r="Q511" i="1"/>
  <c r="P511" i="1"/>
  <c r="I533" i="1"/>
  <c r="F533" i="1"/>
  <c r="H533" i="1" s="1"/>
  <c r="I534" i="1"/>
  <c r="E534" i="1"/>
  <c r="I552" i="1"/>
  <c r="E552" i="1"/>
  <c r="V3597" i="1"/>
  <c r="W3597" i="1"/>
  <c r="V3592" i="1"/>
  <c r="X3592" i="1"/>
  <c r="X3571" i="1"/>
  <c r="V3571" i="1"/>
  <c r="X3479" i="1"/>
  <c r="V3479" i="1"/>
  <c r="X3467" i="1"/>
  <c r="W3467" i="1"/>
  <c r="V3467" i="1"/>
  <c r="W3441" i="1"/>
  <c r="X3441" i="1"/>
  <c r="V3441" i="1"/>
  <c r="E428" i="1"/>
  <c r="G431" i="1"/>
  <c r="D433" i="1"/>
  <c r="G442" i="1"/>
  <c r="E445" i="1"/>
  <c r="F445" i="1" s="1"/>
  <c r="E484" i="1"/>
  <c r="F492" i="1"/>
  <c r="F497" i="1"/>
  <c r="F508" i="1"/>
  <c r="E527" i="1"/>
  <c r="F528" i="1"/>
  <c r="F538" i="1"/>
  <c r="F539" i="1"/>
  <c r="G540" i="1"/>
  <c r="F542" i="1"/>
  <c r="F544" i="1"/>
  <c r="O1349" i="1"/>
  <c r="O1339" i="1"/>
  <c r="O1330" i="1"/>
  <c r="O1321" i="1"/>
  <c r="O1312" i="1"/>
  <c r="O1294" i="1"/>
  <c r="O1275" i="1"/>
  <c r="O1266" i="1"/>
  <c r="O1248" i="1"/>
  <c r="O1230" i="1"/>
  <c r="O1221" i="1"/>
  <c r="O1211" i="1"/>
  <c r="O1202" i="1"/>
  <c r="O1193" i="1"/>
  <c r="O1175" i="1"/>
  <c r="O1166" i="1"/>
  <c r="O1138" i="1"/>
  <c r="O1120" i="1"/>
  <c r="O1111" i="1"/>
  <c r="O1102" i="1"/>
  <c r="O1050" i="1"/>
  <c r="O1030" i="1"/>
  <c r="O990" i="1"/>
  <c r="O970" i="1"/>
  <c r="O949" i="1"/>
  <c r="O917" i="1"/>
  <c r="O906" i="1"/>
  <c r="O885" i="1"/>
  <c r="O854" i="1"/>
  <c r="O843" i="1"/>
  <c r="O802" i="1"/>
  <c r="O750" i="1"/>
  <c r="O726" i="1"/>
  <c r="O613" i="1"/>
  <c r="O597" i="1"/>
  <c r="O569" i="1"/>
  <c r="O557" i="1"/>
  <c r="O541" i="1"/>
  <c r="O525" i="1"/>
  <c r="O499" i="1"/>
  <c r="O471" i="1"/>
  <c r="O429" i="1"/>
  <c r="O403" i="1"/>
  <c r="Q1360" i="1"/>
  <c r="Q1314" i="1"/>
  <c r="Q1298" i="1"/>
  <c r="Q1282" i="1"/>
  <c r="Q1192" i="1"/>
  <c r="Q1176" i="1"/>
  <c r="Q1144" i="1"/>
  <c r="Q1128" i="1"/>
  <c r="Q1102" i="1"/>
  <c r="Q1074" i="1"/>
  <c r="Q1058" i="1"/>
  <c r="Q1030" i="1"/>
  <c r="Q1016" i="1"/>
  <c r="Q1004" i="1"/>
  <c r="Q990" i="1"/>
  <c r="Q960" i="1"/>
  <c r="Q944" i="1"/>
  <c r="Q932" i="1"/>
  <c r="Q918" i="1"/>
  <c r="Q902" i="1"/>
  <c r="Q886" i="1"/>
  <c r="Q858" i="1"/>
  <c r="Q842" i="1"/>
  <c r="Q826" i="1"/>
  <c r="Q814" i="1"/>
  <c r="Q770" i="1"/>
  <c r="Q754" i="1"/>
  <c r="Q710" i="1"/>
  <c r="Q694" i="1"/>
  <c r="Q680" i="1"/>
  <c r="Q606" i="1"/>
  <c r="Q532" i="1"/>
  <c r="Q518" i="1"/>
  <c r="Q502" i="1"/>
  <c r="Q490" i="1"/>
  <c r="P1356" i="1"/>
  <c r="O1356" i="1"/>
  <c r="P1317" i="1"/>
  <c r="Q1317" i="1"/>
  <c r="P1347" i="1"/>
  <c r="Q1347" i="1"/>
  <c r="P1333" i="1"/>
  <c r="Q1333" i="1"/>
  <c r="P1295" i="1"/>
  <c r="Q1295" i="1"/>
  <c r="P1291" i="1"/>
  <c r="Q1291" i="1"/>
  <c r="P1284" i="1"/>
  <c r="O1284" i="1"/>
  <c r="P1281" i="1"/>
  <c r="Q1281" i="1"/>
  <c r="P1277" i="1"/>
  <c r="Q1277" i="1"/>
  <c r="P1267" i="1"/>
  <c r="Q1267" i="1"/>
  <c r="P1263" i="1"/>
  <c r="Q1263" i="1"/>
  <c r="P1228" i="1"/>
  <c r="O1228" i="1"/>
  <c r="P1212" i="1"/>
  <c r="O1212" i="1"/>
  <c r="P1191" i="1"/>
  <c r="Q1191" i="1"/>
  <c r="P1183" i="1"/>
  <c r="Q1183" i="1"/>
  <c r="P1155" i="1"/>
  <c r="Q1155" i="1"/>
  <c r="P1139" i="1"/>
  <c r="Q1139" i="1"/>
  <c r="P1124" i="1"/>
  <c r="O1124" i="1"/>
  <c r="P1116" i="1"/>
  <c r="O1116" i="1"/>
  <c r="C1102" i="1"/>
  <c r="F1102" i="1"/>
  <c r="P1097" i="1"/>
  <c r="Q1097" i="1"/>
  <c r="P1095" i="1"/>
  <c r="Q1095" i="1"/>
  <c r="P1077" i="1"/>
  <c r="Q1077" i="1"/>
  <c r="P1053" i="1"/>
  <c r="Q1053" i="1"/>
  <c r="P1041" i="1"/>
  <c r="Q1041" i="1"/>
  <c r="C1006" i="1"/>
  <c r="I1006" i="1"/>
  <c r="P1003" i="1"/>
  <c r="Q1003" i="1"/>
  <c r="C998" i="1"/>
  <c r="G998" i="1"/>
  <c r="P975" i="1"/>
  <c r="Q975" i="1"/>
  <c r="D962" i="1"/>
  <c r="F962" i="1"/>
  <c r="J962" i="1" s="1"/>
  <c r="K962" i="1" s="1"/>
  <c r="L962" i="1" s="1"/>
  <c r="M962" i="1" s="1"/>
  <c r="P955" i="1"/>
  <c r="Q955" i="1"/>
  <c r="P867" i="1"/>
  <c r="Q867" i="1"/>
  <c r="P865" i="1"/>
  <c r="Q865" i="1"/>
  <c r="P861" i="1"/>
  <c r="Q861" i="1"/>
  <c r="P848" i="1"/>
  <c r="O848" i="1"/>
  <c r="P844" i="1"/>
  <c r="O844" i="1"/>
  <c r="P840" i="1"/>
  <c r="O840" i="1"/>
  <c r="P808" i="1"/>
  <c r="O808" i="1"/>
  <c r="P804" i="1"/>
  <c r="O804" i="1"/>
  <c r="P800" i="1"/>
  <c r="O800" i="1"/>
  <c r="P759" i="1"/>
  <c r="Q759" i="1"/>
  <c r="P745" i="1"/>
  <c r="Q745" i="1"/>
  <c r="P720" i="1"/>
  <c r="O720" i="1"/>
  <c r="P707" i="1"/>
  <c r="Q707" i="1"/>
  <c r="P701" i="1"/>
  <c r="Q701" i="1"/>
  <c r="P698" i="1"/>
  <c r="O698" i="1"/>
  <c r="P689" i="1"/>
  <c r="Q689" i="1"/>
  <c r="P685" i="1"/>
  <c r="Q685" i="1"/>
  <c r="P682" i="1"/>
  <c r="O682" i="1"/>
  <c r="P679" i="1"/>
  <c r="Q679" i="1"/>
  <c r="P669" i="1"/>
  <c r="Q669" i="1"/>
  <c r="P665" i="1"/>
  <c r="Q665" i="1"/>
  <c r="P661" i="1"/>
  <c r="Q661" i="1"/>
  <c r="P655" i="1"/>
  <c r="Q655" i="1"/>
  <c r="D638" i="1"/>
  <c r="F638" i="1"/>
  <c r="P634" i="1"/>
  <c r="O634" i="1"/>
  <c r="P627" i="1"/>
  <c r="Q627" i="1"/>
  <c r="P614" i="1"/>
  <c r="O614" i="1"/>
  <c r="P610" i="1"/>
  <c r="O610" i="1"/>
  <c r="P594" i="1"/>
  <c r="O594" i="1"/>
  <c r="P582" i="1"/>
  <c r="O582" i="1"/>
  <c r="P575" i="1"/>
  <c r="Q575" i="1"/>
  <c r="P572" i="1"/>
  <c r="O572" i="1"/>
  <c r="E562" i="1"/>
  <c r="G562" i="1"/>
  <c r="P356" i="1"/>
  <c r="O356" i="1"/>
  <c r="P360" i="1"/>
  <c r="O360" i="1"/>
  <c r="P372" i="1"/>
  <c r="O372" i="1"/>
  <c r="P404" i="1"/>
  <c r="O404" i="1"/>
  <c r="O406" i="1"/>
  <c r="P406" i="1"/>
  <c r="C436" i="1"/>
  <c r="D436" i="1" s="1"/>
  <c r="G441" i="1"/>
  <c r="P450" i="1"/>
  <c r="O450" i="1"/>
  <c r="P457" i="1"/>
  <c r="E461" i="1"/>
  <c r="F461" i="1" s="1"/>
  <c r="P465" i="1"/>
  <c r="I535" i="1"/>
  <c r="E535" i="1"/>
  <c r="I536" i="1"/>
  <c r="D536" i="1"/>
  <c r="X3547" i="1"/>
  <c r="W3547" i="1"/>
  <c r="V3547" i="1"/>
  <c r="G1299" i="1"/>
  <c r="I1254" i="1"/>
  <c r="D1246" i="1"/>
  <c r="D1210" i="1"/>
  <c r="E1204" i="1"/>
  <c r="F1201" i="1"/>
  <c r="F1198" i="1"/>
  <c r="E1186" i="1"/>
  <c r="E1168" i="1"/>
  <c r="F1114" i="1"/>
  <c r="I1099" i="1"/>
  <c r="E1091" i="1"/>
  <c r="C1088" i="1"/>
  <c r="D1086" i="1"/>
  <c r="E1061" i="1"/>
  <c r="E1058" i="1"/>
  <c r="I1000" i="1"/>
  <c r="P994" i="1"/>
  <c r="I987" i="1"/>
  <c r="P984" i="1"/>
  <c r="D982" i="1"/>
  <c r="E980" i="1"/>
  <c r="E978" i="1"/>
  <c r="F971" i="1"/>
  <c r="F966" i="1"/>
  <c r="D959" i="1"/>
  <c r="P917" i="1"/>
  <c r="E914" i="1"/>
  <c r="C901" i="1"/>
  <c r="D823" i="1"/>
  <c r="G779" i="1"/>
  <c r="I739" i="1"/>
  <c r="C730" i="1"/>
  <c r="I727" i="1"/>
  <c r="F717" i="1"/>
  <c r="C714" i="1"/>
  <c r="I711" i="1"/>
  <c r="I695" i="1"/>
  <c r="E645" i="1"/>
  <c r="P597" i="1"/>
  <c r="I564" i="1"/>
  <c r="F555" i="1"/>
  <c r="P385" i="1"/>
  <c r="E391" i="1"/>
  <c r="F391" i="1" s="1"/>
  <c r="E393" i="1"/>
  <c r="F393" i="1" s="1"/>
  <c r="F400" i="1"/>
  <c r="P403" i="1"/>
  <c r="P405" i="1"/>
  <c r="C415" i="1"/>
  <c r="D415" i="1" s="1"/>
  <c r="C417" i="1"/>
  <c r="D417" i="1" s="1"/>
  <c r="E423" i="1"/>
  <c r="E425" i="1"/>
  <c r="F425" i="1" s="1"/>
  <c r="P426" i="1"/>
  <c r="Q426" i="1" s="1"/>
  <c r="D428" i="1"/>
  <c r="D431" i="1"/>
  <c r="G434" i="1"/>
  <c r="P438" i="1"/>
  <c r="Q438" i="1" s="1"/>
  <c r="G443" i="1"/>
  <c r="D445" i="1"/>
  <c r="D456" i="1"/>
  <c r="P477" i="1"/>
  <c r="E481" i="1"/>
  <c r="F481" i="1" s="1"/>
  <c r="J481" i="1" s="1"/>
  <c r="K481" i="1" s="1"/>
  <c r="L481" i="1" s="1"/>
  <c r="M481" i="1" s="1"/>
  <c r="D484" i="1"/>
  <c r="P487" i="1"/>
  <c r="Q487" i="1" s="1"/>
  <c r="E492" i="1"/>
  <c r="G495" i="1"/>
  <c r="D497" i="1"/>
  <c r="P506" i="1"/>
  <c r="E508" i="1"/>
  <c r="F509" i="1"/>
  <c r="J509" i="1" s="1"/>
  <c r="K509" i="1" s="1"/>
  <c r="L509" i="1" s="1"/>
  <c r="M509" i="1" s="1"/>
  <c r="C524" i="1"/>
  <c r="C525" i="1"/>
  <c r="D527" i="1"/>
  <c r="E528" i="1"/>
  <c r="F529" i="1"/>
  <c r="P532" i="1"/>
  <c r="P533" i="1"/>
  <c r="E538" i="1"/>
  <c r="E539" i="1"/>
  <c r="F540" i="1"/>
  <c r="H540" i="1" s="1"/>
  <c r="E542" i="1"/>
  <c r="F543" i="1"/>
  <c r="E544" i="1"/>
  <c r="F545" i="1"/>
  <c r="F546" i="1"/>
  <c r="P551" i="1"/>
  <c r="O1359" i="1"/>
  <c r="O1350" i="1"/>
  <c r="O1331" i="1"/>
  <c r="O1322" i="1"/>
  <c r="O1313" i="1"/>
  <c r="O1304" i="1"/>
  <c r="O1295" i="1"/>
  <c r="O1286" i="1"/>
  <c r="O1277" i="1"/>
  <c r="O1267" i="1"/>
  <c r="O1258" i="1"/>
  <c r="O1240" i="1"/>
  <c r="O1231" i="1"/>
  <c r="O1203" i="1"/>
  <c r="O1194" i="1"/>
  <c r="O1185" i="1"/>
  <c r="O1176" i="1"/>
  <c r="O1167" i="1"/>
  <c r="O1158" i="1"/>
  <c r="O1139" i="1"/>
  <c r="O1112" i="1"/>
  <c r="O1082" i="1"/>
  <c r="O1062" i="1"/>
  <c r="O1041" i="1"/>
  <c r="O1022" i="1"/>
  <c r="O961" i="1"/>
  <c r="O939" i="1"/>
  <c r="O918" i="1"/>
  <c r="O897" i="1"/>
  <c r="O886" i="1"/>
  <c r="O866" i="1"/>
  <c r="O834" i="1"/>
  <c r="O814" i="1"/>
  <c r="O803" i="1"/>
  <c r="O782" i="1"/>
  <c r="O762" i="1"/>
  <c r="O741" i="1"/>
  <c r="O675" i="1"/>
  <c r="O661" i="1"/>
  <c r="O571" i="1"/>
  <c r="O515" i="1"/>
  <c r="O501" i="1"/>
  <c r="O487" i="1"/>
  <c r="O473" i="1"/>
  <c r="O457" i="1"/>
  <c r="O443" i="1"/>
  <c r="O405" i="1"/>
  <c r="O381" i="1"/>
  <c r="O367" i="1"/>
  <c r="Q1346" i="1"/>
  <c r="Q1330" i="1"/>
  <c r="Q1316" i="1"/>
  <c r="Q1300" i="1"/>
  <c r="Q1284" i="1"/>
  <c r="Q1270" i="1"/>
  <c r="Q1254" i="1"/>
  <c r="Q1238" i="1"/>
  <c r="Q1224" i="1"/>
  <c r="Q1208" i="1"/>
  <c r="Q1178" i="1"/>
  <c r="Q1162" i="1"/>
  <c r="Q1146" i="1"/>
  <c r="Q1104" i="1"/>
  <c r="Q1090" i="1"/>
  <c r="Q1076" i="1"/>
  <c r="Q1060" i="1"/>
  <c r="Q1046" i="1"/>
  <c r="Q1032" i="1"/>
  <c r="Q1006" i="1"/>
  <c r="Q992" i="1"/>
  <c r="Q962" i="1"/>
  <c r="Q946" i="1"/>
  <c r="Q934" i="1"/>
  <c r="Q920" i="1"/>
  <c r="Q888" i="1"/>
  <c r="Q874" i="1"/>
  <c r="Q860" i="1"/>
  <c r="Q844" i="1"/>
  <c r="Q816" i="1"/>
  <c r="Q802" i="1"/>
  <c r="Q788" i="1"/>
  <c r="Q772" i="1"/>
  <c r="Q742" i="1"/>
  <c r="Q726" i="1"/>
  <c r="Q668" i="1"/>
  <c r="Q546" i="1"/>
  <c r="Q534" i="1"/>
  <c r="Q504" i="1"/>
  <c r="X3597" i="1"/>
  <c r="W3571" i="1"/>
  <c r="P1301" i="1"/>
  <c r="Q1301" i="1"/>
  <c r="P1341" i="1"/>
  <c r="Q1341" i="1"/>
  <c r="P1299" i="1"/>
  <c r="Q1299" i="1"/>
  <c r="F1278" i="1"/>
  <c r="E1278" i="1"/>
  <c r="P1257" i="1"/>
  <c r="Q1257" i="1"/>
  <c r="P1251" i="1"/>
  <c r="Q1251" i="1"/>
  <c r="P1249" i="1"/>
  <c r="Q1249" i="1"/>
  <c r="P1235" i="1"/>
  <c r="Q1235" i="1"/>
  <c r="P1219" i="1"/>
  <c r="Q1219" i="1"/>
  <c r="P1201" i="1"/>
  <c r="Q1201" i="1"/>
  <c r="P1195" i="1"/>
  <c r="Q1195" i="1"/>
  <c r="P1180" i="1"/>
  <c r="O1180" i="1"/>
  <c r="P1171" i="1"/>
  <c r="Q1171" i="1"/>
  <c r="P1143" i="1"/>
  <c r="Q1143" i="1"/>
  <c r="P1131" i="1"/>
  <c r="Q1131" i="1"/>
  <c r="P1119" i="1"/>
  <c r="Q1119" i="1"/>
  <c r="F1096" i="1"/>
  <c r="E1096" i="1"/>
  <c r="P1093" i="1"/>
  <c r="Q1093" i="1"/>
  <c r="P1091" i="1"/>
  <c r="Q1091" i="1"/>
  <c r="P1088" i="1"/>
  <c r="O1088" i="1"/>
  <c r="P1083" i="1"/>
  <c r="Q1083" i="1"/>
  <c r="P1075" i="1"/>
  <c r="Q1075" i="1"/>
  <c r="P1071" i="1"/>
  <c r="Q1071" i="1"/>
  <c r="P1061" i="1"/>
  <c r="Q1061" i="1"/>
  <c r="P1051" i="1"/>
  <c r="Q1051" i="1"/>
  <c r="P1047" i="1"/>
  <c r="Q1047" i="1"/>
  <c r="P1044" i="1"/>
  <c r="O1044" i="1"/>
  <c r="P1037" i="1"/>
  <c r="Q1037" i="1"/>
  <c r="P1021" i="1"/>
  <c r="Q1021" i="1"/>
  <c r="P993" i="1"/>
  <c r="Q993" i="1"/>
  <c r="C991" i="1"/>
  <c r="I991" i="1"/>
  <c r="P987" i="1"/>
  <c r="Q987" i="1"/>
  <c r="P971" i="1"/>
  <c r="Q971" i="1"/>
  <c r="P953" i="1"/>
  <c r="Q953" i="1"/>
  <c r="P940" i="1"/>
  <c r="O940" i="1"/>
  <c r="P936" i="1"/>
  <c r="O936" i="1"/>
  <c r="P929" i="1"/>
  <c r="Q929" i="1"/>
  <c r="P925" i="1"/>
  <c r="Q925" i="1"/>
  <c r="P921" i="1"/>
  <c r="Q921" i="1"/>
  <c r="P907" i="1"/>
  <c r="Q907" i="1"/>
  <c r="P903" i="1"/>
  <c r="Q903" i="1"/>
  <c r="P884" i="1"/>
  <c r="O884" i="1"/>
  <c r="P881" i="1"/>
  <c r="Q881" i="1"/>
  <c r="P852" i="1"/>
  <c r="O852" i="1"/>
  <c r="P833" i="1"/>
  <c r="Q833" i="1"/>
  <c r="P829" i="1"/>
  <c r="Q829" i="1"/>
  <c r="P823" i="1"/>
  <c r="Q823" i="1"/>
  <c r="P797" i="1"/>
  <c r="Q797" i="1"/>
  <c r="P793" i="1"/>
  <c r="Q793" i="1"/>
  <c r="P783" i="1"/>
  <c r="Q783" i="1"/>
  <c r="P779" i="1"/>
  <c r="Q779" i="1"/>
  <c r="P773" i="1"/>
  <c r="Q773" i="1"/>
  <c r="P763" i="1"/>
  <c r="Q763" i="1"/>
  <c r="P756" i="1"/>
  <c r="O756" i="1"/>
  <c r="P753" i="1"/>
  <c r="Q753" i="1"/>
  <c r="P749" i="1"/>
  <c r="Q749" i="1"/>
  <c r="P739" i="1"/>
  <c r="Q739" i="1"/>
  <c r="P733" i="1"/>
  <c r="Q733" i="1"/>
  <c r="P727" i="1"/>
  <c r="Q727" i="1"/>
  <c r="P724" i="1"/>
  <c r="O724" i="1"/>
  <c r="P714" i="1"/>
  <c r="O714" i="1"/>
  <c r="P711" i="1"/>
  <c r="Q711" i="1"/>
  <c r="P695" i="1"/>
  <c r="Q695" i="1"/>
  <c r="P676" i="1"/>
  <c r="O676" i="1"/>
  <c r="P673" i="1"/>
  <c r="Q673" i="1"/>
  <c r="P659" i="1"/>
  <c r="Q659" i="1"/>
  <c r="P652" i="1"/>
  <c r="O652" i="1"/>
  <c r="P645" i="1"/>
  <c r="Q645" i="1"/>
  <c r="P638" i="1"/>
  <c r="O638" i="1"/>
  <c r="I635" i="1"/>
  <c r="F635" i="1"/>
  <c r="P631" i="1"/>
  <c r="Q631" i="1"/>
  <c r="P624" i="1"/>
  <c r="O624" i="1"/>
  <c r="P607" i="1"/>
  <c r="Q607" i="1"/>
  <c r="P604" i="1"/>
  <c r="O604" i="1"/>
  <c r="P601" i="1"/>
  <c r="Q601" i="1"/>
  <c r="P588" i="1"/>
  <c r="O588" i="1"/>
  <c r="P579" i="1"/>
  <c r="Q579" i="1"/>
  <c r="P567" i="1"/>
  <c r="Q567" i="1"/>
  <c r="P564" i="1"/>
  <c r="O564" i="1"/>
  <c r="P562" i="1"/>
  <c r="O562" i="1"/>
  <c r="P369" i="1"/>
  <c r="P380" i="1"/>
  <c r="O380" i="1"/>
  <c r="P409" i="1"/>
  <c r="E433" i="1"/>
  <c r="F433" i="1" s="1"/>
  <c r="D500" i="1"/>
  <c r="C500" i="1"/>
  <c r="I505" i="1"/>
  <c r="G505" i="1"/>
  <c r="H505" i="1" s="1"/>
  <c r="I513" i="1"/>
  <c r="D513" i="1"/>
  <c r="C516" i="1"/>
  <c r="D516" i="1"/>
  <c r="I526" i="1"/>
  <c r="G526" i="1"/>
  <c r="I537" i="1"/>
  <c r="D537" i="1"/>
  <c r="W3601" i="1"/>
  <c r="V3601" i="1"/>
  <c r="V3581" i="1"/>
  <c r="W3581" i="1"/>
  <c r="X3575" i="1"/>
  <c r="V3575" i="1"/>
  <c r="X3527" i="1"/>
  <c r="V3527" i="1"/>
  <c r="X3515" i="1"/>
  <c r="W3515" i="1"/>
  <c r="V3515" i="1"/>
  <c r="X3463" i="1"/>
  <c r="V3463" i="1"/>
  <c r="X3427" i="1"/>
  <c r="W3427" i="1"/>
  <c r="V3427" i="1"/>
  <c r="F1246" i="1"/>
  <c r="H1246" i="1" s="1"/>
  <c r="F1210" i="1"/>
  <c r="G1204" i="1"/>
  <c r="I1186" i="1"/>
  <c r="G1114" i="1"/>
  <c r="E1086" i="1"/>
  <c r="G982" i="1"/>
  <c r="G980" i="1"/>
  <c r="F978" i="1"/>
  <c r="J978" i="1" s="1"/>
  <c r="K978" i="1" s="1"/>
  <c r="L978" i="1" s="1"/>
  <c r="M978" i="1" s="1"/>
  <c r="G966" i="1"/>
  <c r="E959" i="1"/>
  <c r="D901" i="1"/>
  <c r="D730" i="1"/>
  <c r="I717" i="1"/>
  <c r="D391" i="1"/>
  <c r="E392" i="1"/>
  <c r="D393" i="1"/>
  <c r="C418" i="1"/>
  <c r="E418" i="1" s="1"/>
  <c r="D423" i="1"/>
  <c r="C424" i="1"/>
  <c r="D424" i="1" s="1"/>
  <c r="D425" i="1"/>
  <c r="P435" i="1"/>
  <c r="P440" i="1"/>
  <c r="Q440" i="1" s="1"/>
  <c r="C452" i="1"/>
  <c r="E452" i="1" s="1"/>
  <c r="G459" i="1"/>
  <c r="P460" i="1"/>
  <c r="Q460" i="1" s="1"/>
  <c r="P463" i="1"/>
  <c r="P471" i="1"/>
  <c r="P479" i="1"/>
  <c r="J485" i="1"/>
  <c r="K485" i="1" s="1"/>
  <c r="L485" i="1" s="1"/>
  <c r="M485" i="1" s="1"/>
  <c r="P490" i="1"/>
  <c r="G498" i="1"/>
  <c r="P502" i="1"/>
  <c r="E509" i="1"/>
  <c r="P510" i="1"/>
  <c r="J530" i="1"/>
  <c r="K530" i="1" s="1"/>
  <c r="L530" i="1" s="1"/>
  <c r="M530" i="1" s="1"/>
  <c r="P534" i="1"/>
  <c r="P535" i="1"/>
  <c r="D542" i="1"/>
  <c r="E543" i="1"/>
  <c r="D544" i="1"/>
  <c r="J548" i="1"/>
  <c r="K548" i="1" s="1"/>
  <c r="L548" i="1" s="1"/>
  <c r="M548" i="1" s="1"/>
  <c r="O1360" i="1"/>
  <c r="O1351" i="1"/>
  <c r="O1342" i="1"/>
  <c r="O1333" i="1"/>
  <c r="O1314" i="1"/>
  <c r="O1305" i="1"/>
  <c r="O1296" i="1"/>
  <c r="O1287" i="1"/>
  <c r="O1278" i="1"/>
  <c r="O1259" i="1"/>
  <c r="O1241" i="1"/>
  <c r="O1232" i="1"/>
  <c r="O1214" i="1"/>
  <c r="O1205" i="1"/>
  <c r="O1195" i="1"/>
  <c r="O1186" i="1"/>
  <c r="O1168" i="1"/>
  <c r="O1150" i="1"/>
  <c r="O1131" i="1"/>
  <c r="O1122" i="1"/>
  <c r="O1113" i="1"/>
  <c r="O1104" i="1"/>
  <c r="O1094" i="1"/>
  <c r="O1083" i="1"/>
  <c r="O1063" i="1"/>
  <c r="O1053" i="1"/>
  <c r="O1023" i="1"/>
  <c r="O1013" i="1"/>
  <c r="O993" i="1"/>
  <c r="O982" i="1"/>
  <c r="O973" i="1"/>
  <c r="O962" i="1"/>
  <c r="O941" i="1"/>
  <c r="O930" i="1"/>
  <c r="O909" i="1"/>
  <c r="O898" i="1"/>
  <c r="O878" i="1"/>
  <c r="O867" i="1"/>
  <c r="O857" i="1"/>
  <c r="O846" i="1"/>
  <c r="O826" i="1"/>
  <c r="O794" i="1"/>
  <c r="O783" i="1"/>
  <c r="O763" i="1"/>
  <c r="O753" i="1"/>
  <c r="O742" i="1"/>
  <c r="O729" i="1"/>
  <c r="O677" i="1"/>
  <c r="O617" i="1"/>
  <c r="O601" i="1"/>
  <c r="O573" i="1"/>
  <c r="O529" i="1"/>
  <c r="O517" i="1"/>
  <c r="O503" i="1"/>
  <c r="O489" i="1"/>
  <c r="O459" i="1"/>
  <c r="O445" i="1"/>
  <c r="O433" i="1"/>
  <c r="O369" i="1"/>
  <c r="Q1332" i="1"/>
  <c r="Q1318" i="1"/>
  <c r="Q1302" i="1"/>
  <c r="Q1286" i="1"/>
  <c r="Q1256" i="1"/>
  <c r="Q1240" i="1"/>
  <c r="Q1210" i="1"/>
  <c r="Q1180" i="1"/>
  <c r="Q1164" i="1"/>
  <c r="Q1120" i="1"/>
  <c r="Q1092" i="1"/>
  <c r="Q1078" i="1"/>
  <c r="Q1018" i="1"/>
  <c r="Q1008" i="1"/>
  <c r="Q994" i="1"/>
  <c r="Q948" i="1"/>
  <c r="Q936" i="1"/>
  <c r="Q922" i="1"/>
  <c r="Q906" i="1"/>
  <c r="Q890" i="1"/>
  <c r="Q876" i="1"/>
  <c r="Q862" i="1"/>
  <c r="Q846" i="1"/>
  <c r="Q830" i="1"/>
  <c r="Q804" i="1"/>
  <c r="Q790" i="1"/>
  <c r="Q758" i="1"/>
  <c r="Q744" i="1"/>
  <c r="Q714" i="1"/>
  <c r="Q698" i="1"/>
  <c r="Q682" i="1"/>
  <c r="Q654" i="1"/>
  <c r="Q610" i="1"/>
  <c r="Q594" i="1"/>
  <c r="Q578" i="1"/>
  <c r="Q562" i="1"/>
  <c r="Q548" i="1"/>
  <c r="Q536" i="1"/>
  <c r="Q506" i="1"/>
  <c r="Q492" i="1"/>
  <c r="P1348" i="1"/>
  <c r="O1348" i="1"/>
  <c r="P1285" i="1"/>
  <c r="Q1285" i="1"/>
  <c r="E1258" i="1"/>
  <c r="C1258" i="1"/>
  <c r="F1252" i="1"/>
  <c r="I1252" i="1"/>
  <c r="P1243" i="1"/>
  <c r="Q1243" i="1"/>
  <c r="P1239" i="1"/>
  <c r="Q1239" i="1"/>
  <c r="P1223" i="1"/>
  <c r="Q1223" i="1"/>
  <c r="P1213" i="1"/>
  <c r="Q1213" i="1"/>
  <c r="P1204" i="1"/>
  <c r="O1204" i="1"/>
  <c r="P1188" i="1"/>
  <c r="O1188" i="1"/>
  <c r="P1147" i="1"/>
  <c r="Q1147" i="1"/>
  <c r="P1140" i="1"/>
  <c r="O1140" i="1"/>
  <c r="P1137" i="1"/>
  <c r="Q1137" i="1"/>
  <c r="P1125" i="1"/>
  <c r="Q1125" i="1"/>
  <c r="P1117" i="1"/>
  <c r="Q1117" i="1"/>
  <c r="I1089" i="1"/>
  <c r="F1089" i="1"/>
  <c r="F1076" i="1"/>
  <c r="H1076" i="1" s="1"/>
  <c r="I1076" i="1"/>
  <c r="P1067" i="1"/>
  <c r="Q1067" i="1"/>
  <c r="F1052" i="1"/>
  <c r="D1052" i="1"/>
  <c r="P1025" i="1"/>
  <c r="Q1025" i="1"/>
  <c r="P1015" i="1"/>
  <c r="Q1015" i="1"/>
  <c r="P968" i="1"/>
  <c r="O968" i="1"/>
  <c r="P964" i="1"/>
  <c r="O964" i="1"/>
  <c r="P959" i="1"/>
  <c r="Q959" i="1"/>
  <c r="E941" i="1"/>
  <c r="D941" i="1"/>
  <c r="P933" i="1"/>
  <c r="Q933" i="1"/>
  <c r="P911" i="1"/>
  <c r="Q911" i="1"/>
  <c r="P868" i="1"/>
  <c r="O868" i="1"/>
  <c r="P855" i="1"/>
  <c r="Q855" i="1"/>
  <c r="P849" i="1"/>
  <c r="Q849" i="1"/>
  <c r="P845" i="1"/>
  <c r="Q845" i="1"/>
  <c r="P841" i="1"/>
  <c r="Q841" i="1"/>
  <c r="P837" i="1"/>
  <c r="Q837" i="1"/>
  <c r="P809" i="1"/>
  <c r="Q809" i="1"/>
  <c r="I774" i="1"/>
  <c r="D774" i="1"/>
  <c r="P771" i="1"/>
  <c r="Q771" i="1"/>
  <c r="P767" i="1"/>
  <c r="Q767" i="1"/>
  <c r="P760" i="1"/>
  <c r="O760" i="1"/>
  <c r="G757" i="1"/>
  <c r="I757" i="1"/>
  <c r="P721" i="1"/>
  <c r="Q721" i="1"/>
  <c r="P717" i="1"/>
  <c r="Q717" i="1"/>
  <c r="P708" i="1"/>
  <c r="O708" i="1"/>
  <c r="P705" i="1"/>
  <c r="Q705" i="1"/>
  <c r="P690" i="1"/>
  <c r="O690" i="1"/>
  <c r="P686" i="1"/>
  <c r="O686" i="1"/>
  <c r="P683" i="1"/>
  <c r="Q683" i="1"/>
  <c r="P666" i="1"/>
  <c r="O666" i="1"/>
  <c r="P662" i="1"/>
  <c r="O662" i="1"/>
  <c r="P656" i="1"/>
  <c r="O656" i="1"/>
  <c r="P649" i="1"/>
  <c r="Q649" i="1"/>
  <c r="P642" i="1"/>
  <c r="O642" i="1"/>
  <c r="P635" i="1"/>
  <c r="Q635" i="1"/>
  <c r="C632" i="1"/>
  <c r="F632" i="1"/>
  <c r="P628" i="1"/>
  <c r="O628" i="1"/>
  <c r="P618" i="1"/>
  <c r="O618" i="1"/>
  <c r="P615" i="1"/>
  <c r="Q615" i="1"/>
  <c r="P611" i="1"/>
  <c r="Q611" i="1"/>
  <c r="P595" i="1"/>
  <c r="Q595" i="1"/>
  <c r="P585" i="1"/>
  <c r="Q585" i="1"/>
  <c r="P583" i="1"/>
  <c r="Q583" i="1"/>
  <c r="P553" i="1"/>
  <c r="Q553" i="1"/>
  <c r="P355" i="1"/>
  <c r="Q355" i="1" s="1"/>
  <c r="P359" i="1"/>
  <c r="P363" i="1"/>
  <c r="Q363" i="1" s="1"/>
  <c r="E369" i="1"/>
  <c r="F369" i="1" s="1"/>
  <c r="P377" i="1"/>
  <c r="Q377" i="1" s="1"/>
  <c r="P412" i="1"/>
  <c r="O412" i="1"/>
  <c r="O414" i="1"/>
  <c r="P414" i="1"/>
  <c r="G445" i="1"/>
  <c r="P455" i="1"/>
  <c r="Q455" i="1" s="1"/>
  <c r="C469" i="1"/>
  <c r="E469" i="1" s="1"/>
  <c r="D481" i="1"/>
  <c r="I497" i="1"/>
  <c r="E497" i="1"/>
  <c r="I527" i="1"/>
  <c r="G527" i="1"/>
  <c r="I538" i="1"/>
  <c r="D538" i="1"/>
  <c r="I539" i="1"/>
  <c r="C539" i="1"/>
  <c r="X3595" i="1"/>
  <c r="V3595" i="1"/>
  <c r="X3563" i="1"/>
  <c r="W3563" i="1"/>
  <c r="V3563" i="1"/>
  <c r="I1246" i="1"/>
  <c r="I1114" i="1"/>
  <c r="F1086" i="1"/>
  <c r="F901" i="1"/>
  <c r="J901" i="1" s="1"/>
  <c r="K901" i="1" s="1"/>
  <c r="L901" i="1" s="1"/>
  <c r="M901" i="1" s="1"/>
  <c r="G730" i="1"/>
  <c r="H730" i="1" s="1"/>
  <c r="O1361" i="1"/>
  <c r="O1352" i="1"/>
  <c r="O1343" i="1"/>
  <c r="O1334" i="1"/>
  <c r="O1306" i="1"/>
  <c r="O1297" i="1"/>
  <c r="O1288" i="1"/>
  <c r="O1270" i="1"/>
  <c r="O1251" i="1"/>
  <c r="O1242" i="1"/>
  <c r="O1233" i="1"/>
  <c r="O1215" i="1"/>
  <c r="O1206" i="1"/>
  <c r="O1142" i="1"/>
  <c r="O1123" i="1"/>
  <c r="O1114" i="1"/>
  <c r="O1095" i="1"/>
  <c r="O1074" i="1"/>
  <c r="O1054" i="1"/>
  <c r="O1043" i="1"/>
  <c r="O1034" i="1"/>
  <c r="O1003" i="1"/>
  <c r="O974" i="1"/>
  <c r="O953" i="1"/>
  <c r="O942" i="1"/>
  <c r="O921" i="1"/>
  <c r="O910" i="1"/>
  <c r="O899" i="1"/>
  <c r="O889" i="1"/>
  <c r="O858" i="1"/>
  <c r="O847" i="1"/>
  <c r="O837" i="1"/>
  <c r="O806" i="1"/>
  <c r="O785" i="1"/>
  <c r="O775" i="1"/>
  <c r="O765" i="1"/>
  <c r="O754" i="1"/>
  <c r="O719" i="1"/>
  <c r="O707" i="1"/>
  <c r="O695" i="1"/>
  <c r="O679" i="1"/>
  <c r="O665" i="1"/>
  <c r="O649" i="1"/>
  <c r="O635" i="1"/>
  <c r="O587" i="1"/>
  <c r="O561" i="1"/>
  <c r="O547" i="1"/>
  <c r="O531" i="1"/>
  <c r="O519" i="1"/>
  <c r="O505" i="1"/>
  <c r="O477" i="1"/>
  <c r="O461" i="1"/>
  <c r="O395" i="1"/>
  <c r="O383" i="1"/>
  <c r="O357" i="1"/>
  <c r="Q1350" i="1"/>
  <c r="Q1334" i="1"/>
  <c r="Q1320" i="1"/>
  <c r="Q1304" i="1"/>
  <c r="Q1288" i="1"/>
  <c r="Q1272" i="1"/>
  <c r="Q1258" i="1"/>
  <c r="Q1242" i="1"/>
  <c r="Q1226" i="1"/>
  <c r="Q1212" i="1"/>
  <c r="Q1198" i="1"/>
  <c r="Q1182" i="1"/>
  <c r="Q1166" i="1"/>
  <c r="Q1150" i="1"/>
  <c r="Q1134" i="1"/>
  <c r="Q1106" i="1"/>
  <c r="Q1050" i="1"/>
  <c r="Q1034" i="1"/>
  <c r="Q1020" i="1"/>
  <c r="Q982" i="1"/>
  <c r="Q966" i="1"/>
  <c r="Q878" i="1"/>
  <c r="Q864" i="1"/>
  <c r="Q848" i="1"/>
  <c r="Q818" i="1"/>
  <c r="Q806" i="1"/>
  <c r="Q792" i="1"/>
  <c r="Q760" i="1"/>
  <c r="Q746" i="1"/>
  <c r="Q656" i="1"/>
  <c r="Q642" i="1"/>
  <c r="Q564" i="1"/>
  <c r="Q550" i="1"/>
  <c r="Q538" i="1"/>
  <c r="Q480" i="1"/>
  <c r="Q432" i="1"/>
  <c r="D1355" i="1"/>
  <c r="I1355" i="1"/>
  <c r="P1327" i="1"/>
  <c r="Q1327" i="1"/>
  <c r="P1311" i="1"/>
  <c r="Q1311" i="1"/>
  <c r="P1229" i="1"/>
  <c r="Q1229" i="1"/>
  <c r="P1220" i="1"/>
  <c r="O1220" i="1"/>
  <c r="P1199" i="1"/>
  <c r="Q1199" i="1"/>
  <c r="Q1181" i="1"/>
  <c r="P1181" i="1"/>
  <c r="P1159" i="1"/>
  <c r="Q1159" i="1"/>
  <c r="P1156" i="1"/>
  <c r="O1156" i="1"/>
  <c r="P1153" i="1"/>
  <c r="Q1153" i="1"/>
  <c r="P1132" i="1"/>
  <c r="O1132" i="1"/>
  <c r="P1129" i="1"/>
  <c r="Q1129" i="1"/>
  <c r="P1103" i="1"/>
  <c r="Q1103" i="1"/>
  <c r="P1089" i="1"/>
  <c r="Q1089" i="1"/>
  <c r="P1081" i="1"/>
  <c r="Q1081" i="1"/>
  <c r="P1072" i="1"/>
  <c r="O1072" i="1"/>
  <c r="P1059" i="1"/>
  <c r="Q1059" i="1"/>
  <c r="P1048" i="1"/>
  <c r="O1048" i="1"/>
  <c r="P1045" i="1"/>
  <c r="Q1045" i="1"/>
  <c r="P1039" i="1"/>
  <c r="Q1039" i="1"/>
  <c r="P1031" i="1"/>
  <c r="Q1031" i="1"/>
  <c r="P1028" i="1"/>
  <c r="O1028" i="1"/>
  <c r="P1007" i="1"/>
  <c r="Q1007" i="1"/>
  <c r="P1001" i="1"/>
  <c r="Q1001" i="1"/>
  <c r="P991" i="1"/>
  <c r="Q991" i="1"/>
  <c r="P947" i="1"/>
  <c r="Q947" i="1"/>
  <c r="E934" i="1"/>
  <c r="D934" i="1"/>
  <c r="P915" i="1"/>
  <c r="Q915" i="1"/>
  <c r="P908" i="1"/>
  <c r="O908" i="1"/>
  <c r="P904" i="1"/>
  <c r="O904" i="1"/>
  <c r="P895" i="1"/>
  <c r="Q895" i="1"/>
  <c r="P891" i="1"/>
  <c r="Q891" i="1"/>
  <c r="P887" i="1"/>
  <c r="Q887" i="1"/>
  <c r="P875" i="1"/>
  <c r="Q875" i="1"/>
  <c r="P871" i="1"/>
  <c r="Q871" i="1"/>
  <c r="P827" i="1"/>
  <c r="Q827" i="1"/>
  <c r="P812" i="1"/>
  <c r="O812" i="1"/>
  <c r="P780" i="1"/>
  <c r="O780" i="1"/>
  <c r="P743" i="1"/>
  <c r="Q743" i="1"/>
  <c r="P737" i="1"/>
  <c r="Q737" i="1"/>
  <c r="P730" i="1"/>
  <c r="O730" i="1"/>
  <c r="P728" i="1"/>
  <c r="O728" i="1"/>
  <c r="P712" i="1"/>
  <c r="O712" i="1"/>
  <c r="P699" i="1"/>
  <c r="Q699" i="1"/>
  <c r="P696" i="1"/>
  <c r="O696" i="1"/>
  <c r="P670" i="1"/>
  <c r="O670" i="1"/>
  <c r="P660" i="1"/>
  <c r="O660" i="1"/>
  <c r="P646" i="1"/>
  <c r="O646" i="1"/>
  <c r="P639" i="1"/>
  <c r="Q639" i="1"/>
  <c r="P632" i="1"/>
  <c r="O632" i="1"/>
  <c r="C616" i="1"/>
  <c r="F616" i="1"/>
  <c r="P608" i="1"/>
  <c r="O608" i="1"/>
  <c r="P605" i="1"/>
  <c r="Q605" i="1"/>
  <c r="P602" i="1"/>
  <c r="O602" i="1"/>
  <c r="P598" i="1"/>
  <c r="O598" i="1"/>
  <c r="P592" i="1"/>
  <c r="O592" i="1"/>
  <c r="P589" i="1"/>
  <c r="Q589" i="1"/>
  <c r="P580" i="1"/>
  <c r="O580" i="1"/>
  <c r="P576" i="1"/>
  <c r="O576" i="1"/>
  <c r="P568" i="1"/>
  <c r="O568" i="1"/>
  <c r="P559" i="1"/>
  <c r="Q559" i="1"/>
  <c r="P556" i="1"/>
  <c r="O556" i="1"/>
  <c r="P368" i="1"/>
  <c r="O368" i="1"/>
  <c r="P371" i="1"/>
  <c r="Q371" i="1" s="1"/>
  <c r="P417" i="1"/>
  <c r="Q417" i="1" s="1"/>
  <c r="C440" i="1"/>
  <c r="P441" i="1"/>
  <c r="Q441" i="1" s="1"/>
  <c r="C471" i="1"/>
  <c r="D471" i="1" s="1"/>
  <c r="Q483" i="1"/>
  <c r="P483" i="1"/>
  <c r="I528" i="1"/>
  <c r="G528" i="1"/>
  <c r="I540" i="1"/>
  <c r="C540" i="1"/>
  <c r="W3585" i="1"/>
  <c r="V3585" i="1"/>
  <c r="X3567" i="1"/>
  <c r="V3567" i="1"/>
  <c r="X3511" i="1"/>
  <c r="V3511" i="1"/>
  <c r="X3499" i="1"/>
  <c r="W3499" i="1"/>
  <c r="V3499" i="1"/>
  <c r="W3398" i="1"/>
  <c r="X3398" i="1"/>
  <c r="V3398" i="1"/>
  <c r="X3377" i="1"/>
  <c r="W3377" i="1"/>
  <c r="V3377" i="1"/>
  <c r="F1355" i="1"/>
  <c r="J1355" i="1" s="1"/>
  <c r="K1355" i="1" s="1"/>
  <c r="L1355" i="1" s="1"/>
  <c r="M1355" i="1" s="1"/>
  <c r="F1169" i="1"/>
  <c r="E1120" i="1"/>
  <c r="F1113" i="1"/>
  <c r="E1100" i="1"/>
  <c r="P1096" i="1"/>
  <c r="G1086" i="1"/>
  <c r="C1076" i="1"/>
  <c r="F1065" i="1"/>
  <c r="C1052" i="1"/>
  <c r="C1038" i="1"/>
  <c r="P1012" i="1"/>
  <c r="P1004" i="1"/>
  <c r="P998" i="1"/>
  <c r="D972" i="1"/>
  <c r="G941" i="1"/>
  <c r="G899" i="1"/>
  <c r="D885" i="1"/>
  <c r="P859" i="1"/>
  <c r="D853" i="1"/>
  <c r="F824" i="1"/>
  <c r="E774" i="1"/>
  <c r="F757" i="1"/>
  <c r="J757" i="1" s="1"/>
  <c r="K757" i="1" s="1"/>
  <c r="L757" i="1" s="1"/>
  <c r="M757" i="1" s="1"/>
  <c r="C740" i="1"/>
  <c r="I725" i="1"/>
  <c r="E715" i="1"/>
  <c r="P680" i="1"/>
  <c r="E677" i="1"/>
  <c r="D674" i="1"/>
  <c r="E653" i="1"/>
  <c r="I565" i="1"/>
  <c r="F563" i="1"/>
  <c r="H517" i="1"/>
  <c r="J551" i="1"/>
  <c r="K551" i="1" s="1"/>
  <c r="L551" i="1" s="1"/>
  <c r="M551" i="1" s="1"/>
  <c r="O1353" i="1"/>
  <c r="O1326" i="1"/>
  <c r="O1317" i="1"/>
  <c r="O1307" i="1"/>
  <c r="O1298" i="1"/>
  <c r="O1289" i="1"/>
  <c r="O1280" i="1"/>
  <c r="O1262" i="1"/>
  <c r="O1253" i="1"/>
  <c r="O1243" i="1"/>
  <c r="O1234" i="1"/>
  <c r="O1216" i="1"/>
  <c r="O1198" i="1"/>
  <c r="O1179" i="1"/>
  <c r="O1170" i="1"/>
  <c r="O1161" i="1"/>
  <c r="O1152" i="1"/>
  <c r="O1143" i="1"/>
  <c r="O1134" i="1"/>
  <c r="O1125" i="1"/>
  <c r="O1115" i="1"/>
  <c r="O1106" i="1"/>
  <c r="O1097" i="1"/>
  <c r="O1086" i="1"/>
  <c r="O1075" i="1"/>
  <c r="O1065" i="1"/>
  <c r="O1045" i="1"/>
  <c r="O1025" i="1"/>
  <c r="O1015" i="1"/>
  <c r="O1005" i="1"/>
  <c r="O975" i="1"/>
  <c r="O954" i="1"/>
  <c r="O933" i="1"/>
  <c r="O922" i="1"/>
  <c r="O911" i="1"/>
  <c r="O890" i="1"/>
  <c r="O870" i="1"/>
  <c r="O859" i="1"/>
  <c r="O849" i="1"/>
  <c r="O838" i="1"/>
  <c r="O829" i="1"/>
  <c r="O818" i="1"/>
  <c r="O807" i="1"/>
  <c r="O797" i="1"/>
  <c r="O766" i="1"/>
  <c r="O755" i="1"/>
  <c r="O745" i="1"/>
  <c r="O733" i="1"/>
  <c r="O721" i="1"/>
  <c r="O667" i="1"/>
  <c r="O637" i="1"/>
  <c r="O605" i="1"/>
  <c r="O589" i="1"/>
  <c r="O575" i="1"/>
  <c r="O549" i="1"/>
  <c r="O533" i="1"/>
  <c r="O493" i="1"/>
  <c r="O479" i="1"/>
  <c r="O463" i="1"/>
  <c r="O435" i="1"/>
  <c r="O409" i="1"/>
  <c r="O397" i="1"/>
  <c r="O385" i="1"/>
  <c r="O359" i="1"/>
  <c r="Q1352" i="1"/>
  <c r="Q1336" i="1"/>
  <c r="Q1322" i="1"/>
  <c r="Q1306" i="1"/>
  <c r="Q1290" i="1"/>
  <c r="Q1260" i="1"/>
  <c r="Q1228" i="1"/>
  <c r="Q1214" i="1"/>
  <c r="Q1200" i="1"/>
  <c r="Q1168" i="1"/>
  <c r="Q1152" i="1"/>
  <c r="Q1122" i="1"/>
  <c r="Q1108" i="1"/>
  <c r="Q1096" i="1"/>
  <c r="Q1080" i="1"/>
  <c r="Q1066" i="1"/>
  <c r="Q1052" i="1"/>
  <c r="Q1036" i="1"/>
  <c r="Q1022" i="1"/>
  <c r="Q1010" i="1"/>
  <c r="Q996" i="1"/>
  <c r="Q984" i="1"/>
  <c r="Q968" i="1"/>
  <c r="Q952" i="1"/>
  <c r="Q938" i="1"/>
  <c r="Q924" i="1"/>
  <c r="Q910" i="1"/>
  <c r="Q894" i="1"/>
  <c r="Q866" i="1"/>
  <c r="Q850" i="1"/>
  <c r="Q834" i="1"/>
  <c r="Q820" i="1"/>
  <c r="Q808" i="1"/>
  <c r="Q794" i="1"/>
  <c r="Q778" i="1"/>
  <c r="Q762" i="1"/>
  <c r="Q732" i="1"/>
  <c r="Q716" i="1"/>
  <c r="Q702" i="1"/>
  <c r="Q686" i="1"/>
  <c r="Q672" i="1"/>
  <c r="Q658" i="1"/>
  <c r="Q644" i="1"/>
  <c r="Q628" i="1"/>
  <c r="Q614" i="1"/>
  <c r="Q598" i="1"/>
  <c r="Q582" i="1"/>
  <c r="Q552" i="1"/>
  <c r="Q510" i="1"/>
  <c r="W3595" i="1"/>
  <c r="P1357" i="1"/>
  <c r="Q1357" i="1"/>
  <c r="P1292" i="1"/>
  <c r="O1292" i="1"/>
  <c r="G1349" i="1"/>
  <c r="I1349" i="1"/>
  <c r="P1323" i="1"/>
  <c r="Q1323" i="1"/>
  <c r="P1315" i="1"/>
  <c r="Q1315" i="1"/>
  <c r="P1303" i="1"/>
  <c r="Q1303" i="1"/>
  <c r="P1261" i="1"/>
  <c r="Q1261" i="1"/>
  <c r="P1196" i="1"/>
  <c r="O1196" i="1"/>
  <c r="P1177" i="1"/>
  <c r="Q1177" i="1"/>
  <c r="P1084" i="1"/>
  <c r="O1084" i="1"/>
  <c r="P1335" i="1"/>
  <c r="Q1335" i="1"/>
  <c r="P1293" i="1"/>
  <c r="Q1293" i="1"/>
  <c r="P1279" i="1"/>
  <c r="Q1279" i="1"/>
  <c r="P1269" i="1"/>
  <c r="Q1269" i="1"/>
  <c r="P1252" i="1"/>
  <c r="O1252" i="1"/>
  <c r="P1244" i="1"/>
  <c r="O1244" i="1"/>
  <c r="P1236" i="1"/>
  <c r="O1236" i="1"/>
  <c r="P1189" i="1"/>
  <c r="Q1189" i="1"/>
  <c r="P1187" i="1"/>
  <c r="Q1187" i="1"/>
  <c r="D1178" i="1"/>
  <c r="G1178" i="1"/>
  <c r="P1169" i="1"/>
  <c r="Q1169" i="1"/>
  <c r="P1163" i="1"/>
  <c r="Q1163" i="1"/>
  <c r="P1148" i="1"/>
  <c r="O1148" i="1"/>
  <c r="P1141" i="1"/>
  <c r="Q1141" i="1"/>
  <c r="P1100" i="1"/>
  <c r="O1100" i="1"/>
  <c r="E1082" i="1"/>
  <c r="D1082" i="1"/>
  <c r="G1049" i="1"/>
  <c r="E1049" i="1"/>
  <c r="O972" i="1"/>
  <c r="P972" i="1"/>
  <c r="P963" i="1"/>
  <c r="Q963" i="1"/>
  <c r="P957" i="1"/>
  <c r="Q957" i="1"/>
  <c r="P919" i="1"/>
  <c r="Q919" i="1"/>
  <c r="P821" i="1"/>
  <c r="Q821" i="1"/>
  <c r="P761" i="1"/>
  <c r="Q761" i="1"/>
  <c r="P684" i="1"/>
  <c r="O684" i="1"/>
  <c r="P663" i="1"/>
  <c r="Q663" i="1"/>
  <c r="P653" i="1"/>
  <c r="Q653" i="1"/>
  <c r="P643" i="1"/>
  <c r="Q643" i="1"/>
  <c r="P636" i="1"/>
  <c r="O636" i="1"/>
  <c r="P570" i="1"/>
  <c r="O570" i="1"/>
  <c r="P565" i="1"/>
  <c r="Q565" i="1"/>
  <c r="P354" i="1"/>
  <c r="O354" i="1"/>
  <c r="P358" i="1"/>
  <c r="O358" i="1"/>
  <c r="P362" i="1"/>
  <c r="O362" i="1"/>
  <c r="P365" i="1"/>
  <c r="Q365" i="1" s="1"/>
  <c r="P376" i="1"/>
  <c r="O376" i="1"/>
  <c r="P379" i="1"/>
  <c r="Q379" i="1" s="1"/>
  <c r="P388" i="1"/>
  <c r="O388" i="1"/>
  <c r="O390" i="1"/>
  <c r="P390" i="1"/>
  <c r="P420" i="1"/>
  <c r="O420" i="1"/>
  <c r="O422" i="1"/>
  <c r="P422" i="1"/>
  <c r="O458" i="1"/>
  <c r="P458" i="1"/>
  <c r="P466" i="1"/>
  <c r="O466" i="1"/>
  <c r="C473" i="1"/>
  <c r="E473" i="1" s="1"/>
  <c r="I485" i="1"/>
  <c r="C485" i="1"/>
  <c r="C504" i="1"/>
  <c r="F504" i="1"/>
  <c r="I529" i="1"/>
  <c r="G529" i="1"/>
  <c r="I547" i="1"/>
  <c r="G547" i="1"/>
  <c r="H547" i="1" s="1"/>
  <c r="X3602" i="1"/>
  <c r="V3602" i="1"/>
  <c r="X3599" i="1"/>
  <c r="V3599" i="1"/>
  <c r="X3543" i="1"/>
  <c r="V3543" i="1"/>
  <c r="G1252" i="1"/>
  <c r="H1252" i="1" s="1"/>
  <c r="I1250" i="1"/>
  <c r="G1233" i="1"/>
  <c r="F1166" i="1"/>
  <c r="F1283" i="1"/>
  <c r="E1272" i="1"/>
  <c r="I1172" i="1"/>
  <c r="F1118" i="1"/>
  <c r="G1113" i="1"/>
  <c r="C1107" i="1"/>
  <c r="D1076" i="1"/>
  <c r="D1068" i="1"/>
  <c r="G774" i="1"/>
  <c r="E691" i="1"/>
  <c r="F674" i="1"/>
  <c r="F657" i="1"/>
  <c r="D584" i="1"/>
  <c r="P573" i="1"/>
  <c r="G563" i="1"/>
  <c r="C554" i="1"/>
  <c r="D402" i="1"/>
  <c r="G415" i="1"/>
  <c r="G417" i="1"/>
  <c r="G474" i="1"/>
  <c r="G483" i="1"/>
  <c r="D501" i="1"/>
  <c r="H510" i="1"/>
  <c r="E512" i="1"/>
  <c r="E517" i="1"/>
  <c r="H521" i="1"/>
  <c r="J522" i="1"/>
  <c r="K522" i="1" s="1"/>
  <c r="L522" i="1" s="1"/>
  <c r="M522" i="1" s="1"/>
  <c r="H523" i="1"/>
  <c r="D531" i="1"/>
  <c r="D532" i="1"/>
  <c r="E533" i="1"/>
  <c r="F534" i="1"/>
  <c r="D551" i="1"/>
  <c r="F552" i="1"/>
  <c r="H552" i="1" s="1"/>
  <c r="O1354" i="1"/>
  <c r="O1345" i="1"/>
  <c r="O1336" i="1"/>
  <c r="O1327" i="1"/>
  <c r="O1318" i="1"/>
  <c r="O1309" i="1"/>
  <c r="O1299" i="1"/>
  <c r="O1290" i="1"/>
  <c r="O1281" i="1"/>
  <c r="O1272" i="1"/>
  <c r="O1263" i="1"/>
  <c r="O1245" i="1"/>
  <c r="O1235" i="1"/>
  <c r="O1226" i="1"/>
  <c r="O1217" i="1"/>
  <c r="O1208" i="1"/>
  <c r="O1199" i="1"/>
  <c r="O1190" i="1"/>
  <c r="O1181" i="1"/>
  <c r="O1171" i="1"/>
  <c r="O1162" i="1"/>
  <c r="O1153" i="1"/>
  <c r="O1144" i="1"/>
  <c r="O1135" i="1"/>
  <c r="O1126" i="1"/>
  <c r="O1117" i="1"/>
  <c r="O1107" i="1"/>
  <c r="O1098" i="1"/>
  <c r="O1087" i="1"/>
  <c r="O1077" i="1"/>
  <c r="O1066" i="1"/>
  <c r="O1057" i="1"/>
  <c r="O1046" i="1"/>
  <c r="O1037" i="1"/>
  <c r="O1026" i="1"/>
  <c r="O1006" i="1"/>
  <c r="O997" i="1"/>
  <c r="O986" i="1"/>
  <c r="O966" i="1"/>
  <c r="O955" i="1"/>
  <c r="O945" i="1"/>
  <c r="O934" i="1"/>
  <c r="O913" i="1"/>
  <c r="O902" i="1"/>
  <c r="O891" i="1"/>
  <c r="O881" i="1"/>
  <c r="O871" i="1"/>
  <c r="O861" i="1"/>
  <c r="O850" i="1"/>
  <c r="O839" i="1"/>
  <c r="O830" i="1"/>
  <c r="O819" i="1"/>
  <c r="O809" i="1"/>
  <c r="O798" i="1"/>
  <c r="O787" i="1"/>
  <c r="O777" i="1"/>
  <c r="O767" i="1"/>
  <c r="O757" i="1"/>
  <c r="O746" i="1"/>
  <c r="O734" i="1"/>
  <c r="O710" i="1"/>
  <c r="O699" i="1"/>
  <c r="O683" i="1"/>
  <c r="O669" i="1"/>
  <c r="O653" i="1"/>
  <c r="O639" i="1"/>
  <c r="O623" i="1"/>
  <c r="O607" i="1"/>
  <c r="O591" i="1"/>
  <c r="O565" i="1"/>
  <c r="O551" i="1"/>
  <c r="O535" i="1"/>
  <c r="O481" i="1"/>
  <c r="O465" i="1"/>
  <c r="O449" i="1"/>
  <c r="O437" i="1"/>
  <c r="O411" i="1"/>
  <c r="O361" i="1"/>
  <c r="Q1354" i="1"/>
  <c r="Q1338" i="1"/>
  <c r="Q1324" i="1"/>
  <c r="Q1308" i="1"/>
  <c r="Q1292" i="1"/>
  <c r="Q1276" i="1"/>
  <c r="Q1262" i="1"/>
  <c r="Q1246" i="1"/>
  <c r="Q1230" i="1"/>
  <c r="Q1216" i="1"/>
  <c r="Q1202" i="1"/>
  <c r="Q1186" i="1"/>
  <c r="Q1170" i="1"/>
  <c r="Q1154" i="1"/>
  <c r="Q1138" i="1"/>
  <c r="Q1124" i="1"/>
  <c r="Q1110" i="1"/>
  <c r="Q1098" i="1"/>
  <c r="Q1082" i="1"/>
  <c r="Q1068" i="1"/>
  <c r="Q1054" i="1"/>
  <c r="Q1038" i="1"/>
  <c r="Q970" i="1"/>
  <c r="Q954" i="1"/>
  <c r="Q940" i="1"/>
  <c r="Q926" i="1"/>
  <c r="Q912" i="1"/>
  <c r="Q896" i="1"/>
  <c r="Q882" i="1"/>
  <c r="Q868" i="1"/>
  <c r="Q852" i="1"/>
  <c r="Q822" i="1"/>
  <c r="Q810" i="1"/>
  <c r="Q796" i="1"/>
  <c r="Q780" i="1"/>
  <c r="Q748" i="1"/>
  <c r="Q734" i="1"/>
  <c r="Q704" i="1"/>
  <c r="Q688" i="1"/>
  <c r="Q660" i="1"/>
  <c r="Q646" i="1"/>
  <c r="Q630" i="1"/>
  <c r="Q616" i="1"/>
  <c r="Q600" i="1"/>
  <c r="Q584" i="1"/>
  <c r="Q568" i="1"/>
  <c r="Q554" i="1"/>
  <c r="Q526" i="1"/>
  <c r="Q512" i="1"/>
  <c r="Q496" i="1"/>
  <c r="X3585" i="1"/>
  <c r="V3287" i="1"/>
  <c r="W3287" i="1"/>
  <c r="V3275" i="1"/>
  <c r="W3275" i="1"/>
  <c r="V3255" i="1"/>
  <c r="W3255" i="1"/>
  <c r="X3224" i="1"/>
  <c r="V3224" i="1"/>
  <c r="W3202" i="1"/>
  <c r="V3202" i="1"/>
  <c r="V3150" i="1"/>
  <c r="W3150" i="1"/>
  <c r="V3131" i="1"/>
  <c r="W3131" i="1"/>
  <c r="X3117" i="1"/>
  <c r="W3117" i="1"/>
  <c r="W3098" i="1"/>
  <c r="X3098" i="1"/>
  <c r="X3093" i="1"/>
  <c r="V3093" i="1"/>
  <c r="V3056" i="1"/>
  <c r="X3056" i="1"/>
  <c r="X2996" i="1"/>
  <c r="V2996" i="1"/>
  <c r="X2980" i="1"/>
  <c r="V2980" i="1"/>
  <c r="W2938" i="1"/>
  <c r="X2938" i="1"/>
  <c r="W2900" i="1"/>
  <c r="V2900" i="1"/>
  <c r="W2874" i="1"/>
  <c r="X2874" i="1"/>
  <c r="X2868" i="1"/>
  <c r="V2868" i="1"/>
  <c r="V2849" i="1"/>
  <c r="X2849" i="1"/>
  <c r="W2849" i="1"/>
  <c r="W2820" i="1"/>
  <c r="V2820" i="1"/>
  <c r="O1340" i="1"/>
  <c r="O1268" i="1"/>
  <c r="O1172" i="1"/>
  <c r="O988" i="1"/>
  <c r="O980" i="1"/>
  <c r="O956" i="1"/>
  <c r="O916" i="1"/>
  <c r="O900" i="1"/>
  <c r="O836" i="1"/>
  <c r="O828" i="1"/>
  <c r="O740" i="1"/>
  <c r="O612" i="1"/>
  <c r="Q1325" i="1"/>
  <c r="Q1157" i="1"/>
  <c r="Q877" i="1"/>
  <c r="Q869" i="1"/>
  <c r="Q805" i="1"/>
  <c r="Q725" i="1"/>
  <c r="Q709" i="1"/>
  <c r="Q693" i="1"/>
  <c r="Q621" i="1"/>
  <c r="Q509" i="1"/>
  <c r="X3577" i="1"/>
  <c r="X3568" i="1"/>
  <c r="X3561" i="1"/>
  <c r="X3552" i="1"/>
  <c r="X3545" i="1"/>
  <c r="X3536" i="1"/>
  <c r="X3529" i="1"/>
  <c r="X3520" i="1"/>
  <c r="X3513" i="1"/>
  <c r="X3504" i="1"/>
  <c r="X3497" i="1"/>
  <c r="X3488" i="1"/>
  <c r="X3481" i="1"/>
  <c r="X3472" i="1"/>
  <c r="X3465" i="1"/>
  <c r="X3458" i="1"/>
  <c r="X3445" i="1"/>
  <c r="X3432" i="1"/>
  <c r="X3425" i="1"/>
  <c r="X3414" i="1"/>
  <c r="X3400" i="1"/>
  <c r="W3381" i="1"/>
  <c r="V3364" i="1"/>
  <c r="X3356" i="1"/>
  <c r="X3354" i="1"/>
  <c r="V3348" i="1"/>
  <c r="X3334" i="1"/>
  <c r="V3332" i="1"/>
  <c r="X3324" i="1"/>
  <c r="X3322" i="1"/>
  <c r="W3313" i="1"/>
  <c r="V3306" i="1"/>
  <c r="V3304" i="1"/>
  <c r="W3299" i="1"/>
  <c r="X3284" i="1"/>
  <c r="V3282" i="1"/>
  <c r="X3272" i="1"/>
  <c r="V3270" i="1"/>
  <c r="V3262" i="1"/>
  <c r="X3252" i="1"/>
  <c r="W3235" i="1"/>
  <c r="X3219" i="1"/>
  <c r="W3176" i="1"/>
  <c r="W3157" i="1"/>
  <c r="W3152" i="1"/>
  <c r="V3075" i="1"/>
  <c r="V3069" i="1"/>
  <c r="W3053" i="1"/>
  <c r="X3042" i="1"/>
  <c r="X3012" i="1"/>
  <c r="V3010" i="1"/>
  <c r="X2940" i="1"/>
  <c r="V3243" i="1"/>
  <c r="W3243" i="1"/>
  <c r="X3217" i="1"/>
  <c r="V3217" i="1"/>
  <c r="V3215" i="1"/>
  <c r="X3215" i="1"/>
  <c r="W3142" i="1"/>
  <c r="X3142" i="1"/>
  <c r="V3073" i="1"/>
  <c r="X3073" i="1"/>
  <c r="X2957" i="1"/>
  <c r="W2957" i="1"/>
  <c r="V2907" i="1"/>
  <c r="X2907" i="1"/>
  <c r="W2907" i="1"/>
  <c r="X2889" i="1"/>
  <c r="V2889" i="1"/>
  <c r="W2852" i="1"/>
  <c r="V2852" i="1"/>
  <c r="X2837" i="1"/>
  <c r="V2837" i="1"/>
  <c r="X2761" i="1"/>
  <c r="W2761" i="1"/>
  <c r="V2761" i="1"/>
  <c r="W3364" i="1"/>
  <c r="W3348" i="1"/>
  <c r="W3332" i="1"/>
  <c r="W3304" i="1"/>
  <c r="X3270" i="1"/>
  <c r="X3176" i="1"/>
  <c r="X3152" i="1"/>
  <c r="X3075" i="1"/>
  <c r="W3069" i="1"/>
  <c r="X3010" i="1"/>
  <c r="X3043" i="1"/>
  <c r="V3043" i="1"/>
  <c r="V3016" i="1"/>
  <c r="W3016" i="1"/>
  <c r="V2952" i="1"/>
  <c r="W2952" i="1"/>
  <c r="V2881" i="1"/>
  <c r="X2881" i="1"/>
  <c r="W2881" i="1"/>
  <c r="V2875" i="1"/>
  <c r="W2875" i="1"/>
  <c r="V2835" i="1"/>
  <c r="X2835" i="1"/>
  <c r="W2800" i="1"/>
  <c r="V2800" i="1"/>
  <c r="X2749" i="1"/>
  <c r="W2749" i="1"/>
  <c r="V2749" i="1"/>
  <c r="W3573" i="1"/>
  <c r="W3557" i="1"/>
  <c r="W3541" i="1"/>
  <c r="W3525" i="1"/>
  <c r="W3509" i="1"/>
  <c r="W3493" i="1"/>
  <c r="W3477" i="1"/>
  <c r="V3457" i="1"/>
  <c r="W3437" i="1"/>
  <c r="V3421" i="1"/>
  <c r="V3417" i="1"/>
  <c r="V3410" i="1"/>
  <c r="W3405" i="1"/>
  <c r="V3389" i="1"/>
  <c r="V3380" i="1"/>
  <c r="V3373" i="1"/>
  <c r="V3371" i="1"/>
  <c r="X3367" i="1"/>
  <c r="V3362" i="1"/>
  <c r="V3360" i="1"/>
  <c r="V3346" i="1"/>
  <c r="V3344" i="1"/>
  <c r="V3341" i="1"/>
  <c r="V3337" i="1"/>
  <c r="X3330" i="1"/>
  <c r="V3328" i="1"/>
  <c r="V3302" i="1"/>
  <c r="V3297" i="1"/>
  <c r="V3292" i="1"/>
  <c r="V3268" i="1"/>
  <c r="X3243" i="1"/>
  <c r="V3233" i="1"/>
  <c r="V3228" i="1"/>
  <c r="W3215" i="1"/>
  <c r="X3207" i="1"/>
  <c r="V3189" i="1"/>
  <c r="W3148" i="1"/>
  <c r="V3123" i="1"/>
  <c r="W3105" i="1"/>
  <c r="W3086" i="1"/>
  <c r="W2889" i="1"/>
  <c r="X2852" i="1"/>
  <c r="W2837" i="1"/>
  <c r="V3319" i="1"/>
  <c r="W3319" i="1"/>
  <c r="X3192" i="1"/>
  <c r="V3192" i="1"/>
  <c r="V3156" i="1"/>
  <c r="X3156" i="1"/>
  <c r="W3138" i="1"/>
  <c r="V3138" i="1"/>
  <c r="V3041" i="1"/>
  <c r="W3041" i="1"/>
  <c r="X3011" i="1"/>
  <c r="V3011" i="1"/>
  <c r="X2997" i="1"/>
  <c r="W2997" i="1"/>
  <c r="X2989" i="1"/>
  <c r="W2989" i="1"/>
  <c r="V2927" i="1"/>
  <c r="X2927" i="1"/>
  <c r="W2927" i="1"/>
  <c r="W2921" i="1"/>
  <c r="V2921" i="1"/>
  <c r="X2901" i="1"/>
  <c r="W2901" i="1"/>
  <c r="V2901" i="1"/>
  <c r="V2895" i="1"/>
  <c r="X2895" i="1"/>
  <c r="W2895" i="1"/>
  <c r="X2869" i="1"/>
  <c r="W2869" i="1"/>
  <c r="V2869" i="1"/>
  <c r="V2863" i="1"/>
  <c r="W2863" i="1"/>
  <c r="V2824" i="1"/>
  <c r="X2824" i="1"/>
  <c r="W2824" i="1"/>
  <c r="W2812" i="1"/>
  <c r="V2812" i="1"/>
  <c r="V2809" i="1"/>
  <c r="X2809" i="1"/>
  <c r="X2788" i="1"/>
  <c r="W2788" i="1"/>
  <c r="V2788" i="1"/>
  <c r="V2759" i="1"/>
  <c r="X2759" i="1"/>
  <c r="W2759" i="1"/>
  <c r="V2705" i="1"/>
  <c r="X2705" i="1"/>
  <c r="X3305" i="1"/>
  <c r="W3305" i="1"/>
  <c r="V3172" i="1"/>
  <c r="X3172" i="1"/>
  <c r="W3170" i="1"/>
  <c r="X3170" i="1"/>
  <c r="X3124" i="1"/>
  <c r="V3124" i="1"/>
  <c r="V3009" i="1"/>
  <c r="W3009" i="1"/>
  <c r="W2841" i="1"/>
  <c r="X2841" i="1"/>
  <c r="V2816" i="1"/>
  <c r="X2816" i="1"/>
  <c r="V2792" i="1"/>
  <c r="X2792" i="1"/>
  <c r="W2792" i="1"/>
  <c r="W2780" i="1"/>
  <c r="V2780" i="1"/>
  <c r="V2728" i="1"/>
  <c r="X2728" i="1"/>
  <c r="W2728" i="1"/>
  <c r="W3587" i="1"/>
  <c r="X3576" i="1"/>
  <c r="X3569" i="1"/>
  <c r="X3560" i="1"/>
  <c r="X3553" i="1"/>
  <c r="V3551" i="1"/>
  <c r="X3544" i="1"/>
  <c r="V3539" i="1"/>
  <c r="X3537" i="1"/>
  <c r="V3535" i="1"/>
  <c r="V3523" i="1"/>
  <c r="V3519" i="1"/>
  <c r="V3507" i="1"/>
  <c r="V3503" i="1"/>
  <c r="V3491" i="1"/>
  <c r="V3487" i="1"/>
  <c r="V3475" i="1"/>
  <c r="V3471" i="1"/>
  <c r="W3453" i="1"/>
  <c r="V3442" i="1"/>
  <c r="V3440" i="1"/>
  <c r="V3435" i="1"/>
  <c r="V3431" i="1"/>
  <c r="W3399" i="1"/>
  <c r="V3395" i="1"/>
  <c r="V3353" i="1"/>
  <c r="V3321" i="1"/>
  <c r="X3319" i="1"/>
  <c r="V3312" i="1"/>
  <c r="V3309" i="1"/>
  <c r="V3290" i="1"/>
  <c r="V3288" i="1"/>
  <c r="W3285" i="1"/>
  <c r="V3276" i="1"/>
  <c r="V3256" i="1"/>
  <c r="X3251" i="1"/>
  <c r="V3203" i="1"/>
  <c r="W3177" i="1"/>
  <c r="V3164" i="1"/>
  <c r="W3156" i="1"/>
  <c r="W3151" i="1"/>
  <c r="X3138" i="1"/>
  <c r="V3132" i="1"/>
  <c r="W3094" i="1"/>
  <c r="V3084" i="1"/>
  <c r="W3076" i="1"/>
  <c r="V3049" i="1"/>
  <c r="X3041" i="1"/>
  <c r="W3011" i="1"/>
  <c r="V2997" i="1"/>
  <c r="X2921" i="1"/>
  <c r="X2863" i="1"/>
  <c r="X2812" i="1"/>
  <c r="V3190" i="1"/>
  <c r="X3190" i="1"/>
  <c r="V3119" i="1"/>
  <c r="W3119" i="1"/>
  <c r="W3106" i="1"/>
  <c r="V3106" i="1"/>
  <c r="V3087" i="1"/>
  <c r="W3087" i="1"/>
  <c r="V3055" i="1"/>
  <c r="W3055" i="1"/>
  <c r="V3047" i="1"/>
  <c r="X3047" i="1"/>
  <c r="V3017" i="1"/>
  <c r="X3017" i="1"/>
  <c r="W2953" i="1"/>
  <c r="V2953" i="1"/>
  <c r="X2819" i="1"/>
  <c r="V2819" i="1"/>
  <c r="V2798" i="1"/>
  <c r="X2798" i="1"/>
  <c r="W2798" i="1"/>
  <c r="W2784" i="1"/>
  <c r="X2784" i="1"/>
  <c r="V2769" i="1"/>
  <c r="X2769" i="1"/>
  <c r="X2757" i="1"/>
  <c r="W2757" i="1"/>
  <c r="V2757" i="1"/>
  <c r="X2702" i="1"/>
  <c r="V2702" i="1"/>
  <c r="W3539" i="1"/>
  <c r="W3395" i="1"/>
  <c r="X3312" i="1"/>
  <c r="X3290" i="1"/>
  <c r="W3288" i="1"/>
  <c r="W3276" i="1"/>
  <c r="W3256" i="1"/>
  <c r="W3203" i="1"/>
  <c r="X3177" i="1"/>
  <c r="W3164" i="1"/>
  <c r="X3151" i="1"/>
  <c r="W3132" i="1"/>
  <c r="X3094" i="1"/>
  <c r="X3084" i="1"/>
  <c r="X3076" i="1"/>
  <c r="X3049" i="1"/>
  <c r="V3259" i="1"/>
  <c r="W3259" i="1"/>
  <c r="X3221" i="1"/>
  <c r="W3221" i="1"/>
  <c r="W3206" i="1"/>
  <c r="V3206" i="1"/>
  <c r="X3036" i="1"/>
  <c r="V3036" i="1"/>
  <c r="X2985" i="1"/>
  <c r="V2985" i="1"/>
  <c r="X2966" i="1"/>
  <c r="V2966" i="1"/>
  <c r="W2934" i="1"/>
  <c r="V2934" i="1"/>
  <c r="V2899" i="1"/>
  <c r="X2899" i="1"/>
  <c r="V2873" i="1"/>
  <c r="X2873" i="1"/>
  <c r="W2867" i="1"/>
  <c r="X2867" i="1"/>
  <c r="W2851" i="1"/>
  <c r="V2851" i="1"/>
  <c r="W2848" i="1"/>
  <c r="X2848" i="1"/>
  <c r="W2842" i="1"/>
  <c r="X2842" i="1"/>
  <c r="V2817" i="1"/>
  <c r="W2817" i="1"/>
  <c r="W2755" i="1"/>
  <c r="X2755" i="1"/>
  <c r="X2726" i="1"/>
  <c r="W2726" i="1"/>
  <c r="V2726" i="1"/>
  <c r="W3549" i="1"/>
  <c r="W3533" i="1"/>
  <c r="W3517" i="1"/>
  <c r="W3501" i="1"/>
  <c r="W3485" i="1"/>
  <c r="W3469" i="1"/>
  <c r="V3456" i="1"/>
  <c r="V3451" i="1"/>
  <c r="X3449" i="1"/>
  <c r="V3447" i="1"/>
  <c r="X3438" i="1"/>
  <c r="W3429" i="1"/>
  <c r="W3422" i="1"/>
  <c r="V3418" i="1"/>
  <c r="X3406" i="1"/>
  <c r="V3402" i="1"/>
  <c r="W3393" i="1"/>
  <c r="V3390" i="1"/>
  <c r="X3386" i="1"/>
  <c r="V3379" i="1"/>
  <c r="V3370" i="1"/>
  <c r="V3361" i="1"/>
  <c r="V3338" i="1"/>
  <c r="V3317" i="1"/>
  <c r="X3315" i="1"/>
  <c r="V3296" i="1"/>
  <c r="W3279" i="1"/>
  <c r="V3274" i="1"/>
  <c r="W3249" i="1"/>
  <c r="W3201" i="1"/>
  <c r="W3190" i="1"/>
  <c r="V3188" i="1"/>
  <c r="X3162" i="1"/>
  <c r="X3119" i="1"/>
  <c r="X3106" i="1"/>
  <c r="X3100" i="1"/>
  <c r="X3097" i="1"/>
  <c r="X3087" i="1"/>
  <c r="X3055" i="1"/>
  <c r="V3044" i="1"/>
  <c r="W3017" i="1"/>
  <c r="X2953" i="1"/>
  <c r="W2819" i="1"/>
  <c r="V3291" i="1"/>
  <c r="W3291" i="1"/>
  <c r="V3227" i="1"/>
  <c r="W3227" i="1"/>
  <c r="X3185" i="1"/>
  <c r="V3185" i="1"/>
  <c r="V3183" i="1"/>
  <c r="X3183" i="1"/>
  <c r="X3125" i="1"/>
  <c r="W3125" i="1"/>
  <c r="V3112" i="1"/>
  <c r="X3112" i="1"/>
  <c r="X3061" i="1"/>
  <c r="V3061" i="1"/>
  <c r="W3050" i="1"/>
  <c r="V3050" i="1"/>
  <c r="W2946" i="1"/>
  <c r="V2946" i="1"/>
  <c r="W2906" i="1"/>
  <c r="X2906" i="1"/>
  <c r="W2883" i="1"/>
  <c r="V2883" i="1"/>
  <c r="X1969" i="1"/>
  <c r="V1969" i="1"/>
  <c r="V1938" i="1"/>
  <c r="W1938" i="1"/>
  <c r="V1906" i="1"/>
  <c r="W1906" i="1"/>
  <c r="W1901" i="1"/>
  <c r="V1901" i="1"/>
  <c r="X1896" i="1"/>
  <c r="W1896" i="1"/>
  <c r="X1888" i="1"/>
  <c r="V1888" i="1"/>
  <c r="X1880" i="1"/>
  <c r="W1880" i="1"/>
  <c r="X1864" i="1"/>
  <c r="V1864" i="1"/>
  <c r="V1859" i="1"/>
  <c r="X1859" i="1"/>
  <c r="X1856" i="1"/>
  <c r="V1856" i="1"/>
  <c r="X1815" i="1"/>
  <c r="V1815" i="1"/>
  <c r="X1796" i="1"/>
  <c r="V1796" i="1"/>
  <c r="V1779" i="1"/>
  <c r="W1779" i="1"/>
  <c r="W1765" i="1"/>
  <c r="V1765" i="1"/>
  <c r="W1751" i="1"/>
  <c r="V1751" i="1"/>
  <c r="X1700" i="1"/>
  <c r="W1700" i="1"/>
  <c r="V1695" i="1"/>
  <c r="X1695" i="1"/>
  <c r="W3273" i="1"/>
  <c r="W3241" i="1"/>
  <c r="W3211" i="1"/>
  <c r="X3195" i="1"/>
  <c r="X3163" i="1"/>
  <c r="W3121" i="1"/>
  <c r="X3080" i="1"/>
  <c r="X3059" i="1"/>
  <c r="W3029" i="1"/>
  <c r="X3022" i="1"/>
  <c r="X3003" i="1"/>
  <c r="X2991" i="1"/>
  <c r="X2978" i="1"/>
  <c r="X2971" i="1"/>
  <c r="X2959" i="1"/>
  <c r="X2928" i="1"/>
  <c r="X2924" i="1"/>
  <c r="X2913" i="1"/>
  <c r="X2902" i="1"/>
  <c r="X2856" i="1"/>
  <c r="X2830" i="1"/>
  <c r="X2825" i="1"/>
  <c r="X2804" i="1"/>
  <c r="X2786" i="1"/>
  <c r="X2713" i="1"/>
  <c r="X2697" i="1"/>
  <c r="X2689" i="1"/>
  <c r="X2681" i="1"/>
  <c r="X2673" i="1"/>
  <c r="V2670" i="1"/>
  <c r="X2665" i="1"/>
  <c r="X2657" i="1"/>
  <c r="X2649" i="1"/>
  <c r="X2641" i="1"/>
  <c r="V2638" i="1"/>
  <c r="X2633" i="1"/>
  <c r="X2625" i="1"/>
  <c r="X2617" i="1"/>
  <c r="X2609" i="1"/>
  <c r="V2606" i="1"/>
  <c r="X2601" i="1"/>
  <c r="X2593" i="1"/>
  <c r="X2585" i="1"/>
  <c r="X2577" i="1"/>
  <c r="V2574" i="1"/>
  <c r="X2569" i="1"/>
  <c r="X2561" i="1"/>
  <c r="X2553" i="1"/>
  <c r="X2545" i="1"/>
  <c r="V2542" i="1"/>
  <c r="X2537" i="1"/>
  <c r="X2529" i="1"/>
  <c r="X2521" i="1"/>
  <c r="X2513" i="1"/>
  <c r="V2510" i="1"/>
  <c r="X2505" i="1"/>
  <c r="X2497" i="1"/>
  <c r="X2489" i="1"/>
  <c r="X2481" i="1"/>
  <c r="V2478" i="1"/>
  <c r="X2473" i="1"/>
  <c r="X2465" i="1"/>
  <c r="V2458" i="1"/>
  <c r="X2452" i="1"/>
  <c r="X2450" i="1"/>
  <c r="W2447" i="1"/>
  <c r="V2429" i="1"/>
  <c r="V2422" i="1"/>
  <c r="V2418" i="1"/>
  <c r="W2413" i="1"/>
  <c r="W2406" i="1"/>
  <c r="X2404" i="1"/>
  <c r="V2402" i="1"/>
  <c r="V2389" i="1"/>
  <c r="X2384" i="1"/>
  <c r="V2372" i="1"/>
  <c r="X2362" i="1"/>
  <c r="V2357" i="1"/>
  <c r="X2352" i="1"/>
  <c r="V2342" i="1"/>
  <c r="X2330" i="1"/>
  <c r="V2325" i="1"/>
  <c r="X2320" i="1"/>
  <c r="V2310" i="1"/>
  <c r="X2298" i="1"/>
  <c r="V2293" i="1"/>
  <c r="X2288" i="1"/>
  <c r="V2278" i="1"/>
  <c r="X2266" i="1"/>
  <c r="W2261" i="1"/>
  <c r="V2252" i="1"/>
  <c r="X2242" i="1"/>
  <c r="V2237" i="1"/>
  <c r="X2232" i="1"/>
  <c r="V2228" i="1"/>
  <c r="X2218" i="1"/>
  <c r="W2213" i="1"/>
  <c r="V2204" i="1"/>
  <c r="W2198" i="1"/>
  <c r="X2196" i="1"/>
  <c r="V2194" i="1"/>
  <c r="W2181" i="1"/>
  <c r="V2172" i="1"/>
  <c r="W2166" i="1"/>
  <c r="X2164" i="1"/>
  <c r="V2162" i="1"/>
  <c r="W2149" i="1"/>
  <c r="V2140" i="1"/>
  <c r="X2130" i="1"/>
  <c r="W2090" i="1"/>
  <c r="V2086" i="1"/>
  <c r="X2083" i="1"/>
  <c r="W2078" i="1"/>
  <c r="V2071" i="1"/>
  <c r="W2044" i="1"/>
  <c r="X2039" i="1"/>
  <c r="X2037" i="1"/>
  <c r="V2022" i="1"/>
  <c r="X2019" i="1"/>
  <c r="W1995" i="1"/>
  <c r="W1992" i="1"/>
  <c r="X1980" i="1"/>
  <c r="W1951" i="1"/>
  <c r="V1935" i="1"/>
  <c r="V1932" i="1"/>
  <c r="V1919" i="1"/>
  <c r="X1916" i="1"/>
  <c r="X1845" i="1"/>
  <c r="V2098" i="1"/>
  <c r="W2098" i="1"/>
  <c r="W2035" i="1"/>
  <c r="V2035" i="1"/>
  <c r="X1958" i="1"/>
  <c r="V1958" i="1"/>
  <c r="W1909" i="1"/>
  <c r="V1909" i="1"/>
  <c r="W1886" i="1"/>
  <c r="X1886" i="1"/>
  <c r="V1843" i="1"/>
  <c r="W1843" i="1"/>
  <c r="X1832" i="1"/>
  <c r="V1832" i="1"/>
  <c r="X1824" i="1"/>
  <c r="V1824" i="1"/>
  <c r="W1799" i="1"/>
  <c r="V1799" i="1"/>
  <c r="V1794" i="1"/>
  <c r="W1794" i="1"/>
  <c r="X1776" i="1"/>
  <c r="V1776" i="1"/>
  <c r="V1715" i="1"/>
  <c r="X1715" i="1"/>
  <c r="W1715" i="1"/>
  <c r="X1663" i="1"/>
  <c r="W1663" i="1"/>
  <c r="V1663" i="1"/>
  <c r="X2458" i="1"/>
  <c r="W2429" i="1"/>
  <c r="W2422" i="1"/>
  <c r="X2418" i="1"/>
  <c r="X2402" i="1"/>
  <c r="W2389" i="1"/>
  <c r="W2372" i="1"/>
  <c r="W2357" i="1"/>
  <c r="W2342" i="1"/>
  <c r="W2325" i="1"/>
  <c r="W2310" i="1"/>
  <c r="W2293" i="1"/>
  <c r="W2278" i="1"/>
  <c r="W2252" i="1"/>
  <c r="W2237" i="1"/>
  <c r="W2228" i="1"/>
  <c r="W2204" i="1"/>
  <c r="X2194" i="1"/>
  <c r="W2172" i="1"/>
  <c r="X2162" i="1"/>
  <c r="W2140" i="1"/>
  <c r="X2090" i="1"/>
  <c r="W2086" i="1"/>
  <c r="W2071" i="1"/>
  <c r="W2022" i="1"/>
  <c r="X1935" i="1"/>
  <c r="W1932" i="1"/>
  <c r="X1919" i="1"/>
  <c r="X2033" i="1"/>
  <c r="V2033" i="1"/>
  <c r="W1993" i="1"/>
  <c r="X1993" i="1"/>
  <c r="W1964" i="1"/>
  <c r="V1964" i="1"/>
  <c r="W1955" i="1"/>
  <c r="X1955" i="1"/>
  <c r="W1925" i="1"/>
  <c r="V1925" i="1"/>
  <c r="W1854" i="1"/>
  <c r="X1854" i="1"/>
  <c r="V1802" i="1"/>
  <c r="X1802" i="1"/>
  <c r="X1760" i="1"/>
  <c r="V1760" i="1"/>
  <c r="X1672" i="1"/>
  <c r="W1672" i="1"/>
  <c r="V1672" i="1"/>
  <c r="V2796" i="1"/>
  <c r="X2791" i="1"/>
  <c r="V2774" i="1"/>
  <c r="X2753" i="1"/>
  <c r="V2745" i="1"/>
  <c r="W2743" i="1"/>
  <c r="V2741" i="1"/>
  <c r="X2739" i="1"/>
  <c r="V2733" i="1"/>
  <c r="W2712" i="1"/>
  <c r="V2710" i="1"/>
  <c r="W2696" i="1"/>
  <c r="V2694" i="1"/>
  <c r="W2687" i="1"/>
  <c r="W2680" i="1"/>
  <c r="V2678" i="1"/>
  <c r="W2664" i="1"/>
  <c r="V2662" i="1"/>
  <c r="W2655" i="1"/>
  <c r="W2648" i="1"/>
  <c r="V2646" i="1"/>
  <c r="W2632" i="1"/>
  <c r="V2630" i="1"/>
  <c r="W2623" i="1"/>
  <c r="W2616" i="1"/>
  <c r="V2614" i="1"/>
  <c r="W2600" i="1"/>
  <c r="V2598" i="1"/>
  <c r="W2591" i="1"/>
  <c r="W2584" i="1"/>
  <c r="V2582" i="1"/>
  <c r="W2568" i="1"/>
  <c r="V2566" i="1"/>
  <c r="W2559" i="1"/>
  <c r="W2552" i="1"/>
  <c r="V2550" i="1"/>
  <c r="W2536" i="1"/>
  <c r="V2534" i="1"/>
  <c r="W2527" i="1"/>
  <c r="W2520" i="1"/>
  <c r="V2518" i="1"/>
  <c r="W2504" i="1"/>
  <c r="V2502" i="1"/>
  <c r="W2495" i="1"/>
  <c r="W2488" i="1"/>
  <c r="V2486" i="1"/>
  <c r="W2472" i="1"/>
  <c r="V2470" i="1"/>
  <c r="W2463" i="1"/>
  <c r="V2445" i="1"/>
  <c r="V2412" i="1"/>
  <c r="X2400" i="1"/>
  <c r="V2382" i="1"/>
  <c r="V2370" i="1"/>
  <c r="V2365" i="1"/>
  <c r="X2360" i="1"/>
  <c r="V2350" i="1"/>
  <c r="V2333" i="1"/>
  <c r="X2328" i="1"/>
  <c r="V2318" i="1"/>
  <c r="V2301" i="1"/>
  <c r="X2296" i="1"/>
  <c r="V2286" i="1"/>
  <c r="V2269" i="1"/>
  <c r="V2260" i="1"/>
  <c r="V2250" i="1"/>
  <c r="V2245" i="1"/>
  <c r="X2240" i="1"/>
  <c r="V2226" i="1"/>
  <c r="V2221" i="1"/>
  <c r="X2216" i="1"/>
  <c r="V2212" i="1"/>
  <c r="V2202" i="1"/>
  <c r="V2180" i="1"/>
  <c r="V2170" i="1"/>
  <c r="V2148" i="1"/>
  <c r="V2138" i="1"/>
  <c r="W2135" i="1"/>
  <c r="V2133" i="1"/>
  <c r="X2128" i="1"/>
  <c r="X2098" i="1"/>
  <c r="X2076" i="1"/>
  <c r="V2059" i="1"/>
  <c r="X2035" i="1"/>
  <c r="V2025" i="1"/>
  <c r="X2012" i="1"/>
  <c r="V2009" i="1"/>
  <c r="V2007" i="1"/>
  <c r="V1975" i="1"/>
  <c r="V1961" i="1"/>
  <c r="W1958" i="1"/>
  <c r="X1914" i="1"/>
  <c r="W1832" i="1"/>
  <c r="W1824" i="1"/>
  <c r="X1799" i="1"/>
  <c r="X1794" i="1"/>
  <c r="X2067" i="1"/>
  <c r="W2067" i="1"/>
  <c r="W1989" i="1"/>
  <c r="X1989" i="1"/>
  <c r="X1950" i="1"/>
  <c r="V1950" i="1"/>
  <c r="X1936" i="1"/>
  <c r="V1936" i="1"/>
  <c r="W1933" i="1"/>
  <c r="X1933" i="1"/>
  <c r="X1912" i="1"/>
  <c r="V1912" i="1"/>
  <c r="X1857" i="1"/>
  <c r="V1857" i="1"/>
  <c r="V1819" i="1"/>
  <c r="W1819" i="1"/>
  <c r="X1816" i="1"/>
  <c r="W1816" i="1"/>
  <c r="W1783" i="1"/>
  <c r="V1783" i="1"/>
  <c r="V1771" i="1"/>
  <c r="W1771" i="1"/>
  <c r="V1755" i="1"/>
  <c r="W1755" i="1"/>
  <c r="X1727" i="1"/>
  <c r="W1727" i="1"/>
  <c r="V1727" i="1"/>
  <c r="X1712" i="1"/>
  <c r="W1712" i="1"/>
  <c r="V1712" i="1"/>
  <c r="V1667" i="1"/>
  <c r="W1667" i="1"/>
  <c r="X2743" i="1"/>
  <c r="W2741" i="1"/>
  <c r="W2733" i="1"/>
  <c r="X2712" i="1"/>
  <c r="W2710" i="1"/>
  <c r="X2696" i="1"/>
  <c r="W2694" i="1"/>
  <c r="X2680" i="1"/>
  <c r="W2678" i="1"/>
  <c r="X2664" i="1"/>
  <c r="W2662" i="1"/>
  <c r="X2648" i="1"/>
  <c r="W2646" i="1"/>
  <c r="X2632" i="1"/>
  <c r="W2630" i="1"/>
  <c r="X2616" i="1"/>
  <c r="W2614" i="1"/>
  <c r="X2600" i="1"/>
  <c r="W2598" i="1"/>
  <c r="X2584" i="1"/>
  <c r="W2582" i="1"/>
  <c r="X2568" i="1"/>
  <c r="W2566" i="1"/>
  <c r="X2552" i="1"/>
  <c r="W2550" i="1"/>
  <c r="X2536" i="1"/>
  <c r="W2534" i="1"/>
  <c r="X2520" i="1"/>
  <c r="W2518" i="1"/>
  <c r="X2504" i="1"/>
  <c r="W2502" i="1"/>
  <c r="X2488" i="1"/>
  <c r="W2486" i="1"/>
  <c r="X2472" i="1"/>
  <c r="W2470" i="1"/>
  <c r="W2445" i="1"/>
  <c r="X2370" i="1"/>
  <c r="W2365" i="1"/>
  <c r="W2350" i="1"/>
  <c r="W2333" i="1"/>
  <c r="W2318" i="1"/>
  <c r="W2301" i="1"/>
  <c r="W2286" i="1"/>
  <c r="W2269" i="1"/>
  <c r="X2250" i="1"/>
  <c r="W2245" i="1"/>
  <c r="X2226" i="1"/>
  <c r="W2221" i="1"/>
  <c r="X2202" i="1"/>
  <c r="X2170" i="1"/>
  <c r="X2138" i="1"/>
  <c r="W2133" i="1"/>
  <c r="W2079" i="1"/>
  <c r="V2064" i="1"/>
  <c r="W2059" i="1"/>
  <c r="V2045" i="1"/>
  <c r="V2040" i="1"/>
  <c r="X2038" i="1"/>
  <c r="W2033" i="1"/>
  <c r="W2025" i="1"/>
  <c r="W2020" i="1"/>
  <c r="X2009" i="1"/>
  <c r="V1991" i="1"/>
  <c r="V1981" i="1"/>
  <c r="X1975" i="1"/>
  <c r="X1964" i="1"/>
  <c r="X1961" i="1"/>
  <c r="X1925" i="1"/>
  <c r="X1894" i="1"/>
  <c r="W1875" i="1"/>
  <c r="X1791" i="1"/>
  <c r="V1788" i="1"/>
  <c r="W1760" i="1"/>
  <c r="V1735" i="1"/>
  <c r="X1706" i="1"/>
  <c r="X2126" i="1"/>
  <c r="W2126" i="1"/>
  <c r="W2013" i="1"/>
  <c r="X2013" i="1"/>
  <c r="W1973" i="1"/>
  <c r="V1973" i="1"/>
  <c r="V1959" i="1"/>
  <c r="X1959" i="1"/>
  <c r="X1947" i="1"/>
  <c r="W1947" i="1"/>
  <c r="X1944" i="1"/>
  <c r="V1944" i="1"/>
  <c r="X1931" i="1"/>
  <c r="V1931" i="1"/>
  <c r="W1910" i="1"/>
  <c r="X1910" i="1"/>
  <c r="V1839" i="1"/>
  <c r="X1839" i="1"/>
  <c r="V1786" i="1"/>
  <c r="W1786" i="1"/>
  <c r="V1747" i="1"/>
  <c r="X1747" i="1"/>
  <c r="W1693" i="1"/>
  <c r="X1693" i="1"/>
  <c r="V1693" i="1"/>
  <c r="V1655" i="1"/>
  <c r="X1655" i="1"/>
  <c r="W1655" i="1"/>
  <c r="X2060" i="1"/>
  <c r="V2060" i="1"/>
  <c r="W2021" i="1"/>
  <c r="V2021" i="1"/>
  <c r="X1976" i="1"/>
  <c r="V1976" i="1"/>
  <c r="V1962" i="1"/>
  <c r="W1962" i="1"/>
  <c r="W1926" i="1"/>
  <c r="V1926" i="1"/>
  <c r="X1895" i="1"/>
  <c r="V1895" i="1"/>
  <c r="X1879" i="1"/>
  <c r="V1879" i="1"/>
  <c r="X1792" i="1"/>
  <c r="W1792" i="1"/>
  <c r="V1792" i="1"/>
  <c r="W1789" i="1"/>
  <c r="X1789" i="1"/>
  <c r="X1728" i="1"/>
  <c r="W1728" i="1"/>
  <c r="V1722" i="1"/>
  <c r="W1722" i="1"/>
  <c r="W1717" i="1"/>
  <c r="V1717" i="1"/>
  <c r="V1707" i="1"/>
  <c r="X1707" i="1"/>
  <c r="W1707" i="1"/>
  <c r="X1704" i="1"/>
  <c r="V1704" i="1"/>
  <c r="X1679" i="1"/>
  <c r="W1679" i="1"/>
  <c r="V1679" i="1"/>
  <c r="X2754" i="1"/>
  <c r="V2740" i="1"/>
  <c r="V2732" i="1"/>
  <c r="W2704" i="1"/>
  <c r="W2672" i="1"/>
  <c r="W2640" i="1"/>
  <c r="W2608" i="1"/>
  <c r="W2576" i="1"/>
  <c r="W2573" i="1"/>
  <c r="W2557" i="1"/>
  <c r="W2544" i="1"/>
  <c r="W2541" i="1"/>
  <c r="W2525" i="1"/>
  <c r="W2512" i="1"/>
  <c r="W2509" i="1"/>
  <c r="W2493" i="1"/>
  <c r="W2480" i="1"/>
  <c r="W2477" i="1"/>
  <c r="W2461" i="1"/>
  <c r="V2444" i="1"/>
  <c r="W2436" i="1"/>
  <c r="V2434" i="1"/>
  <c r="X2426" i="1"/>
  <c r="W2421" i="1"/>
  <c r="X2417" i="1"/>
  <c r="X2410" i="1"/>
  <c r="V2398" i="1"/>
  <c r="W2396" i="1"/>
  <c r="V2386" i="1"/>
  <c r="V2373" i="1"/>
  <c r="V2364" i="1"/>
  <c r="W2358" i="1"/>
  <c r="V2354" i="1"/>
  <c r="W2341" i="1"/>
  <c r="V2332" i="1"/>
  <c r="W2326" i="1"/>
  <c r="V2322" i="1"/>
  <c r="W2309" i="1"/>
  <c r="V2300" i="1"/>
  <c r="W2294" i="1"/>
  <c r="V2290" i="1"/>
  <c r="W2277" i="1"/>
  <c r="V2268" i="1"/>
  <c r="X2258" i="1"/>
  <c r="V2253" i="1"/>
  <c r="V2244" i="1"/>
  <c r="W2238" i="1"/>
  <c r="V2234" i="1"/>
  <c r="V2229" i="1"/>
  <c r="X2224" i="1"/>
  <c r="V2220" i="1"/>
  <c r="X2210" i="1"/>
  <c r="V2205" i="1"/>
  <c r="X2200" i="1"/>
  <c r="V2190" i="1"/>
  <c r="X2178" i="1"/>
  <c r="V2173" i="1"/>
  <c r="X2168" i="1"/>
  <c r="V2158" i="1"/>
  <c r="W2156" i="1"/>
  <c r="X2146" i="1"/>
  <c r="V2141" i="1"/>
  <c r="X2136" i="1"/>
  <c r="V2132" i="1"/>
  <c r="V2126" i="1"/>
  <c r="V2124" i="1"/>
  <c r="V2118" i="1"/>
  <c r="V2099" i="1"/>
  <c r="V2085" i="1"/>
  <c r="V2072" i="1"/>
  <c r="X2057" i="1"/>
  <c r="V2055" i="1"/>
  <c r="V2053" i="1"/>
  <c r="X1973" i="1"/>
  <c r="W1959" i="1"/>
  <c r="W1944" i="1"/>
  <c r="W1931" i="1"/>
  <c r="V1873" i="1"/>
  <c r="V1871" i="1"/>
  <c r="V1855" i="1"/>
  <c r="W1847" i="1"/>
  <c r="W1839" i="1"/>
  <c r="W1747" i="1"/>
  <c r="X2003" i="1"/>
  <c r="W2003" i="1"/>
  <c r="X1982" i="1"/>
  <c r="W1982" i="1"/>
  <c r="V1858" i="1"/>
  <c r="W1858" i="1"/>
  <c r="V1842" i="1"/>
  <c r="W1842" i="1"/>
  <c r="V1834" i="1"/>
  <c r="W1834" i="1"/>
  <c r="X1820" i="1"/>
  <c r="W1820" i="1"/>
  <c r="X1772" i="1"/>
  <c r="W1772" i="1"/>
  <c r="W1685" i="1"/>
  <c r="V1685" i="1"/>
  <c r="V1643" i="1"/>
  <c r="W1643" i="1"/>
  <c r="X1643" i="1"/>
  <c r="V2933" i="1"/>
  <c r="W2926" i="1"/>
  <c r="X2919" i="1"/>
  <c r="W2893" i="1"/>
  <c r="X2886" i="1"/>
  <c r="V2882" i="1"/>
  <c r="W2811" i="1"/>
  <c r="W2799" i="1"/>
  <c r="X2778" i="1"/>
  <c r="V2773" i="1"/>
  <c r="X2771" i="1"/>
  <c r="V2765" i="1"/>
  <c r="W2744" i="1"/>
  <c r="V2742" i="1"/>
  <c r="X2721" i="1"/>
  <c r="W2711" i="1"/>
  <c r="V2709" i="1"/>
  <c r="X2707" i="1"/>
  <c r="W2695" i="1"/>
  <c r="V2693" i="1"/>
  <c r="X2691" i="1"/>
  <c r="W2679" i="1"/>
  <c r="V2677" i="1"/>
  <c r="X2675" i="1"/>
  <c r="W2663" i="1"/>
  <c r="V2661" i="1"/>
  <c r="X2659" i="1"/>
  <c r="W2647" i="1"/>
  <c r="V2645" i="1"/>
  <c r="X2643" i="1"/>
  <c r="W2631" i="1"/>
  <c r="V2629" i="1"/>
  <c r="X2627" i="1"/>
  <c r="W2615" i="1"/>
  <c r="V2613" i="1"/>
  <c r="X2611" i="1"/>
  <c r="W2599" i="1"/>
  <c r="V2597" i="1"/>
  <c r="X2595" i="1"/>
  <c r="W2583" i="1"/>
  <c r="V2581" i="1"/>
  <c r="X2579" i="1"/>
  <c r="W2567" i="1"/>
  <c r="V2565" i="1"/>
  <c r="X2563" i="1"/>
  <c r="W2551" i="1"/>
  <c r="V2549" i="1"/>
  <c r="X2547" i="1"/>
  <c r="W2535" i="1"/>
  <c r="V2533" i="1"/>
  <c r="X2531" i="1"/>
  <c r="W2519" i="1"/>
  <c r="V2517" i="1"/>
  <c r="X2515" i="1"/>
  <c r="W2503" i="1"/>
  <c r="V2501" i="1"/>
  <c r="X2499" i="1"/>
  <c r="W2487" i="1"/>
  <c r="V2485" i="1"/>
  <c r="X2483" i="1"/>
  <c r="W2471" i="1"/>
  <c r="V2469" i="1"/>
  <c r="X2467" i="1"/>
  <c r="V2442" i="1"/>
  <c r="X2434" i="1"/>
  <c r="W2431" i="1"/>
  <c r="X2408" i="1"/>
  <c r="V2394" i="1"/>
  <c r="X2386" i="1"/>
  <c r="V2381" i="1"/>
  <c r="X2376" i="1"/>
  <c r="W2373" i="1"/>
  <c r="V2366" i="1"/>
  <c r="X2354" i="1"/>
  <c r="V2349" i="1"/>
  <c r="X2344" i="1"/>
  <c r="V2334" i="1"/>
  <c r="X2322" i="1"/>
  <c r="V2317" i="1"/>
  <c r="X2312" i="1"/>
  <c r="V2302" i="1"/>
  <c r="X2290" i="1"/>
  <c r="V2285" i="1"/>
  <c r="X2280" i="1"/>
  <c r="V2270" i="1"/>
  <c r="W2253" i="1"/>
  <c r="V2246" i="1"/>
  <c r="X2234" i="1"/>
  <c r="W2229" i="1"/>
  <c r="V2222" i="1"/>
  <c r="W2205" i="1"/>
  <c r="W2190" i="1"/>
  <c r="V2186" i="1"/>
  <c r="W2173" i="1"/>
  <c r="W2158" i="1"/>
  <c r="V2154" i="1"/>
  <c r="W2141" i="1"/>
  <c r="V2134" i="1"/>
  <c r="W2124" i="1"/>
  <c r="W2118" i="1"/>
  <c r="V2114" i="1"/>
  <c r="X2106" i="1"/>
  <c r="X2099" i="1"/>
  <c r="V2097" i="1"/>
  <c r="V2092" i="1"/>
  <c r="W2072" i="1"/>
  <c r="W2060" i="1"/>
  <c r="W2055" i="1"/>
  <c r="X2053" i="1"/>
  <c r="V2041" i="1"/>
  <c r="W2034" i="1"/>
  <c r="W2026" i="1"/>
  <c r="V2006" i="1"/>
  <c r="V2000" i="1"/>
  <c r="X1962" i="1"/>
  <c r="X1926" i="1"/>
  <c r="W1921" i="1"/>
  <c r="V1905" i="1"/>
  <c r="V1903" i="1"/>
  <c r="W1895" i="1"/>
  <c r="W1879" i="1"/>
  <c r="W1871" i="1"/>
  <c r="W1866" i="1"/>
  <c r="X1855" i="1"/>
  <c r="X1852" i="1"/>
  <c r="X1847" i="1"/>
  <c r="V1764" i="1"/>
  <c r="V1728" i="1"/>
  <c r="W2122" i="1"/>
  <c r="V2122" i="1"/>
  <c r="X2109" i="1"/>
  <c r="W2109" i="1"/>
  <c r="X2049" i="1"/>
  <c r="W2049" i="1"/>
  <c r="X1977" i="1"/>
  <c r="W1977" i="1"/>
  <c r="W1974" i="1"/>
  <c r="X1974" i="1"/>
  <c r="W1971" i="1"/>
  <c r="V1971" i="1"/>
  <c r="X1966" i="1"/>
  <c r="W1966" i="1"/>
  <c r="V1954" i="1"/>
  <c r="W1954" i="1"/>
  <c r="W1945" i="1"/>
  <c r="V1945" i="1"/>
  <c r="X1924" i="1"/>
  <c r="V1924" i="1"/>
  <c r="V1890" i="1"/>
  <c r="W1890" i="1"/>
  <c r="V1874" i="1"/>
  <c r="W1874" i="1"/>
  <c r="V1762" i="1"/>
  <c r="W1762" i="1"/>
  <c r="V1743" i="1"/>
  <c r="X1743" i="1"/>
  <c r="X1619" i="1"/>
  <c r="X1595" i="1"/>
  <c r="W1583" i="1"/>
  <c r="X1571" i="1"/>
  <c r="W1559" i="1"/>
  <c r="W1536" i="1"/>
  <c r="W1503" i="1"/>
  <c r="W1486" i="1"/>
  <c r="X1434" i="1"/>
  <c r="X1398" i="1"/>
  <c r="W1391" i="1"/>
  <c r="X1379" i="1"/>
  <c r="X1362" i="1"/>
  <c r="W1350" i="1"/>
  <c r="X1315" i="1"/>
  <c r="W1305" i="1"/>
  <c r="W1295" i="1"/>
  <c r="X1270" i="1"/>
  <c r="X1253" i="1"/>
  <c r="W1196" i="1"/>
  <c r="X1189" i="1"/>
  <c r="X1182" i="1"/>
  <c r="W1119" i="1"/>
  <c r="X1106" i="1"/>
  <c r="W1091" i="1"/>
  <c r="X1074" i="1"/>
  <c r="W1059" i="1"/>
  <c r="W1018" i="1"/>
  <c r="X1016" i="1"/>
  <c r="W1011" i="1"/>
  <c r="W995" i="1"/>
  <c r="W899" i="1"/>
  <c r="W891" i="1"/>
  <c r="W883" i="1"/>
  <c r="X824" i="1"/>
  <c r="W808" i="1"/>
  <c r="X793" i="1"/>
  <c r="X761" i="1"/>
  <c r="W731" i="1"/>
  <c r="X697" i="1"/>
  <c r="X649" i="1"/>
  <c r="X646" i="1"/>
  <c r="X617" i="1"/>
  <c r="X614" i="1"/>
  <c r="X587" i="1"/>
  <c r="X585" i="1"/>
  <c r="X582" i="1"/>
  <c r="X555" i="1"/>
  <c r="X553" i="1"/>
  <c r="X550" i="1"/>
  <c r="W533" i="1"/>
  <c r="X523" i="1"/>
  <c r="X521" i="1"/>
  <c r="X518" i="1"/>
  <c r="W501" i="1"/>
  <c r="W2008" i="1"/>
  <c r="W1996" i="1"/>
  <c r="W1928" i="1"/>
  <c r="X1917" i="1"/>
  <c r="X1892" i="1"/>
  <c r="X1883" i="1"/>
  <c r="W1876" i="1"/>
  <c r="W1848" i="1"/>
  <c r="X1827" i="1"/>
  <c r="W1812" i="1"/>
  <c r="X1810" i="1"/>
  <c r="W1800" i="1"/>
  <c r="W1784" i="1"/>
  <c r="W1752" i="1"/>
  <c r="X1731" i="1"/>
  <c r="X1683" i="1"/>
  <c r="X1674" i="1"/>
  <c r="V1653" i="1"/>
  <c r="V1648" i="1"/>
  <c r="V1639" i="1"/>
  <c r="X1629" i="1"/>
  <c r="W1627" i="1"/>
  <c r="W1624" i="1"/>
  <c r="V1615" i="1"/>
  <c r="X1605" i="1"/>
  <c r="V1600" i="1"/>
  <c r="V1591" i="1"/>
  <c r="X1583" i="1"/>
  <c r="V1581" i="1"/>
  <c r="W1574" i="1"/>
  <c r="W1569" i="1"/>
  <c r="V1567" i="1"/>
  <c r="V1564" i="1"/>
  <c r="X1559" i="1"/>
  <c r="V1557" i="1"/>
  <c r="X1554" i="1"/>
  <c r="X1529" i="1"/>
  <c r="V1525" i="1"/>
  <c r="V1516" i="1"/>
  <c r="X1503" i="1"/>
  <c r="X1498" i="1"/>
  <c r="V1494" i="1"/>
  <c r="X1491" i="1"/>
  <c r="V1445" i="1"/>
  <c r="X1420" i="1"/>
  <c r="X1417" i="1"/>
  <c r="V1403" i="1"/>
  <c r="W1400" i="1"/>
  <c r="W1396" i="1"/>
  <c r="X1391" i="1"/>
  <c r="V1389" i="1"/>
  <c r="V1384" i="1"/>
  <c r="X1382" i="1"/>
  <c r="W1377" i="1"/>
  <c r="V1375" i="1"/>
  <c r="X1372" i="1"/>
  <c r="V1352" i="1"/>
  <c r="X1350" i="1"/>
  <c r="V1335" i="1"/>
  <c r="X1325" i="1"/>
  <c r="V1320" i="1"/>
  <c r="X1318" i="1"/>
  <c r="W1313" i="1"/>
  <c r="V1308" i="1"/>
  <c r="X1305" i="1"/>
  <c r="W1298" i="1"/>
  <c r="X1295" i="1"/>
  <c r="V1286" i="1"/>
  <c r="V1283" i="1"/>
  <c r="W1280" i="1"/>
  <c r="W1275" i="1"/>
  <c r="W1272" i="1"/>
  <c r="W1268" i="1"/>
  <c r="X1258" i="1"/>
  <c r="V1251" i="1"/>
  <c r="W1246" i="1"/>
  <c r="V1241" i="1"/>
  <c r="V1231" i="1"/>
  <c r="X1228" i="1"/>
  <c r="X1225" i="1"/>
  <c r="X1213" i="1"/>
  <c r="V1206" i="1"/>
  <c r="V1199" i="1"/>
  <c r="X1196" i="1"/>
  <c r="V1187" i="1"/>
  <c r="V1180" i="1"/>
  <c r="X1178" i="1"/>
  <c r="V1164" i="1"/>
  <c r="X1162" i="1"/>
  <c r="V1148" i="1"/>
  <c r="X1146" i="1"/>
  <c r="V1139" i="1"/>
  <c r="X1134" i="1"/>
  <c r="W1131" i="1"/>
  <c r="X1129" i="1"/>
  <c r="V1127" i="1"/>
  <c r="V1124" i="1"/>
  <c r="W1122" i="1"/>
  <c r="X1119" i="1"/>
  <c r="X1114" i="1"/>
  <c r="V1104" i="1"/>
  <c r="W1099" i="1"/>
  <c r="X1082" i="1"/>
  <c r="V1072" i="1"/>
  <c r="V1067" i="1"/>
  <c r="V1055" i="1"/>
  <c r="W1052" i="1"/>
  <c r="X1050" i="1"/>
  <c r="X1042" i="1"/>
  <c r="V1035" i="1"/>
  <c r="W1027" i="1"/>
  <c r="V1023" i="1"/>
  <c r="X1018" i="1"/>
  <c r="X1011" i="1"/>
  <c r="V1004" i="1"/>
  <c r="X1002" i="1"/>
  <c r="X995" i="1"/>
  <c r="V993" i="1"/>
  <c r="X991" i="1"/>
  <c r="V979" i="1"/>
  <c r="V968" i="1"/>
  <c r="V965" i="1"/>
  <c r="V963" i="1"/>
  <c r="W954" i="1"/>
  <c r="V946" i="1"/>
  <c r="X942" i="1"/>
  <c r="W932" i="1"/>
  <c r="W924" i="1"/>
  <c r="W916" i="1"/>
  <c r="X899" i="1"/>
  <c r="V897" i="1"/>
  <c r="X891" i="1"/>
  <c r="V889" i="1"/>
  <c r="X886" i="1"/>
  <c r="X883" i="1"/>
  <c r="V877" i="1"/>
  <c r="V875" i="1"/>
  <c r="V865" i="1"/>
  <c r="V849" i="1"/>
  <c r="W844" i="1"/>
  <c r="V840" i="1"/>
  <c r="V829" i="1"/>
  <c r="V827" i="1"/>
  <c r="V817" i="1"/>
  <c r="X808" i="1"/>
  <c r="V801" i="1"/>
  <c r="W788" i="1"/>
  <c r="V786" i="1"/>
  <c r="V771" i="1"/>
  <c r="W748" i="1"/>
  <c r="V746" i="1"/>
  <c r="V744" i="1"/>
  <c r="V739" i="1"/>
  <c r="W734" i="1"/>
  <c r="X731" i="1"/>
  <c r="W716" i="1"/>
  <c r="V714" i="1"/>
  <c r="V712" i="1"/>
  <c r="V707" i="1"/>
  <c r="V681" i="1"/>
  <c r="V657" i="1"/>
  <c r="W654" i="1"/>
  <c r="W644" i="1"/>
  <c r="V642" i="1"/>
  <c r="X1653" i="1"/>
  <c r="W1648" i="1"/>
  <c r="W1639" i="1"/>
  <c r="X1627" i="1"/>
  <c r="W1615" i="1"/>
  <c r="W1600" i="1"/>
  <c r="W1591" i="1"/>
  <c r="X1581" i="1"/>
  <c r="X1574" i="1"/>
  <c r="W1567" i="1"/>
  <c r="X1564" i="1"/>
  <c r="W1516" i="1"/>
  <c r="X1445" i="1"/>
  <c r="W1403" i="1"/>
  <c r="X1389" i="1"/>
  <c r="W1375" i="1"/>
  <c r="W1335" i="1"/>
  <c r="X1308" i="1"/>
  <c r="X1298" i="1"/>
  <c r="W1286" i="1"/>
  <c r="X1251" i="1"/>
  <c r="W1241" i="1"/>
  <c r="W1231" i="1"/>
  <c r="X1206" i="1"/>
  <c r="W1199" i="1"/>
  <c r="X1187" i="1"/>
  <c r="W1180" i="1"/>
  <c r="W1164" i="1"/>
  <c r="W1148" i="1"/>
  <c r="W1139" i="1"/>
  <c r="W1127" i="1"/>
  <c r="X1122" i="1"/>
  <c r="W1067" i="1"/>
  <c r="W1055" i="1"/>
  <c r="W1035" i="1"/>
  <c r="W1023" i="1"/>
  <c r="W1004" i="1"/>
  <c r="X993" i="1"/>
  <c r="W979" i="1"/>
  <c r="W963" i="1"/>
  <c r="V1736" i="1"/>
  <c r="X1725" i="1"/>
  <c r="W1691" i="1"/>
  <c r="V1677" i="1"/>
  <c r="W1668" i="1"/>
  <c r="V1661" i="1"/>
  <c r="W1651" i="1"/>
  <c r="V1637" i="1"/>
  <c r="V1632" i="1"/>
  <c r="V1623" i="1"/>
  <c r="V1613" i="1"/>
  <c r="V1608" i="1"/>
  <c r="V1589" i="1"/>
  <c r="W1562" i="1"/>
  <c r="V1509" i="1"/>
  <c r="V1497" i="1"/>
  <c r="V1487" i="1"/>
  <c r="W1474" i="1"/>
  <c r="V1464" i="1"/>
  <c r="V1460" i="1"/>
  <c r="V1455" i="1"/>
  <c r="V1443" i="1"/>
  <c r="V1431" i="1"/>
  <c r="V1414" i="1"/>
  <c r="V1411" i="1"/>
  <c r="V1399" i="1"/>
  <c r="V1395" i="1"/>
  <c r="V1366" i="1"/>
  <c r="X1363" i="1"/>
  <c r="V1288" i="1"/>
  <c r="V1271" i="1"/>
  <c r="X1261" i="1"/>
  <c r="V1256" i="1"/>
  <c r="X1254" i="1"/>
  <c r="W1249" i="1"/>
  <c r="V1244" i="1"/>
  <c r="W1234" i="1"/>
  <c r="V1222" i="1"/>
  <c r="V1219" i="1"/>
  <c r="W1216" i="1"/>
  <c r="W1211" i="1"/>
  <c r="V1192" i="1"/>
  <c r="X1190" i="1"/>
  <c r="V1183" i="1"/>
  <c r="X1174" i="1"/>
  <c r="X1158" i="1"/>
  <c r="X1142" i="1"/>
  <c r="V1107" i="1"/>
  <c r="W1090" i="1"/>
  <c r="V1080" i="1"/>
  <c r="V1075" i="1"/>
  <c r="V1063" i="1"/>
  <c r="W1060" i="1"/>
  <c r="W1058" i="1"/>
  <c r="V1048" i="1"/>
  <c r="V1031" i="1"/>
  <c r="V1017" i="1"/>
  <c r="V1000" i="1"/>
  <c r="V985" i="1"/>
  <c r="V961" i="1"/>
  <c r="V936" i="1"/>
  <c r="V920" i="1"/>
  <c r="X905" i="1"/>
  <c r="V873" i="1"/>
  <c r="X857" i="1"/>
  <c r="V835" i="1"/>
  <c r="V825" i="1"/>
  <c r="W813" i="1"/>
  <c r="W811" i="1"/>
  <c r="W796" i="1"/>
  <c r="V794" i="1"/>
  <c r="V779" i="1"/>
  <c r="X769" i="1"/>
  <c r="W764" i="1"/>
  <c r="V762" i="1"/>
  <c r="X737" i="1"/>
  <c r="W710" i="1"/>
  <c r="X705" i="1"/>
  <c r="W700" i="1"/>
  <c r="V698" i="1"/>
  <c r="V696" i="1"/>
  <c r="W691" i="1"/>
  <c r="V689" i="1"/>
  <c r="W686" i="1"/>
  <c r="W669" i="1"/>
  <c r="V667" i="1"/>
  <c r="W662" i="1"/>
  <c r="W652" i="1"/>
  <c r="V650" i="1"/>
  <c r="W635" i="1"/>
  <c r="V633" i="1"/>
  <c r="W630" i="1"/>
  <c r="W620" i="1"/>
  <c r="V618" i="1"/>
  <c r="W603" i="1"/>
  <c r="V601" i="1"/>
  <c r="W598" i="1"/>
  <c r="W588" i="1"/>
  <c r="V586" i="1"/>
  <c r="W571" i="1"/>
  <c r="V569" i="1"/>
  <c r="W566" i="1"/>
  <c r="W556" i="1"/>
  <c r="V554" i="1"/>
  <c r="W539" i="1"/>
  <c r="V537" i="1"/>
  <c r="W534" i="1"/>
  <c r="W524" i="1"/>
  <c r="V522" i="1"/>
  <c r="W507" i="1"/>
  <c r="V505" i="1"/>
  <c r="W502" i="1"/>
  <c r="W492" i="1"/>
  <c r="W1736" i="1"/>
  <c r="X1691" i="1"/>
  <c r="X1677" i="1"/>
  <c r="X1661" i="1"/>
  <c r="X1651" i="1"/>
  <c r="X1637" i="1"/>
  <c r="W1632" i="1"/>
  <c r="X1613" i="1"/>
  <c r="W1608" i="1"/>
  <c r="X1589" i="1"/>
  <c r="X1562" i="1"/>
  <c r="X1509" i="1"/>
  <c r="W1464" i="1"/>
  <c r="W1460" i="1"/>
  <c r="X1443" i="1"/>
  <c r="X1244" i="1"/>
  <c r="X1234" i="1"/>
  <c r="W1183" i="1"/>
  <c r="W1107" i="1"/>
  <c r="X1090" i="1"/>
  <c r="W1075" i="1"/>
  <c r="W1063" i="1"/>
  <c r="X1058" i="1"/>
  <c r="W1031" i="1"/>
  <c r="X1017" i="1"/>
  <c r="X985" i="1"/>
  <c r="X961" i="1"/>
  <c r="X873" i="1"/>
  <c r="W835" i="1"/>
  <c r="X825" i="1"/>
  <c r="W779" i="1"/>
  <c r="X710" i="1"/>
  <c r="X696" i="1"/>
  <c r="X689" i="1"/>
  <c r="X686" i="1"/>
  <c r="W667" i="1"/>
  <c r="X662" i="1"/>
  <c r="X633" i="1"/>
  <c r="X630" i="1"/>
  <c r="X601" i="1"/>
  <c r="X598" i="1"/>
  <c r="X569" i="1"/>
  <c r="X566" i="1"/>
  <c r="W549" i="1"/>
  <c r="X537" i="1"/>
  <c r="X534" i="1"/>
  <c r="W517" i="1"/>
  <c r="X505" i="1"/>
  <c r="X502" i="1"/>
  <c r="W493" i="1"/>
  <c r="W1680" i="1"/>
  <c r="X1669" i="1"/>
  <c r="W1664" i="1"/>
  <c r="X1645" i="1"/>
  <c r="W1640" i="1"/>
  <c r="V1633" i="1"/>
  <c r="W1619" i="1"/>
  <c r="W1616" i="1"/>
  <c r="V1609" i="1"/>
  <c r="X1597" i="1"/>
  <c r="W1595" i="1"/>
  <c r="W1592" i="1"/>
  <c r="V1571" i="1"/>
  <c r="V1536" i="1"/>
  <c r="W1531" i="1"/>
  <c r="X1517" i="1"/>
  <c r="V1512" i="1"/>
  <c r="X1510" i="1"/>
  <c r="W1505" i="1"/>
  <c r="X1500" i="1"/>
  <c r="V1486" i="1"/>
  <c r="V1480" i="1"/>
  <c r="X1465" i="1"/>
  <c r="V1461" i="1"/>
  <c r="W1434" i="1"/>
  <c r="W1424" i="1"/>
  <c r="W1422" i="1"/>
  <c r="V1398" i="1"/>
  <c r="X1386" i="1"/>
  <c r="V1379" i="1"/>
  <c r="W1362" i="1"/>
  <c r="V1347" i="1"/>
  <c r="W1344" i="1"/>
  <c r="W1339" i="1"/>
  <c r="W1336" i="1"/>
  <c r="W1332" i="1"/>
  <c r="X1322" i="1"/>
  <c r="V1315" i="1"/>
  <c r="W1310" i="1"/>
  <c r="X1292" i="1"/>
  <c r="X1289" i="1"/>
  <c r="X1277" i="1"/>
  <c r="V1270" i="1"/>
  <c r="W1265" i="1"/>
  <c r="V1253" i="1"/>
  <c r="V1238" i="1"/>
  <c r="X1235" i="1"/>
  <c r="W1193" i="1"/>
  <c r="V1189" i="1"/>
  <c r="W1182" i="1"/>
  <c r="X1166" i="1"/>
  <c r="X1150" i="1"/>
  <c r="W1108" i="1"/>
  <c r="W1106" i="1"/>
  <c r="V1096" i="1"/>
  <c r="V1091" i="1"/>
  <c r="W1074" i="1"/>
  <c r="V1059" i="1"/>
  <c r="W1016" i="1"/>
  <c r="V1008" i="1"/>
  <c r="X997" i="1"/>
  <c r="W986" i="1"/>
  <c r="W976" i="1"/>
  <c r="X974" i="1"/>
  <c r="X958" i="1"/>
  <c r="V951" i="1"/>
  <c r="X937" i="1"/>
  <c r="X921" i="1"/>
  <c r="V893" i="1"/>
  <c r="V856" i="1"/>
  <c r="X841" i="1"/>
  <c r="V824" i="1"/>
  <c r="X814" i="1"/>
  <c r="W812" i="1"/>
  <c r="V793" i="1"/>
  <c r="X790" i="1"/>
  <c r="X768" i="1"/>
  <c r="V761" i="1"/>
  <c r="X753" i="1"/>
  <c r="X721" i="1"/>
  <c r="X704" i="1"/>
  <c r="V697" i="1"/>
  <c r="W692" i="1"/>
  <c r="V690" i="1"/>
  <c r="X673" i="1"/>
  <c r="X670" i="1"/>
  <c r="V649" i="1"/>
  <c r="W646" i="1"/>
  <c r="W636" i="1"/>
  <c r="V634" i="1"/>
  <c r="V617" i="1"/>
  <c r="W614" i="1"/>
  <c r="W604" i="1"/>
  <c r="V602" i="1"/>
  <c r="V585" i="1"/>
  <c r="W582" i="1"/>
  <c r="W572" i="1"/>
  <c r="V570" i="1"/>
  <c r="V553" i="1"/>
  <c r="W550" i="1"/>
  <c r="W540" i="1"/>
  <c r="V538" i="1"/>
  <c r="V521" i="1"/>
  <c r="W518" i="1"/>
  <c r="W508" i="1"/>
  <c r="V506" i="1"/>
  <c r="O347" i="1"/>
  <c r="Q347" i="1" s="1"/>
  <c r="O348" i="1"/>
  <c r="Q348" i="1" s="1"/>
  <c r="O349" i="1"/>
  <c r="Q349" i="1" s="1"/>
  <c r="O350" i="1"/>
  <c r="Q350" i="1" s="1"/>
  <c r="O342" i="1"/>
  <c r="Q342" i="1" s="1"/>
  <c r="O351" i="1"/>
  <c r="Q351" i="1" s="1"/>
  <c r="O343" i="1"/>
  <c r="Q343" i="1" s="1"/>
  <c r="O352" i="1"/>
  <c r="Q352" i="1" s="1"/>
  <c r="O344" i="1"/>
  <c r="Q344" i="1" s="1"/>
  <c r="O353" i="1"/>
  <c r="O345" i="1"/>
  <c r="Q345" i="1" s="1"/>
  <c r="O346" i="1"/>
  <c r="Q346" i="1" s="1"/>
  <c r="W3198" i="1"/>
  <c r="X3198" i="1"/>
  <c r="W3194" i="1"/>
  <c r="V3194" i="1"/>
  <c r="X3173" i="1"/>
  <c r="W3173" i="1"/>
  <c r="V3167" i="1"/>
  <c r="W3167" i="1"/>
  <c r="X3167" i="1"/>
  <c r="V3136" i="1"/>
  <c r="W3136" i="1"/>
  <c r="V3127" i="1"/>
  <c r="X3127" i="1"/>
  <c r="W3115" i="1"/>
  <c r="X3115" i="1"/>
  <c r="V3111" i="1"/>
  <c r="W3111" i="1"/>
  <c r="W3096" i="1"/>
  <c r="X3096" i="1"/>
  <c r="W3090" i="1"/>
  <c r="X3090" i="1"/>
  <c r="W3040" i="1"/>
  <c r="V3040" i="1"/>
  <c r="X3037" i="1"/>
  <c r="W3037" i="1"/>
  <c r="W3026" i="1"/>
  <c r="X3026" i="1"/>
  <c r="V3026" i="1"/>
  <c r="W2976" i="1"/>
  <c r="V2976" i="1"/>
  <c r="X2973" i="1"/>
  <c r="W2973" i="1"/>
  <c r="X2941" i="1"/>
  <c r="W2941" i="1"/>
  <c r="X2909" i="1"/>
  <c r="W2909" i="1"/>
  <c r="V2909" i="1"/>
  <c r="W2897" i="1"/>
  <c r="V2897" i="1"/>
  <c r="X2897" i="1"/>
  <c r="V2871" i="1"/>
  <c r="X2871" i="1"/>
  <c r="W2871" i="1"/>
  <c r="V3584" i="1"/>
  <c r="X3582" i="1"/>
  <c r="X3574" i="1"/>
  <c r="X3566" i="1"/>
  <c r="X3558" i="1"/>
  <c r="X3542" i="1"/>
  <c r="X3534" i="1"/>
  <c r="X3478" i="1"/>
  <c r="W3600" i="1"/>
  <c r="W3592" i="1"/>
  <c r="X3410" i="1"/>
  <c r="V3405" i="1"/>
  <c r="X3391" i="1"/>
  <c r="V3386" i="1"/>
  <c r="W3367" i="1"/>
  <c r="W3365" i="1"/>
  <c r="X3358" i="1"/>
  <c r="W3347" i="1"/>
  <c r="V3345" i="1"/>
  <c r="X3343" i="1"/>
  <c r="W3341" i="1"/>
  <c r="V3330" i="1"/>
  <c r="X3326" i="1"/>
  <c r="W3315" i="1"/>
  <c r="V3313" i="1"/>
  <c r="X3311" i="1"/>
  <c r="W3309" i="1"/>
  <c r="V3298" i="1"/>
  <c r="X3294" i="1"/>
  <c r="W3283" i="1"/>
  <c r="V3281" i="1"/>
  <c r="X3279" i="1"/>
  <c r="W3277" i="1"/>
  <c r="V3266" i="1"/>
  <c r="X3262" i="1"/>
  <c r="W3251" i="1"/>
  <c r="V3249" i="1"/>
  <c r="X3247" i="1"/>
  <c r="W3245" i="1"/>
  <c r="V3234" i="1"/>
  <c r="X3230" i="1"/>
  <c r="W3224" i="1"/>
  <c r="W3185" i="1"/>
  <c r="X3144" i="1"/>
  <c r="V3142" i="1"/>
  <c r="W3133" i="1"/>
  <c r="X3123" i="1"/>
  <c r="W3102" i="1"/>
  <c r="X3050" i="1"/>
  <c r="X3213" i="1"/>
  <c r="V3213" i="1"/>
  <c r="X3165" i="1"/>
  <c r="W3165" i="1"/>
  <c r="V3155" i="1"/>
  <c r="W3155" i="1"/>
  <c r="W3082" i="1"/>
  <c r="X3082" i="1"/>
  <c r="V3065" i="1"/>
  <c r="W3065" i="1"/>
  <c r="W3033" i="1"/>
  <c r="V3033" i="1"/>
  <c r="X3013" i="1"/>
  <c r="V3013" i="1"/>
  <c r="W3013" i="1"/>
  <c r="X2993" i="1"/>
  <c r="W2993" i="1"/>
  <c r="W2987" i="1"/>
  <c r="X2987" i="1"/>
  <c r="W2969" i="1"/>
  <c r="V2969" i="1"/>
  <c r="W2962" i="1"/>
  <c r="X2962" i="1"/>
  <c r="V2962" i="1"/>
  <c r="X2891" i="1"/>
  <c r="W2891" i="1"/>
  <c r="V2891" i="1"/>
  <c r="W3186" i="1"/>
  <c r="V3186" i="1"/>
  <c r="X3186" i="1"/>
  <c r="W3134" i="1"/>
  <c r="X3134" i="1"/>
  <c r="W3130" i="1"/>
  <c r="V3130" i="1"/>
  <c r="X3109" i="1"/>
  <c r="W3109" i="1"/>
  <c r="V3103" i="1"/>
  <c r="W3103" i="1"/>
  <c r="X3103" i="1"/>
  <c r="V3072" i="1"/>
  <c r="W3072" i="1"/>
  <c r="V3063" i="1"/>
  <c r="X3063" i="1"/>
  <c r="W3051" i="1"/>
  <c r="X3051" i="1"/>
  <c r="V3027" i="1"/>
  <c r="W3027" i="1"/>
  <c r="W3018" i="1"/>
  <c r="X3018" i="1"/>
  <c r="V3007" i="1"/>
  <c r="X3007" i="1"/>
  <c r="W3007" i="1"/>
  <c r="X3000" i="1"/>
  <c r="W3000" i="1"/>
  <c r="X2910" i="1"/>
  <c r="W2910" i="1"/>
  <c r="V2910" i="1"/>
  <c r="X3205" i="1"/>
  <c r="V3205" i="1"/>
  <c r="W3205" i="1"/>
  <c r="V3199" i="1"/>
  <c r="X3199" i="1"/>
  <c r="V3174" i="1"/>
  <c r="W3174" i="1"/>
  <c r="W3153" i="1"/>
  <c r="X3153" i="1"/>
  <c r="X3149" i="1"/>
  <c r="V3149" i="1"/>
  <c r="X3101" i="1"/>
  <c r="W3101" i="1"/>
  <c r="V3091" i="1"/>
  <c r="W3091" i="1"/>
  <c r="X3038" i="1"/>
  <c r="W3038" i="1"/>
  <c r="V3031" i="1"/>
  <c r="X3031" i="1"/>
  <c r="W3014" i="1"/>
  <c r="V3014" i="1"/>
  <c r="X2974" i="1"/>
  <c r="W2974" i="1"/>
  <c r="W2942" i="1"/>
  <c r="V2942" i="1"/>
  <c r="X2942" i="1"/>
  <c r="W2931" i="1"/>
  <c r="V2931" i="1"/>
  <c r="X2877" i="1"/>
  <c r="W2877" i="1"/>
  <c r="V2877" i="1"/>
  <c r="V3604" i="1"/>
  <c r="W3599" i="1"/>
  <c r="V3596" i="1"/>
  <c r="W3591" i="1"/>
  <c r="V3588" i="1"/>
  <c r="W3583" i="1"/>
  <c r="V3580" i="1"/>
  <c r="W3575" i="1"/>
  <c r="V3572" i="1"/>
  <c r="W3567" i="1"/>
  <c r="V3564" i="1"/>
  <c r="W3559" i="1"/>
  <c r="V3556" i="1"/>
  <c r="W3551" i="1"/>
  <c r="V3548" i="1"/>
  <c r="W3543" i="1"/>
  <c r="V3540" i="1"/>
  <c r="W3535" i="1"/>
  <c r="V3532" i="1"/>
  <c r="W3527" i="1"/>
  <c r="V3524" i="1"/>
  <c r="W3519" i="1"/>
  <c r="V3516" i="1"/>
  <c r="W3511" i="1"/>
  <c r="V3508" i="1"/>
  <c r="W3503" i="1"/>
  <c r="V3500" i="1"/>
  <c r="W3495" i="1"/>
  <c r="V3492" i="1"/>
  <c r="W3487" i="1"/>
  <c r="V3484" i="1"/>
  <c r="W3479" i="1"/>
  <c r="V3476" i="1"/>
  <c r="W3471" i="1"/>
  <c r="V3468" i="1"/>
  <c r="W3463" i="1"/>
  <c r="V3460" i="1"/>
  <c r="W3455" i="1"/>
  <c r="V3452" i="1"/>
  <c r="W3447" i="1"/>
  <c r="V3444" i="1"/>
  <c r="W3439" i="1"/>
  <c r="V3436" i="1"/>
  <c r="W3431" i="1"/>
  <c r="V3428" i="1"/>
  <c r="W3423" i="1"/>
  <c r="W3421" i="1"/>
  <c r="W3416" i="1"/>
  <c r="V3411" i="1"/>
  <c r="W3409" i="1"/>
  <c r="X3402" i="1"/>
  <c r="V3397" i="1"/>
  <c r="V3392" i="1"/>
  <c r="W3390" i="1"/>
  <c r="V3385" i="1"/>
  <c r="X3383" i="1"/>
  <c r="V3378" i="1"/>
  <c r="W3371" i="1"/>
  <c r="V3366" i="1"/>
  <c r="W3359" i="1"/>
  <c r="V3357" i="1"/>
  <c r="X3355" i="1"/>
  <c r="W3353" i="1"/>
  <c r="V3342" i="1"/>
  <c r="X3338" i="1"/>
  <c r="W3327" i="1"/>
  <c r="V3325" i="1"/>
  <c r="X3323" i="1"/>
  <c r="W3321" i="1"/>
  <c r="V3310" i="1"/>
  <c r="X3306" i="1"/>
  <c r="W3295" i="1"/>
  <c r="V3293" i="1"/>
  <c r="X3291" i="1"/>
  <c r="W3289" i="1"/>
  <c r="V3278" i="1"/>
  <c r="X3274" i="1"/>
  <c r="W3263" i="1"/>
  <c r="V3261" i="1"/>
  <c r="X3259" i="1"/>
  <c r="W3257" i="1"/>
  <c r="V3246" i="1"/>
  <c r="X3242" i="1"/>
  <c r="W3231" i="1"/>
  <c r="V3229" i="1"/>
  <c r="X3227" i="1"/>
  <c r="V3225" i="1"/>
  <c r="W3223" i="1"/>
  <c r="W3217" i="1"/>
  <c r="X3201" i="1"/>
  <c r="W3192" i="1"/>
  <c r="X3182" i="1"/>
  <c r="V3178" i="1"/>
  <c r="V3168" i="1"/>
  <c r="X3161" i="1"/>
  <c r="W3159" i="1"/>
  <c r="V3147" i="1"/>
  <c r="V3134" i="1"/>
  <c r="X3130" i="1"/>
  <c r="V3109" i="1"/>
  <c r="W3099" i="1"/>
  <c r="X3078" i="1"/>
  <c r="X3072" i="1"/>
  <c r="W3063" i="1"/>
  <c r="V3057" i="1"/>
  <c r="V3051" i="1"/>
  <c r="X3027" i="1"/>
  <c r="V3018" i="1"/>
  <c r="V3000" i="1"/>
  <c r="W3122" i="1"/>
  <c r="V3122" i="1"/>
  <c r="X3122" i="1"/>
  <c r="W3070" i="1"/>
  <c r="X3070" i="1"/>
  <c r="W3066" i="1"/>
  <c r="V3066" i="1"/>
  <c r="V3008" i="1"/>
  <c r="W3008" i="1"/>
  <c r="X3005" i="1"/>
  <c r="W3005" i="1"/>
  <c r="W2994" i="1"/>
  <c r="V2994" i="1"/>
  <c r="X2994" i="1"/>
  <c r="V2967" i="1"/>
  <c r="X2967" i="1"/>
  <c r="V2935" i="1"/>
  <c r="X2935" i="1"/>
  <c r="W2935" i="1"/>
  <c r="W2922" i="1"/>
  <c r="X2922" i="1"/>
  <c r="W2859" i="1"/>
  <c r="V2859" i="1"/>
  <c r="X2859" i="1"/>
  <c r="W3604" i="1"/>
  <c r="W3596" i="1"/>
  <c r="W3588" i="1"/>
  <c r="W3580" i="1"/>
  <c r="W3572" i="1"/>
  <c r="W3564" i="1"/>
  <c r="W3556" i="1"/>
  <c r="W3540" i="1"/>
  <c r="W3532" i="1"/>
  <c r="W3524" i="1"/>
  <c r="W3516" i="1"/>
  <c r="W3508" i="1"/>
  <c r="W3500" i="1"/>
  <c r="W3492" i="1"/>
  <c r="W3484" i="1"/>
  <c r="W3476" i="1"/>
  <c r="W3468" i="1"/>
  <c r="W3460" i="1"/>
  <c r="W3452" i="1"/>
  <c r="W3444" i="1"/>
  <c r="W3436" i="1"/>
  <c r="W3428" i="1"/>
  <c r="X3423" i="1"/>
  <c r="W3411" i="1"/>
  <c r="W3397" i="1"/>
  <c r="W3392" i="1"/>
  <c r="W3385" i="1"/>
  <c r="X3378" i="1"/>
  <c r="W3366" i="1"/>
  <c r="X3359" i="1"/>
  <c r="W3357" i="1"/>
  <c r="X3342" i="1"/>
  <c r="X3327" i="1"/>
  <c r="W3325" i="1"/>
  <c r="X3310" i="1"/>
  <c r="X3295" i="1"/>
  <c r="W3293" i="1"/>
  <c r="X3278" i="1"/>
  <c r="X3263" i="1"/>
  <c r="W3261" i="1"/>
  <c r="X3246" i="1"/>
  <c r="X3231" i="1"/>
  <c r="W3229" i="1"/>
  <c r="X3225" i="1"/>
  <c r="X3223" i="1"/>
  <c r="X3178" i="1"/>
  <c r="X3168" i="1"/>
  <c r="X3159" i="1"/>
  <c r="W3147" i="1"/>
  <c r="X3099" i="1"/>
  <c r="W3057" i="1"/>
  <c r="X2931" i="1"/>
  <c r="W3218" i="1"/>
  <c r="X3218" i="1"/>
  <c r="W3210" i="1"/>
  <c r="X3210" i="1"/>
  <c r="V3193" i="1"/>
  <c r="W3193" i="1"/>
  <c r="X3141" i="1"/>
  <c r="V3141" i="1"/>
  <c r="W3141" i="1"/>
  <c r="V3135" i="1"/>
  <c r="X3135" i="1"/>
  <c r="V3110" i="1"/>
  <c r="W3110" i="1"/>
  <c r="W3089" i="1"/>
  <c r="X3089" i="1"/>
  <c r="X3085" i="1"/>
  <c r="V3085" i="1"/>
  <c r="X3045" i="1"/>
  <c r="W3045" i="1"/>
  <c r="V3045" i="1"/>
  <c r="W3025" i="1"/>
  <c r="X3025" i="1"/>
  <c r="X3019" i="1"/>
  <c r="W3019" i="1"/>
  <c r="V3001" i="1"/>
  <c r="W3001" i="1"/>
  <c r="X2981" i="1"/>
  <c r="W2981" i="1"/>
  <c r="V2981" i="1"/>
  <c r="W2954" i="1"/>
  <c r="X2954" i="1"/>
  <c r="V2954" i="1"/>
  <c r="V2943" i="1"/>
  <c r="X2943" i="1"/>
  <c r="W2943" i="1"/>
  <c r="V2903" i="1"/>
  <c r="X2903" i="1"/>
  <c r="W2903" i="1"/>
  <c r="W2878" i="1"/>
  <c r="V2878" i="1"/>
  <c r="X2878" i="1"/>
  <c r="W3548" i="1"/>
  <c r="V3598" i="1"/>
  <c r="V3590" i="1"/>
  <c r="V3582" i="1"/>
  <c r="V3574" i="1"/>
  <c r="V3566" i="1"/>
  <c r="V3558" i="1"/>
  <c r="V3550" i="1"/>
  <c r="V3542" i="1"/>
  <c r="V3534" i="1"/>
  <c r="V3526" i="1"/>
  <c r="V3518" i="1"/>
  <c r="V3510" i="1"/>
  <c r="V3502" i="1"/>
  <c r="V3494" i="1"/>
  <c r="V3486" i="1"/>
  <c r="V3478" i="1"/>
  <c r="V3470" i="1"/>
  <c r="V3462" i="1"/>
  <c r="V3454" i="1"/>
  <c r="V3446" i="1"/>
  <c r="V3438" i="1"/>
  <c r="V3430" i="1"/>
  <c r="X3418" i="1"/>
  <c r="V3413" i="1"/>
  <c r="V3408" i="1"/>
  <c r="V3401" i="1"/>
  <c r="X3399" i="1"/>
  <c r="V3394" i="1"/>
  <c r="V3382" i="1"/>
  <c r="W3375" i="1"/>
  <c r="W3373" i="1"/>
  <c r="V3363" i="1"/>
  <c r="V3350" i="1"/>
  <c r="X3346" i="1"/>
  <c r="W3335" i="1"/>
  <c r="V3333" i="1"/>
  <c r="X3331" i="1"/>
  <c r="W3329" i="1"/>
  <c r="V3318" i="1"/>
  <c r="X3314" i="1"/>
  <c r="W3303" i="1"/>
  <c r="V3301" i="1"/>
  <c r="X3299" i="1"/>
  <c r="W3297" i="1"/>
  <c r="V3286" i="1"/>
  <c r="X3282" i="1"/>
  <c r="W3271" i="1"/>
  <c r="V3269" i="1"/>
  <c r="X3267" i="1"/>
  <c r="W3265" i="1"/>
  <c r="V3254" i="1"/>
  <c r="X3250" i="1"/>
  <c r="W3239" i="1"/>
  <c r="V3237" i="1"/>
  <c r="X3235" i="1"/>
  <c r="W3233" i="1"/>
  <c r="W3214" i="1"/>
  <c r="W3208" i="1"/>
  <c r="V3197" i="1"/>
  <c r="V3187" i="1"/>
  <c r="V3166" i="1"/>
  <c r="X3137" i="1"/>
  <c r="W3128" i="1"/>
  <c r="X3118" i="1"/>
  <c r="V3114" i="1"/>
  <c r="V3104" i="1"/>
  <c r="W3095" i="1"/>
  <c r="V3083" i="1"/>
  <c r="V3070" i="1"/>
  <c r="X3066" i="1"/>
  <c r="X3008" i="1"/>
  <c r="V3005" i="1"/>
  <c r="W2967" i="1"/>
  <c r="V2922" i="1"/>
  <c r="W3226" i="1"/>
  <c r="V3226" i="1"/>
  <c r="V3200" i="1"/>
  <c r="W3200" i="1"/>
  <c r="V3191" i="1"/>
  <c r="X3191" i="1"/>
  <c r="W3179" i="1"/>
  <c r="X3179" i="1"/>
  <c r="V3175" i="1"/>
  <c r="W3175" i="1"/>
  <c r="W3160" i="1"/>
  <c r="X3160" i="1"/>
  <c r="W3154" i="1"/>
  <c r="X3154" i="1"/>
  <c r="W3058" i="1"/>
  <c r="V3058" i="1"/>
  <c r="X3058" i="1"/>
  <c r="V3039" i="1"/>
  <c r="W3039" i="1"/>
  <c r="X3039" i="1"/>
  <c r="W3032" i="1"/>
  <c r="X3032" i="1"/>
  <c r="W2995" i="1"/>
  <c r="V2995" i="1"/>
  <c r="W2986" i="1"/>
  <c r="X2986" i="1"/>
  <c r="V2975" i="1"/>
  <c r="W2975" i="1"/>
  <c r="X2975" i="1"/>
  <c r="W2950" i="1"/>
  <c r="V2950" i="1"/>
  <c r="X2936" i="1"/>
  <c r="W2936" i="1"/>
  <c r="X2929" i="1"/>
  <c r="W2929" i="1"/>
  <c r="W3598" i="1"/>
  <c r="W3590" i="1"/>
  <c r="W3550" i="1"/>
  <c r="W3526" i="1"/>
  <c r="W3518" i="1"/>
  <c r="W3510" i="1"/>
  <c r="W3502" i="1"/>
  <c r="W3494" i="1"/>
  <c r="W3486" i="1"/>
  <c r="W3470" i="1"/>
  <c r="W3430" i="1"/>
  <c r="W3413" i="1"/>
  <c r="W3408" i="1"/>
  <c r="X3394" i="1"/>
  <c r="W3382" i="1"/>
  <c r="X3375" i="1"/>
  <c r="W3363" i="1"/>
  <c r="X3350" i="1"/>
  <c r="X3335" i="1"/>
  <c r="W3333" i="1"/>
  <c r="X3318" i="1"/>
  <c r="X3303" i="1"/>
  <c r="W3301" i="1"/>
  <c r="X3286" i="1"/>
  <c r="X3271" i="1"/>
  <c r="W3269" i="1"/>
  <c r="X3254" i="1"/>
  <c r="X3239" i="1"/>
  <c r="W3237" i="1"/>
  <c r="X3214" i="1"/>
  <c r="X3208" i="1"/>
  <c r="W3197" i="1"/>
  <c r="X3187" i="1"/>
  <c r="W3166" i="1"/>
  <c r="W3135" i="1"/>
  <c r="X3114" i="1"/>
  <c r="X3110" i="1"/>
  <c r="X3104" i="1"/>
  <c r="X3095" i="1"/>
  <c r="V3089" i="1"/>
  <c r="W3085" i="1"/>
  <c r="W3083" i="1"/>
  <c r="W3073" i="1"/>
  <c r="V3064" i="1"/>
  <c r="W3054" i="1"/>
  <c r="V3025" i="1"/>
  <c r="V3019" i="1"/>
  <c r="X3001" i="1"/>
  <c r="W3146" i="1"/>
  <c r="X3146" i="1"/>
  <c r="V3129" i="1"/>
  <c r="W3129" i="1"/>
  <c r="X3077" i="1"/>
  <c r="V3077" i="1"/>
  <c r="W3077" i="1"/>
  <c r="V3071" i="1"/>
  <c r="X3071" i="1"/>
  <c r="V3046" i="1"/>
  <c r="W3046" i="1"/>
  <c r="W3006" i="1"/>
  <c r="X3006" i="1"/>
  <c r="V2999" i="1"/>
  <c r="X2999" i="1"/>
  <c r="V2982" i="1"/>
  <c r="W2982" i="1"/>
  <c r="W2968" i="1"/>
  <c r="V2968" i="1"/>
  <c r="X2968" i="1"/>
  <c r="W2961" i="1"/>
  <c r="V2961" i="1"/>
  <c r="X2961" i="1"/>
  <c r="X2955" i="1"/>
  <c r="W2955" i="1"/>
  <c r="W2923" i="1"/>
  <c r="V2923" i="1"/>
  <c r="X2923" i="1"/>
  <c r="W2904" i="1"/>
  <c r="V2904" i="1"/>
  <c r="X2904" i="1"/>
  <c r="W2890" i="1"/>
  <c r="X2890" i="1"/>
  <c r="V2890" i="1"/>
  <c r="V2936" i="1"/>
  <c r="V2929" i="1"/>
  <c r="X2409" i="1"/>
  <c r="V2409" i="1"/>
  <c r="X2395" i="1"/>
  <c r="W2395" i="1"/>
  <c r="V2395" i="1"/>
  <c r="X2383" i="1"/>
  <c r="V2383" i="1"/>
  <c r="X2369" i="1"/>
  <c r="V2369" i="1"/>
  <c r="X2355" i="1"/>
  <c r="W2355" i="1"/>
  <c r="V2355" i="1"/>
  <c r="X2339" i="1"/>
  <c r="W2339" i="1"/>
  <c r="V2339" i="1"/>
  <c r="X2323" i="1"/>
  <c r="W2323" i="1"/>
  <c r="V2323" i="1"/>
  <c r="X2307" i="1"/>
  <c r="W2307" i="1"/>
  <c r="V2307" i="1"/>
  <c r="X2291" i="1"/>
  <c r="W2291" i="1"/>
  <c r="V2291" i="1"/>
  <c r="X2275" i="1"/>
  <c r="W2275" i="1"/>
  <c r="V2275" i="1"/>
  <c r="X2259" i="1"/>
  <c r="W2259" i="1"/>
  <c r="V2259" i="1"/>
  <c r="X2243" i="1"/>
  <c r="W2243" i="1"/>
  <c r="V2243" i="1"/>
  <c r="X2231" i="1"/>
  <c r="V2231" i="1"/>
  <c r="X2217" i="1"/>
  <c r="W2217" i="1"/>
  <c r="V2217" i="1"/>
  <c r="W3207" i="1"/>
  <c r="V3181" i="1"/>
  <c r="V3162" i="1"/>
  <c r="W3143" i="1"/>
  <c r="V3117" i="1"/>
  <c r="V3098" i="1"/>
  <c r="W3079" i="1"/>
  <c r="V3053" i="1"/>
  <c r="V3034" i="1"/>
  <c r="W3015" i="1"/>
  <c r="V2989" i="1"/>
  <c r="V2970" i="1"/>
  <c r="W2963" i="1"/>
  <c r="W2951" i="1"/>
  <c r="W2949" i="1"/>
  <c r="W2944" i="1"/>
  <c r="W2937" i="1"/>
  <c r="X2930" i="1"/>
  <c r="V2925" i="1"/>
  <c r="W2918" i="1"/>
  <c r="X2911" i="1"/>
  <c r="V2906" i="1"/>
  <c r="W2899" i="1"/>
  <c r="W2887" i="1"/>
  <c r="W2885" i="1"/>
  <c r="W2880" i="1"/>
  <c r="W2873" i="1"/>
  <c r="X2866" i="1"/>
  <c r="V2861" i="1"/>
  <c r="W2854" i="1"/>
  <c r="X2847" i="1"/>
  <c r="V2842" i="1"/>
  <c r="X2840" i="1"/>
  <c r="W2835" i="1"/>
  <c r="X2833" i="1"/>
  <c r="W2823" i="1"/>
  <c r="W2821" i="1"/>
  <c r="W2816" i="1"/>
  <c r="X2814" i="1"/>
  <c r="W2809" i="1"/>
  <c r="X2802" i="1"/>
  <c r="V2797" i="1"/>
  <c r="X2795" i="1"/>
  <c r="W2790" i="1"/>
  <c r="X2783" i="1"/>
  <c r="V2778" i="1"/>
  <c r="X2776" i="1"/>
  <c r="V2771" i="1"/>
  <c r="W2769" i="1"/>
  <c r="X2767" i="1"/>
  <c r="V2754" i="1"/>
  <c r="X2752" i="1"/>
  <c r="W2750" i="1"/>
  <c r="V2739" i="1"/>
  <c r="W2737" i="1"/>
  <c r="X2735" i="1"/>
  <c r="V2722" i="1"/>
  <c r="X2720" i="1"/>
  <c r="W2718" i="1"/>
  <c r="V2707" i="1"/>
  <c r="W2705" i="1"/>
  <c r="X2703" i="1"/>
  <c r="V2690" i="1"/>
  <c r="X2688" i="1"/>
  <c r="W2686" i="1"/>
  <c r="V2675" i="1"/>
  <c r="W2673" i="1"/>
  <c r="X2671" i="1"/>
  <c r="V2658" i="1"/>
  <c r="X2656" i="1"/>
  <c r="W2654" i="1"/>
  <c r="V2643" i="1"/>
  <c r="W2641" i="1"/>
  <c r="X2639" i="1"/>
  <c r="V2626" i="1"/>
  <c r="X2624" i="1"/>
  <c r="W2622" i="1"/>
  <c r="V2611" i="1"/>
  <c r="W2609" i="1"/>
  <c r="X2607" i="1"/>
  <c r="V2594" i="1"/>
  <c r="X2592" i="1"/>
  <c r="W2590" i="1"/>
  <c r="V2579" i="1"/>
  <c r="W2577" i="1"/>
  <c r="X2575" i="1"/>
  <c r="V2562" i="1"/>
  <c r="X2560" i="1"/>
  <c r="W2558" i="1"/>
  <c r="V2547" i="1"/>
  <c r="W2545" i="1"/>
  <c r="X2543" i="1"/>
  <c r="V2530" i="1"/>
  <c r="X2528" i="1"/>
  <c r="W2526" i="1"/>
  <c r="V2515" i="1"/>
  <c r="W2513" i="1"/>
  <c r="X2511" i="1"/>
  <c r="V2498" i="1"/>
  <c r="X2496" i="1"/>
  <c r="W2494" i="1"/>
  <c r="V2483" i="1"/>
  <c r="W2481" i="1"/>
  <c r="X2479" i="1"/>
  <c r="V2466" i="1"/>
  <c r="X2464" i="1"/>
  <c r="W2462" i="1"/>
  <c r="W2454" i="1"/>
  <c r="W2446" i="1"/>
  <c r="W2438" i="1"/>
  <c r="W2430" i="1"/>
  <c r="X2393" i="1"/>
  <c r="V2393" i="1"/>
  <c r="X2353" i="1"/>
  <c r="V2353" i="1"/>
  <c r="X2337" i="1"/>
  <c r="V2337" i="1"/>
  <c r="X2321" i="1"/>
  <c r="V2321" i="1"/>
  <c r="X2305" i="1"/>
  <c r="V2305" i="1"/>
  <c r="X2289" i="1"/>
  <c r="V2289" i="1"/>
  <c r="X2273" i="1"/>
  <c r="V2273" i="1"/>
  <c r="X2257" i="1"/>
  <c r="V2257" i="1"/>
  <c r="X2241" i="1"/>
  <c r="V2241" i="1"/>
  <c r="X2459" i="1"/>
  <c r="W2459" i="1"/>
  <c r="X2451" i="1"/>
  <c r="W2451" i="1"/>
  <c r="X2443" i="1"/>
  <c r="W2443" i="1"/>
  <c r="X2435" i="1"/>
  <c r="W2435" i="1"/>
  <c r="X2427" i="1"/>
  <c r="W2427" i="1"/>
  <c r="X2407" i="1"/>
  <c r="V2407" i="1"/>
  <c r="X2379" i="1"/>
  <c r="W2379" i="1"/>
  <c r="V2379" i="1"/>
  <c r="X2367" i="1"/>
  <c r="V2367" i="1"/>
  <c r="X2215" i="1"/>
  <c r="V2215" i="1"/>
  <c r="V2872" i="1"/>
  <c r="V2865" i="1"/>
  <c r="V2858" i="1"/>
  <c r="V2846" i="1"/>
  <c r="W2839" i="1"/>
  <c r="V2827" i="1"/>
  <c r="V2813" i="1"/>
  <c r="V2808" i="1"/>
  <c r="V2801" i="1"/>
  <c r="V2794" i="1"/>
  <c r="V2782" i="1"/>
  <c r="W2775" i="1"/>
  <c r="V2762" i="1"/>
  <c r="V2747" i="1"/>
  <c r="V2730" i="1"/>
  <c r="V2715" i="1"/>
  <c r="V2698" i="1"/>
  <c r="V2683" i="1"/>
  <c r="V2666" i="1"/>
  <c r="V2651" i="1"/>
  <c r="V2634" i="1"/>
  <c r="V2619" i="1"/>
  <c r="V2602" i="1"/>
  <c r="V2587" i="1"/>
  <c r="V2570" i="1"/>
  <c r="V2555" i="1"/>
  <c r="V2538" i="1"/>
  <c r="V2523" i="1"/>
  <c r="V2506" i="1"/>
  <c r="V2491" i="1"/>
  <c r="V2474" i="1"/>
  <c r="V2457" i="1"/>
  <c r="V2449" i="1"/>
  <c r="V2441" i="1"/>
  <c r="V2433" i="1"/>
  <c r="W2393" i="1"/>
  <c r="W2353" i="1"/>
  <c r="W2337" i="1"/>
  <c r="W2321" i="1"/>
  <c r="W2305" i="1"/>
  <c r="W2289" i="1"/>
  <c r="W2273" i="1"/>
  <c r="W2257" i="1"/>
  <c r="W2241" i="1"/>
  <c r="X2403" i="1"/>
  <c r="W2403" i="1"/>
  <c r="V2403" i="1"/>
  <c r="X2391" i="1"/>
  <c r="V2391" i="1"/>
  <c r="X2377" i="1"/>
  <c r="V2377" i="1"/>
  <c r="X2351" i="1"/>
  <c r="V2351" i="1"/>
  <c r="X2335" i="1"/>
  <c r="V2335" i="1"/>
  <c r="X2319" i="1"/>
  <c r="V2319" i="1"/>
  <c r="X2303" i="1"/>
  <c r="V2303" i="1"/>
  <c r="X2287" i="1"/>
  <c r="V2287" i="1"/>
  <c r="X2271" i="1"/>
  <c r="V2271" i="1"/>
  <c r="X2255" i="1"/>
  <c r="V2255" i="1"/>
  <c r="X2239" i="1"/>
  <c r="V2239" i="1"/>
  <c r="X2225" i="1"/>
  <c r="W2225" i="1"/>
  <c r="V2225" i="1"/>
  <c r="V2917" i="1"/>
  <c r="V2912" i="1"/>
  <c r="V2905" i="1"/>
  <c r="V2898" i="1"/>
  <c r="V2886" i="1"/>
  <c r="W2879" i="1"/>
  <c r="W2872" i="1"/>
  <c r="V2867" i="1"/>
  <c r="W2865" i="1"/>
  <c r="X2858" i="1"/>
  <c r="V2853" i="1"/>
  <c r="V2848" i="1"/>
  <c r="W2846" i="1"/>
  <c r="V2841" i="1"/>
  <c r="X2839" i="1"/>
  <c r="V2834" i="1"/>
  <c r="W2827" i="1"/>
  <c r="V2822" i="1"/>
  <c r="W2815" i="1"/>
  <c r="W2813" i="1"/>
  <c r="W2808" i="1"/>
  <c r="V2803" i="1"/>
  <c r="W2801" i="1"/>
  <c r="X2794" i="1"/>
  <c r="V2789" i="1"/>
  <c r="V2784" i="1"/>
  <c r="W2782" i="1"/>
  <c r="V2777" i="1"/>
  <c r="X2775" i="1"/>
  <c r="W2768" i="1"/>
  <c r="V2766" i="1"/>
  <c r="X2762" i="1"/>
  <c r="V2753" i="1"/>
  <c r="W2751" i="1"/>
  <c r="X2747" i="1"/>
  <c r="W2736" i="1"/>
  <c r="V2734" i="1"/>
  <c r="X2730" i="1"/>
  <c r="V2721" i="1"/>
  <c r="W2719" i="1"/>
  <c r="X2715" i="1"/>
  <c r="X2698" i="1"/>
  <c r="X2683" i="1"/>
  <c r="X2666" i="1"/>
  <c r="X2651" i="1"/>
  <c r="X2634" i="1"/>
  <c r="X2619" i="1"/>
  <c r="X2602" i="1"/>
  <c r="X2587" i="1"/>
  <c r="X2570" i="1"/>
  <c r="X2555" i="1"/>
  <c r="X2538" i="1"/>
  <c r="X2523" i="1"/>
  <c r="X2506" i="1"/>
  <c r="X2491" i="1"/>
  <c r="X2474" i="1"/>
  <c r="W2457" i="1"/>
  <c r="W2449" i="1"/>
  <c r="W2441" i="1"/>
  <c r="W2433" i="1"/>
  <c r="X2423" i="1"/>
  <c r="V2423" i="1"/>
  <c r="X2419" i="1"/>
  <c r="W2419" i="1"/>
  <c r="X2401" i="1"/>
  <c r="V2401" i="1"/>
  <c r="X2363" i="1"/>
  <c r="W2363" i="1"/>
  <c r="V2363" i="1"/>
  <c r="X2347" i="1"/>
  <c r="W2347" i="1"/>
  <c r="V2347" i="1"/>
  <c r="X2331" i="1"/>
  <c r="W2331" i="1"/>
  <c r="V2331" i="1"/>
  <c r="X2315" i="1"/>
  <c r="W2315" i="1"/>
  <c r="V2315" i="1"/>
  <c r="X2299" i="1"/>
  <c r="W2299" i="1"/>
  <c r="V2299" i="1"/>
  <c r="X2283" i="1"/>
  <c r="W2283" i="1"/>
  <c r="V2283" i="1"/>
  <c r="X2267" i="1"/>
  <c r="W2267" i="1"/>
  <c r="V2267" i="1"/>
  <c r="X2251" i="1"/>
  <c r="W2251" i="1"/>
  <c r="V2251" i="1"/>
  <c r="W3047" i="1"/>
  <c r="V3021" i="1"/>
  <c r="V3002" i="1"/>
  <c r="W2983" i="1"/>
  <c r="V2957" i="1"/>
  <c r="V2938" i="1"/>
  <c r="W2919" i="1"/>
  <c r="W2917" i="1"/>
  <c r="X2898" i="1"/>
  <c r="V2893" i="1"/>
  <c r="X2879" i="1"/>
  <c r="V2874" i="1"/>
  <c r="W2855" i="1"/>
  <c r="W2853" i="1"/>
  <c r="X2834" i="1"/>
  <c r="V2829" i="1"/>
  <c r="X2815" i="1"/>
  <c r="V2810" i="1"/>
  <c r="W2791" i="1"/>
  <c r="W2789" i="1"/>
  <c r="V2770" i="1"/>
  <c r="X2768" i="1"/>
  <c r="W2766" i="1"/>
  <c r="V2755" i="1"/>
  <c r="X2751" i="1"/>
  <c r="V2738" i="1"/>
  <c r="X2736" i="1"/>
  <c r="W2734" i="1"/>
  <c r="V2723" i="1"/>
  <c r="X2719" i="1"/>
  <c r="V2706" i="1"/>
  <c r="X2704" i="1"/>
  <c r="W2702" i="1"/>
  <c r="V2691" i="1"/>
  <c r="X2687" i="1"/>
  <c r="V2674" i="1"/>
  <c r="X2672" i="1"/>
  <c r="W2670" i="1"/>
  <c r="V2659" i="1"/>
  <c r="X2655" i="1"/>
  <c r="V2642" i="1"/>
  <c r="X2640" i="1"/>
  <c r="W2638" i="1"/>
  <c r="V2627" i="1"/>
  <c r="X2623" i="1"/>
  <c r="V2610" i="1"/>
  <c r="X2608" i="1"/>
  <c r="W2606" i="1"/>
  <c r="V2595" i="1"/>
  <c r="X2591" i="1"/>
  <c r="V2578" i="1"/>
  <c r="X2576" i="1"/>
  <c r="W2574" i="1"/>
  <c r="V2563" i="1"/>
  <c r="X2559" i="1"/>
  <c r="V2546" i="1"/>
  <c r="X2544" i="1"/>
  <c r="W2542" i="1"/>
  <c r="V2531" i="1"/>
  <c r="X2527" i="1"/>
  <c r="V2514" i="1"/>
  <c r="X2512" i="1"/>
  <c r="W2510" i="1"/>
  <c r="V2499" i="1"/>
  <c r="X2495" i="1"/>
  <c r="V2482" i="1"/>
  <c r="X2480" i="1"/>
  <c r="W2478" i="1"/>
  <c r="V2467" i="1"/>
  <c r="X2463" i="1"/>
  <c r="X2455" i="1"/>
  <c r="X2447" i="1"/>
  <c r="X2439" i="1"/>
  <c r="X2431" i="1"/>
  <c r="X2425" i="1"/>
  <c r="W2391" i="1"/>
  <c r="W2377" i="1"/>
  <c r="W2351" i="1"/>
  <c r="W2335" i="1"/>
  <c r="W2319" i="1"/>
  <c r="W2303" i="1"/>
  <c r="W2287" i="1"/>
  <c r="W2271" i="1"/>
  <c r="W2255" i="1"/>
  <c r="W2239" i="1"/>
  <c r="X2387" i="1"/>
  <c r="W2387" i="1"/>
  <c r="V2387" i="1"/>
  <c r="X2375" i="1"/>
  <c r="V2375" i="1"/>
  <c r="X2361" i="1"/>
  <c r="V2361" i="1"/>
  <c r="X2345" i="1"/>
  <c r="V2345" i="1"/>
  <c r="X2329" i="1"/>
  <c r="V2329" i="1"/>
  <c r="X2313" i="1"/>
  <c r="V2313" i="1"/>
  <c r="X2297" i="1"/>
  <c r="V2297" i="1"/>
  <c r="X2281" i="1"/>
  <c r="V2281" i="1"/>
  <c r="X2265" i="1"/>
  <c r="V2265" i="1"/>
  <c r="X2249" i="1"/>
  <c r="V2249" i="1"/>
  <c r="X2223" i="1"/>
  <c r="V2223" i="1"/>
  <c r="X2209" i="1"/>
  <c r="W2209" i="1"/>
  <c r="V2209" i="1"/>
  <c r="W2456" i="1"/>
  <c r="V2456" i="1"/>
  <c r="W2448" i="1"/>
  <c r="V2448" i="1"/>
  <c r="W2440" i="1"/>
  <c r="V2440" i="1"/>
  <c r="W2432" i="1"/>
  <c r="V2432" i="1"/>
  <c r="X2415" i="1"/>
  <c r="V2415" i="1"/>
  <c r="X2399" i="1"/>
  <c r="V2399" i="1"/>
  <c r="X2385" i="1"/>
  <c r="V2385" i="1"/>
  <c r="X2233" i="1"/>
  <c r="W2233" i="1"/>
  <c r="V2233" i="1"/>
  <c r="V2845" i="1"/>
  <c r="V2840" i="1"/>
  <c r="V2833" i="1"/>
  <c r="V2826" i="1"/>
  <c r="V2814" i="1"/>
  <c r="W2807" i="1"/>
  <c r="V2795" i="1"/>
  <c r="V2781" i="1"/>
  <c r="V2776" i="1"/>
  <c r="V2763" i="1"/>
  <c r="V2746" i="1"/>
  <c r="V2731" i="1"/>
  <c r="V2714" i="1"/>
  <c r="V2699" i="1"/>
  <c r="V2682" i="1"/>
  <c r="V2667" i="1"/>
  <c r="V2650" i="1"/>
  <c r="V2635" i="1"/>
  <c r="V2618" i="1"/>
  <c r="V2603" i="1"/>
  <c r="V2586" i="1"/>
  <c r="V2571" i="1"/>
  <c r="V2554" i="1"/>
  <c r="V2539" i="1"/>
  <c r="V2522" i="1"/>
  <c r="V2507" i="1"/>
  <c r="V2490" i="1"/>
  <c r="V2475" i="1"/>
  <c r="W2375" i="1"/>
  <c r="W2361" i="1"/>
  <c r="W2345" i="1"/>
  <c r="W2329" i="1"/>
  <c r="W2313" i="1"/>
  <c r="W2297" i="1"/>
  <c r="W2281" i="1"/>
  <c r="W2424" i="1"/>
  <c r="V2424" i="1"/>
  <c r="X2411" i="1"/>
  <c r="W2411" i="1"/>
  <c r="V2411" i="1"/>
  <c r="X2371" i="1"/>
  <c r="W2371" i="1"/>
  <c r="V2371" i="1"/>
  <c r="X2359" i="1"/>
  <c r="V2359" i="1"/>
  <c r="X2343" i="1"/>
  <c r="V2343" i="1"/>
  <c r="X2327" i="1"/>
  <c r="V2327" i="1"/>
  <c r="X2311" i="1"/>
  <c r="V2311" i="1"/>
  <c r="X2295" i="1"/>
  <c r="V2295" i="1"/>
  <c r="X2279" i="1"/>
  <c r="V2279" i="1"/>
  <c r="X2263" i="1"/>
  <c r="V2263" i="1"/>
  <c r="X2247" i="1"/>
  <c r="V2247" i="1"/>
  <c r="X2207" i="1"/>
  <c r="V2207" i="1"/>
  <c r="V2949" i="1"/>
  <c r="V2930" i="1"/>
  <c r="W2911" i="1"/>
  <c r="V2885" i="1"/>
  <c r="V2866" i="1"/>
  <c r="W2847" i="1"/>
  <c r="W2845" i="1"/>
  <c r="X2826" i="1"/>
  <c r="V2821" i="1"/>
  <c r="X2807" i="1"/>
  <c r="V2802" i="1"/>
  <c r="W2783" i="1"/>
  <c r="W2781" i="1"/>
  <c r="W2767" i="1"/>
  <c r="X2763" i="1"/>
  <c r="W2752" i="1"/>
  <c r="V2750" i="1"/>
  <c r="X2746" i="1"/>
  <c r="W2735" i="1"/>
  <c r="X2731" i="1"/>
  <c r="W2720" i="1"/>
  <c r="V2718" i="1"/>
  <c r="X2714" i="1"/>
  <c r="W2703" i="1"/>
  <c r="X2699" i="1"/>
  <c r="W2688" i="1"/>
  <c r="V2686" i="1"/>
  <c r="X2682" i="1"/>
  <c r="W2671" i="1"/>
  <c r="X2667" i="1"/>
  <c r="W2656" i="1"/>
  <c r="V2654" i="1"/>
  <c r="X2650" i="1"/>
  <c r="W2639" i="1"/>
  <c r="X2635" i="1"/>
  <c r="W2624" i="1"/>
  <c r="V2622" i="1"/>
  <c r="X2618" i="1"/>
  <c r="W2607" i="1"/>
  <c r="X2603" i="1"/>
  <c r="W2592" i="1"/>
  <c r="V2590" i="1"/>
  <c r="X2586" i="1"/>
  <c r="W2575" i="1"/>
  <c r="X2571" i="1"/>
  <c r="W2560" i="1"/>
  <c r="V2558" i="1"/>
  <c r="X2554" i="1"/>
  <c r="W2543" i="1"/>
  <c r="X2539" i="1"/>
  <c r="W2528" i="1"/>
  <c r="V2526" i="1"/>
  <c r="X2522" i="1"/>
  <c r="W2511" i="1"/>
  <c r="X2507" i="1"/>
  <c r="W2496" i="1"/>
  <c r="V2494" i="1"/>
  <c r="X2490" i="1"/>
  <c r="W2479" i="1"/>
  <c r="X2475" i="1"/>
  <c r="W2464" i="1"/>
  <c r="V2462" i="1"/>
  <c r="X2456" i="1"/>
  <c r="V2454" i="1"/>
  <c r="X2448" i="1"/>
  <c r="V2446" i="1"/>
  <c r="X2440" i="1"/>
  <c r="V2438" i="1"/>
  <c r="X2432" i="1"/>
  <c r="V2430" i="1"/>
  <c r="W2415" i="1"/>
  <c r="W2399" i="1"/>
  <c r="W2385" i="1"/>
  <c r="W1814" i="1"/>
  <c r="V1814" i="1"/>
  <c r="X1785" i="1"/>
  <c r="W1785" i="1"/>
  <c r="W1750" i="1"/>
  <c r="V1750" i="1"/>
  <c r="X1721" i="1"/>
  <c r="W1721" i="1"/>
  <c r="X1681" i="1"/>
  <c r="W1681" i="1"/>
  <c r="X1644" i="1"/>
  <c r="V1644" i="1"/>
  <c r="X1628" i="1"/>
  <c r="V1628" i="1"/>
  <c r="X1612" i="1"/>
  <c r="V1612" i="1"/>
  <c r="X1596" i="1"/>
  <c r="V1596" i="1"/>
  <c r="X1580" i="1"/>
  <c r="V1580" i="1"/>
  <c r="X1552" i="1"/>
  <c r="V1552" i="1"/>
  <c r="W1533" i="1"/>
  <c r="V1533" i="1"/>
  <c r="X1454" i="1"/>
  <c r="W1454" i="1"/>
  <c r="V1454" i="1"/>
  <c r="V2199" i="1"/>
  <c r="V2191" i="1"/>
  <c r="V2183" i="1"/>
  <c r="V2175" i="1"/>
  <c r="V2167" i="1"/>
  <c r="V2159" i="1"/>
  <c r="V2151" i="1"/>
  <c r="V2143" i="1"/>
  <c r="V2135" i="1"/>
  <c r="V2127" i="1"/>
  <c r="V2119" i="1"/>
  <c r="V2111" i="1"/>
  <c r="W2106" i="1"/>
  <c r="W2104" i="1"/>
  <c r="V2094" i="1"/>
  <c r="X2085" i="1"/>
  <c r="V2080" i="1"/>
  <c r="V2075" i="1"/>
  <c r="V2068" i="1"/>
  <c r="X2066" i="1"/>
  <c r="V2061" i="1"/>
  <c r="V2049" i="1"/>
  <c r="W2042" i="1"/>
  <c r="W2040" i="1"/>
  <c r="V2030" i="1"/>
  <c r="X2021" i="1"/>
  <c r="V2016" i="1"/>
  <c r="V2011" i="1"/>
  <c r="V2004" i="1"/>
  <c r="X2002" i="1"/>
  <c r="V1997" i="1"/>
  <c r="V1985" i="1"/>
  <c r="W1978" i="1"/>
  <c r="W1976" i="1"/>
  <c r="V1966" i="1"/>
  <c r="X1957" i="1"/>
  <c r="V1952" i="1"/>
  <c r="V1947" i="1"/>
  <c r="V1940" i="1"/>
  <c r="X1938" i="1"/>
  <c r="V1933" i="1"/>
  <c r="V1921" i="1"/>
  <c r="W1914" i="1"/>
  <c r="W1912" i="1"/>
  <c r="W1905" i="1"/>
  <c r="V1894" i="1"/>
  <c r="X1890" i="1"/>
  <c r="V1877" i="1"/>
  <c r="X1875" i="1"/>
  <c r="W1873" i="1"/>
  <c r="V1862" i="1"/>
  <c r="X1858" i="1"/>
  <c r="V1845" i="1"/>
  <c r="X1843" i="1"/>
  <c r="W1841" i="1"/>
  <c r="V1830" i="1"/>
  <c r="X1826" i="1"/>
  <c r="V1820" i="1"/>
  <c r="W1818" i="1"/>
  <c r="X1797" i="1"/>
  <c r="V1789" i="1"/>
  <c r="W1764" i="1"/>
  <c r="X1762" i="1"/>
  <c r="V1756" i="1"/>
  <c r="W1754" i="1"/>
  <c r="X1733" i="1"/>
  <c r="V1725" i="1"/>
  <c r="V1700" i="1"/>
  <c r="W1698" i="1"/>
  <c r="V1668" i="1"/>
  <c r="W1666" i="1"/>
  <c r="W1806" i="1"/>
  <c r="V1806" i="1"/>
  <c r="X1777" i="1"/>
  <c r="W1777" i="1"/>
  <c r="W1742" i="1"/>
  <c r="V1742" i="1"/>
  <c r="X1713" i="1"/>
  <c r="W1713" i="1"/>
  <c r="X1694" i="1"/>
  <c r="W1694" i="1"/>
  <c r="V1694" i="1"/>
  <c r="X1662" i="1"/>
  <c r="W1662" i="1"/>
  <c r="V1662" i="1"/>
  <c r="X1642" i="1"/>
  <c r="V1642" i="1"/>
  <c r="X1626" i="1"/>
  <c r="V1626" i="1"/>
  <c r="X1610" i="1"/>
  <c r="V1610" i="1"/>
  <c r="X1594" i="1"/>
  <c r="V1594" i="1"/>
  <c r="X1578" i="1"/>
  <c r="V1578" i="1"/>
  <c r="X1483" i="1"/>
  <c r="V1483" i="1"/>
  <c r="X1476" i="1"/>
  <c r="V1476" i="1"/>
  <c r="X1473" i="1"/>
  <c r="W1473" i="1"/>
  <c r="V1473" i="1"/>
  <c r="X1457" i="1"/>
  <c r="V1457" i="1"/>
  <c r="X1440" i="1"/>
  <c r="W1440" i="1"/>
  <c r="V1440" i="1"/>
  <c r="X1438" i="1"/>
  <c r="V1438" i="1"/>
  <c r="X1435" i="1"/>
  <c r="W1435" i="1"/>
  <c r="V1435" i="1"/>
  <c r="X1428" i="1"/>
  <c r="W1428" i="1"/>
  <c r="V1428" i="1"/>
  <c r="W2199" i="1"/>
  <c r="W2191" i="1"/>
  <c r="W2183" i="1"/>
  <c r="W2175" i="1"/>
  <c r="W2167" i="1"/>
  <c r="W2159" i="1"/>
  <c r="W2151" i="1"/>
  <c r="W2143" i="1"/>
  <c r="W2127" i="1"/>
  <c r="W2119" i="1"/>
  <c r="W2111" i="1"/>
  <c r="W2030" i="1"/>
  <c r="W2016" i="1"/>
  <c r="W2011" i="1"/>
  <c r="W2004" i="1"/>
  <c r="X1997" i="1"/>
  <c r="W1985" i="1"/>
  <c r="X1978" i="1"/>
  <c r="X1862" i="1"/>
  <c r="X1830" i="1"/>
  <c r="W1798" i="1"/>
  <c r="V1798" i="1"/>
  <c r="X1769" i="1"/>
  <c r="W1769" i="1"/>
  <c r="W1734" i="1"/>
  <c r="V1734" i="1"/>
  <c r="X1705" i="1"/>
  <c r="W1705" i="1"/>
  <c r="X1673" i="1"/>
  <c r="W1673" i="1"/>
  <c r="X1488" i="1"/>
  <c r="V1488" i="1"/>
  <c r="V1466" i="1"/>
  <c r="X1466" i="1"/>
  <c r="W1466" i="1"/>
  <c r="V1450" i="1"/>
  <c r="W1450" i="1"/>
  <c r="W1421" i="1"/>
  <c r="X1421" i="1"/>
  <c r="V1421" i="1"/>
  <c r="V2201" i="1"/>
  <c r="V2193" i="1"/>
  <c r="V2185" i="1"/>
  <c r="V2177" i="1"/>
  <c r="V2169" i="1"/>
  <c r="V2161" i="1"/>
  <c r="V2153" i="1"/>
  <c r="V2145" i="1"/>
  <c r="V2137" i="1"/>
  <c r="V2129" i="1"/>
  <c r="V2121" i="1"/>
  <c r="V2113" i="1"/>
  <c r="V2096" i="1"/>
  <c r="V2091" i="1"/>
  <c r="V2084" i="1"/>
  <c r="V2077" i="1"/>
  <c r="V2065" i="1"/>
  <c r="W2058" i="1"/>
  <c r="V2046" i="1"/>
  <c r="V2032" i="1"/>
  <c r="V2027" i="1"/>
  <c r="V2020" i="1"/>
  <c r="V2013" i="1"/>
  <c r="V2001" i="1"/>
  <c r="W1994" i="1"/>
  <c r="V1982" i="1"/>
  <c r="V1968" i="1"/>
  <c r="V1963" i="1"/>
  <c r="V1956" i="1"/>
  <c r="V1949" i="1"/>
  <c r="V1937" i="1"/>
  <c r="W1930" i="1"/>
  <c r="V1918" i="1"/>
  <c r="V1902" i="1"/>
  <c r="V1885" i="1"/>
  <c r="V1870" i="1"/>
  <c r="V1853" i="1"/>
  <c r="V1838" i="1"/>
  <c r="X1806" i="1"/>
  <c r="V1804" i="1"/>
  <c r="W1802" i="1"/>
  <c r="V1777" i="1"/>
  <c r="V1773" i="1"/>
  <c r="X1742" i="1"/>
  <c r="V1740" i="1"/>
  <c r="W1738" i="1"/>
  <c r="V1713" i="1"/>
  <c r="V1709" i="1"/>
  <c r="V1692" i="1"/>
  <c r="W1690" i="1"/>
  <c r="V1660" i="1"/>
  <c r="W1658" i="1"/>
  <c r="W1642" i="1"/>
  <c r="W1626" i="1"/>
  <c r="W1610" i="1"/>
  <c r="W1594" i="1"/>
  <c r="W1578" i="1"/>
  <c r="W1483" i="1"/>
  <c r="W1476" i="1"/>
  <c r="W1457" i="1"/>
  <c r="W1438" i="1"/>
  <c r="X1825" i="1"/>
  <c r="W1825" i="1"/>
  <c r="W1790" i="1"/>
  <c r="V1790" i="1"/>
  <c r="X1761" i="1"/>
  <c r="W1761" i="1"/>
  <c r="W1726" i="1"/>
  <c r="V1726" i="1"/>
  <c r="X1686" i="1"/>
  <c r="W1686" i="1"/>
  <c r="V1686" i="1"/>
  <c r="X1654" i="1"/>
  <c r="W1654" i="1"/>
  <c r="V1654" i="1"/>
  <c r="X1638" i="1"/>
  <c r="W1638" i="1"/>
  <c r="V1638" i="1"/>
  <c r="X1622" i="1"/>
  <c r="W1622" i="1"/>
  <c r="V1622" i="1"/>
  <c r="X1606" i="1"/>
  <c r="W1606" i="1"/>
  <c r="V1606" i="1"/>
  <c r="X1590" i="1"/>
  <c r="W1590" i="1"/>
  <c r="V1590" i="1"/>
  <c r="X1553" i="1"/>
  <c r="W1553" i="1"/>
  <c r="V1553" i="1"/>
  <c r="W1469" i="1"/>
  <c r="V1469" i="1"/>
  <c r="W2201" i="1"/>
  <c r="W2193" i="1"/>
  <c r="W2185" i="1"/>
  <c r="W2177" i="1"/>
  <c r="W2169" i="1"/>
  <c r="W2161" i="1"/>
  <c r="W2153" i="1"/>
  <c r="W2145" i="1"/>
  <c r="W2137" i="1"/>
  <c r="W2129" i="1"/>
  <c r="W2121" i="1"/>
  <c r="W2113" i="1"/>
  <c r="W2096" i="1"/>
  <c r="W2091" i="1"/>
  <c r="W2084" i="1"/>
  <c r="X2077" i="1"/>
  <c r="W2065" i="1"/>
  <c r="X2058" i="1"/>
  <c r="W2046" i="1"/>
  <c r="W2032" i="1"/>
  <c r="W2027" i="1"/>
  <c r="W2001" i="1"/>
  <c r="X1994" i="1"/>
  <c r="W1968" i="1"/>
  <c r="W1963" i="1"/>
  <c r="W1956" i="1"/>
  <c r="X1949" i="1"/>
  <c r="W1937" i="1"/>
  <c r="X1930" i="1"/>
  <c r="W1918" i="1"/>
  <c r="X1902" i="1"/>
  <c r="X1885" i="1"/>
  <c r="X1870" i="1"/>
  <c r="X1853" i="1"/>
  <c r="X1838" i="1"/>
  <c r="W1804" i="1"/>
  <c r="X1773" i="1"/>
  <c r="W1740" i="1"/>
  <c r="X1738" i="1"/>
  <c r="X1709" i="1"/>
  <c r="W1692" i="1"/>
  <c r="X1690" i="1"/>
  <c r="W1660" i="1"/>
  <c r="X1658" i="1"/>
  <c r="X1817" i="1"/>
  <c r="W1817" i="1"/>
  <c r="W1782" i="1"/>
  <c r="V1782" i="1"/>
  <c r="X1753" i="1"/>
  <c r="W1753" i="1"/>
  <c r="W1718" i="1"/>
  <c r="V1718" i="1"/>
  <c r="X1697" i="1"/>
  <c r="W1697" i="1"/>
  <c r="X1665" i="1"/>
  <c r="W1665" i="1"/>
  <c r="X1652" i="1"/>
  <c r="V1652" i="1"/>
  <c r="X1636" i="1"/>
  <c r="V1636" i="1"/>
  <c r="X1620" i="1"/>
  <c r="V1620" i="1"/>
  <c r="X1604" i="1"/>
  <c r="V1604" i="1"/>
  <c r="X1588" i="1"/>
  <c r="V1588" i="1"/>
  <c r="X1572" i="1"/>
  <c r="W1572" i="1"/>
  <c r="V1572" i="1"/>
  <c r="W1565" i="1"/>
  <c r="X1565" i="1"/>
  <c r="V1565" i="1"/>
  <c r="X1556" i="1"/>
  <c r="V1556" i="1"/>
  <c r="W1549" i="1"/>
  <c r="V1549" i="1"/>
  <c r="V1546" i="1"/>
  <c r="X1546" i="1"/>
  <c r="W1546" i="1"/>
  <c r="W2398" i="1"/>
  <c r="W2390" i="1"/>
  <c r="W2382" i="1"/>
  <c r="W2374" i="1"/>
  <c r="W2366" i="1"/>
  <c r="V2235" i="1"/>
  <c r="V2227" i="1"/>
  <c r="V2219" i="1"/>
  <c r="V2211" i="1"/>
  <c r="V2203" i="1"/>
  <c r="V2195" i="1"/>
  <c r="V2187" i="1"/>
  <c r="V2179" i="1"/>
  <c r="V2171" i="1"/>
  <c r="V2163" i="1"/>
  <c r="V2155" i="1"/>
  <c r="V2147" i="1"/>
  <c r="V2139" i="1"/>
  <c r="V2131" i="1"/>
  <c r="V2123" i="1"/>
  <c r="V2115" i="1"/>
  <c r="V2107" i="1"/>
  <c r="V2100" i="1"/>
  <c r="V2093" i="1"/>
  <c r="V2081" i="1"/>
  <c r="W2074" i="1"/>
  <c r="V2062" i="1"/>
  <c r="V2048" i="1"/>
  <c r="V2043" i="1"/>
  <c r="V2036" i="1"/>
  <c r="V2029" i="1"/>
  <c r="V2017" i="1"/>
  <c r="W2010" i="1"/>
  <c r="V1998" i="1"/>
  <c r="V1984" i="1"/>
  <c r="V1979" i="1"/>
  <c r="V1972" i="1"/>
  <c r="V1965" i="1"/>
  <c r="V1953" i="1"/>
  <c r="W1946" i="1"/>
  <c r="V1934" i="1"/>
  <c r="V1920" i="1"/>
  <c r="V1915" i="1"/>
  <c r="V1908" i="1"/>
  <c r="V1893" i="1"/>
  <c r="V1878" i="1"/>
  <c r="V1861" i="1"/>
  <c r="V1846" i="1"/>
  <c r="V1829" i="1"/>
  <c r="V1825" i="1"/>
  <c r="V1821" i="1"/>
  <c r="X1790" i="1"/>
  <c r="V1761" i="1"/>
  <c r="V1757" i="1"/>
  <c r="X1809" i="1"/>
  <c r="W1809" i="1"/>
  <c r="W1774" i="1"/>
  <c r="V1774" i="1"/>
  <c r="X1745" i="1"/>
  <c r="W1745" i="1"/>
  <c r="W1710" i="1"/>
  <c r="V1710" i="1"/>
  <c r="X1678" i="1"/>
  <c r="W1678" i="1"/>
  <c r="V1678" i="1"/>
  <c r="X1650" i="1"/>
  <c r="V1650" i="1"/>
  <c r="X1634" i="1"/>
  <c r="V1634" i="1"/>
  <c r="X1618" i="1"/>
  <c r="V1618" i="1"/>
  <c r="X1602" i="1"/>
  <c r="V1602" i="1"/>
  <c r="X1586" i="1"/>
  <c r="V1586" i="1"/>
  <c r="X1563" i="1"/>
  <c r="V1563" i="1"/>
  <c r="X1518" i="1"/>
  <c r="W1518" i="1"/>
  <c r="V1518" i="1"/>
  <c r="V2416" i="1"/>
  <c r="V2408" i="1"/>
  <c r="V2400" i="1"/>
  <c r="V2392" i="1"/>
  <c r="V2384" i="1"/>
  <c r="V2376" i="1"/>
  <c r="V2368" i="1"/>
  <c r="V2360" i="1"/>
  <c r="V2352" i="1"/>
  <c r="V2344" i="1"/>
  <c r="V2336" i="1"/>
  <c r="V2328" i="1"/>
  <c r="V2320" i="1"/>
  <c r="V2312" i="1"/>
  <c r="V2304" i="1"/>
  <c r="V2296" i="1"/>
  <c r="V2288" i="1"/>
  <c r="V2280" i="1"/>
  <c r="V2272" i="1"/>
  <c r="V2264" i="1"/>
  <c r="V2256" i="1"/>
  <c r="V2248" i="1"/>
  <c r="V2240" i="1"/>
  <c r="W2235" i="1"/>
  <c r="V2232" i="1"/>
  <c r="W2227" i="1"/>
  <c r="V2224" i="1"/>
  <c r="W2219" i="1"/>
  <c r="V2216" i="1"/>
  <c r="W2211" i="1"/>
  <c r="V2208" i="1"/>
  <c r="W2203" i="1"/>
  <c r="V2200" i="1"/>
  <c r="W2195" i="1"/>
  <c r="V2192" i="1"/>
  <c r="W2187" i="1"/>
  <c r="V2184" i="1"/>
  <c r="W2179" i="1"/>
  <c r="V2176" i="1"/>
  <c r="W2171" i="1"/>
  <c r="V2168" i="1"/>
  <c r="W2163" i="1"/>
  <c r="V2160" i="1"/>
  <c r="W2155" i="1"/>
  <c r="V2152" i="1"/>
  <c r="W2147" i="1"/>
  <c r="V2144" i="1"/>
  <c r="W2139" i="1"/>
  <c r="V2136" i="1"/>
  <c r="W2131" i="1"/>
  <c r="V2128" i="1"/>
  <c r="W2123" i="1"/>
  <c r="V2120" i="1"/>
  <c r="W2115" i="1"/>
  <c r="V2112" i="1"/>
  <c r="W2107" i="1"/>
  <c r="V2102" i="1"/>
  <c r="W2100" i="1"/>
  <c r="X2093" i="1"/>
  <c r="V2088" i="1"/>
  <c r="V2083" i="1"/>
  <c r="W2081" i="1"/>
  <c r="V2076" i="1"/>
  <c r="X2074" i="1"/>
  <c r="V2069" i="1"/>
  <c r="W2062" i="1"/>
  <c r="V2057" i="1"/>
  <c r="W2050" i="1"/>
  <c r="W2048" i="1"/>
  <c r="W2043" i="1"/>
  <c r="V2038" i="1"/>
  <c r="W2036" i="1"/>
  <c r="X2029" i="1"/>
  <c r="V2024" i="1"/>
  <c r="V2019" i="1"/>
  <c r="W2017" i="1"/>
  <c r="V2012" i="1"/>
  <c r="X2010" i="1"/>
  <c r="V2005" i="1"/>
  <c r="W1998" i="1"/>
  <c r="V1993" i="1"/>
  <c r="W1986" i="1"/>
  <c r="W1984" i="1"/>
  <c r="W1979" i="1"/>
  <c r="V1974" i="1"/>
  <c r="W1972" i="1"/>
  <c r="X1965" i="1"/>
  <c r="V1960" i="1"/>
  <c r="V1955" i="1"/>
  <c r="W1953" i="1"/>
  <c r="V1948" i="1"/>
  <c r="X1946" i="1"/>
  <c r="V1941" i="1"/>
  <c r="W1934" i="1"/>
  <c r="V1929" i="1"/>
  <c r="W1922" i="1"/>
  <c r="W1920" i="1"/>
  <c r="W1915" i="1"/>
  <c r="V1910" i="1"/>
  <c r="W1908" i="1"/>
  <c r="W1899" i="1"/>
  <c r="V1897" i="1"/>
  <c r="X1893" i="1"/>
  <c r="V1884" i="1"/>
  <c r="W1882" i="1"/>
  <c r="X1878" i="1"/>
  <c r="W1867" i="1"/>
  <c r="V1865" i="1"/>
  <c r="X1861" i="1"/>
  <c r="V1852" i="1"/>
  <c r="W1850" i="1"/>
  <c r="X1846" i="1"/>
  <c r="W1835" i="1"/>
  <c r="V1833" i="1"/>
  <c r="X1829" i="1"/>
  <c r="X1821" i="1"/>
  <c r="V1817" i="1"/>
  <c r="V1813" i="1"/>
  <c r="W1788" i="1"/>
  <c r="X1786" i="1"/>
  <c r="X1782" i="1"/>
  <c r="V1780" i="1"/>
  <c r="W1778" i="1"/>
  <c r="X1757" i="1"/>
  <c r="V1753" i="1"/>
  <c r="V1749" i="1"/>
  <c r="W1724" i="1"/>
  <c r="X1722" i="1"/>
  <c r="X1718" i="1"/>
  <c r="V1716" i="1"/>
  <c r="W1714" i="1"/>
  <c r="V1697" i="1"/>
  <c r="W1684" i="1"/>
  <c r="X1682" i="1"/>
  <c r="V1665" i="1"/>
  <c r="W1652" i="1"/>
  <c r="W1636" i="1"/>
  <c r="W1620" i="1"/>
  <c r="W1604" i="1"/>
  <c r="W1588" i="1"/>
  <c r="W1556" i="1"/>
  <c r="X1549" i="1"/>
  <c r="X1801" i="1"/>
  <c r="W1801" i="1"/>
  <c r="W1766" i="1"/>
  <c r="V1766" i="1"/>
  <c r="X1737" i="1"/>
  <c r="W1737" i="1"/>
  <c r="X1689" i="1"/>
  <c r="W1689" i="1"/>
  <c r="X1657" i="1"/>
  <c r="W1657" i="1"/>
  <c r="X1568" i="1"/>
  <c r="V1568" i="1"/>
  <c r="X1566" i="1"/>
  <c r="V1566" i="1"/>
  <c r="X1547" i="1"/>
  <c r="V1547" i="1"/>
  <c r="X1540" i="1"/>
  <c r="V1540" i="1"/>
  <c r="X1537" i="1"/>
  <c r="W1537" i="1"/>
  <c r="V1537" i="1"/>
  <c r="X1521" i="1"/>
  <c r="V1521" i="1"/>
  <c r="X1504" i="1"/>
  <c r="W1504" i="1"/>
  <c r="V1504" i="1"/>
  <c r="X1502" i="1"/>
  <c r="V1502" i="1"/>
  <c r="X1499" i="1"/>
  <c r="W1499" i="1"/>
  <c r="V1499" i="1"/>
  <c r="X1492" i="1"/>
  <c r="W1492" i="1"/>
  <c r="V1492" i="1"/>
  <c r="W2088" i="1"/>
  <c r="X2069" i="1"/>
  <c r="X2050" i="1"/>
  <c r="W2024" i="1"/>
  <c r="X2005" i="1"/>
  <c r="X1986" i="1"/>
  <c r="W1960" i="1"/>
  <c r="X1941" i="1"/>
  <c r="X1922" i="1"/>
  <c r="X1899" i="1"/>
  <c r="W1897" i="1"/>
  <c r="V1886" i="1"/>
  <c r="X1882" i="1"/>
  <c r="V1869" i="1"/>
  <c r="X1867" i="1"/>
  <c r="W1865" i="1"/>
  <c r="V1854" i="1"/>
  <c r="X1850" i="1"/>
  <c r="V1837" i="1"/>
  <c r="X1835" i="1"/>
  <c r="W1833" i="1"/>
  <c r="X1813" i="1"/>
  <c r="V1809" i="1"/>
  <c r="V1805" i="1"/>
  <c r="W1780" i="1"/>
  <c r="X1778" i="1"/>
  <c r="X1774" i="1"/>
  <c r="V1772" i="1"/>
  <c r="W1770" i="1"/>
  <c r="X1749" i="1"/>
  <c r="V1745" i="1"/>
  <c r="V1741" i="1"/>
  <c r="W1716" i="1"/>
  <c r="X1714" i="1"/>
  <c r="X1710" i="1"/>
  <c r="V1708" i="1"/>
  <c r="W1706" i="1"/>
  <c r="V1676" i="1"/>
  <c r="W1618" i="1"/>
  <c r="W1602" i="1"/>
  <c r="W1586" i="1"/>
  <c r="W1563" i="1"/>
  <c r="W1822" i="1"/>
  <c r="V1822" i="1"/>
  <c r="X1793" i="1"/>
  <c r="W1793" i="1"/>
  <c r="W1758" i="1"/>
  <c r="V1758" i="1"/>
  <c r="X1729" i="1"/>
  <c r="W1729" i="1"/>
  <c r="X1702" i="1"/>
  <c r="W1702" i="1"/>
  <c r="V1702" i="1"/>
  <c r="X1670" i="1"/>
  <c r="W1670" i="1"/>
  <c r="V1670" i="1"/>
  <c r="X1646" i="1"/>
  <c r="W1646" i="1"/>
  <c r="V1646" i="1"/>
  <c r="X1630" i="1"/>
  <c r="W1630" i="1"/>
  <c r="V1630" i="1"/>
  <c r="X1614" i="1"/>
  <c r="W1614" i="1"/>
  <c r="V1614" i="1"/>
  <c r="X1598" i="1"/>
  <c r="W1598" i="1"/>
  <c r="V1598" i="1"/>
  <c r="X1582" i="1"/>
  <c r="W1582" i="1"/>
  <c r="V1582" i="1"/>
  <c r="V1530" i="1"/>
  <c r="X1530" i="1"/>
  <c r="W1530" i="1"/>
  <c r="V1514" i="1"/>
  <c r="W1514" i="1"/>
  <c r="W1485" i="1"/>
  <c r="X1485" i="1"/>
  <c r="V1485" i="1"/>
  <c r="W1568" i="1"/>
  <c r="W1566" i="1"/>
  <c r="W1547" i="1"/>
  <c r="W1176" i="1"/>
  <c r="X1176" i="1"/>
  <c r="W1168" i="1"/>
  <c r="X1168" i="1"/>
  <c r="W1160" i="1"/>
  <c r="X1160" i="1"/>
  <c r="W1152" i="1"/>
  <c r="X1152" i="1"/>
  <c r="W1144" i="1"/>
  <c r="X1144" i="1"/>
  <c r="X1089" i="1"/>
  <c r="W1089" i="1"/>
  <c r="W1078" i="1"/>
  <c r="V1078" i="1"/>
  <c r="V1069" i="1"/>
  <c r="W1069" i="1"/>
  <c r="X1025" i="1"/>
  <c r="W1025" i="1"/>
  <c r="X1020" i="1"/>
  <c r="W1020" i="1"/>
  <c r="V1006" i="1"/>
  <c r="W1006" i="1"/>
  <c r="X989" i="1"/>
  <c r="W989" i="1"/>
  <c r="V989" i="1"/>
  <c r="W1576" i="1"/>
  <c r="X1557" i="1"/>
  <c r="X1538" i="1"/>
  <c r="W1512" i="1"/>
  <c r="X1493" i="1"/>
  <c r="X1474" i="1"/>
  <c r="W1448" i="1"/>
  <c r="X1429" i="1"/>
  <c r="V1424" i="1"/>
  <c r="V1419" i="1"/>
  <c r="V1412" i="1"/>
  <c r="X1410" i="1"/>
  <c r="V1405" i="1"/>
  <c r="V1393" i="1"/>
  <c r="W1386" i="1"/>
  <c r="W1384" i="1"/>
  <c r="V1374" i="1"/>
  <c r="X1365" i="1"/>
  <c r="V1360" i="1"/>
  <c r="X1358" i="1"/>
  <c r="V1355" i="1"/>
  <c r="V1348" i="1"/>
  <c r="X1346" i="1"/>
  <c r="V1341" i="1"/>
  <c r="X1339" i="1"/>
  <c r="X1332" i="1"/>
  <c r="V1329" i="1"/>
  <c r="W1322" i="1"/>
  <c r="W1320" i="1"/>
  <c r="X1313" i="1"/>
  <c r="V1310" i="1"/>
  <c r="X1301" i="1"/>
  <c r="V1296" i="1"/>
  <c r="X1294" i="1"/>
  <c r="V1291" i="1"/>
  <c r="V1284" i="1"/>
  <c r="X1282" i="1"/>
  <c r="V1277" i="1"/>
  <c r="X1275" i="1"/>
  <c r="X1268" i="1"/>
  <c r="V1265" i="1"/>
  <c r="W1258" i="1"/>
  <c r="W1256" i="1"/>
  <c r="X1249" i="1"/>
  <c r="V1246" i="1"/>
  <c r="X1237" i="1"/>
  <c r="V1232" i="1"/>
  <c r="X1230" i="1"/>
  <c r="V1227" i="1"/>
  <c r="V1220" i="1"/>
  <c r="X1218" i="1"/>
  <c r="V1213" i="1"/>
  <c r="X1211" i="1"/>
  <c r="X1204" i="1"/>
  <c r="V1201" i="1"/>
  <c r="W1194" i="1"/>
  <c r="W1192" i="1"/>
  <c r="X1185" i="1"/>
  <c r="W1174" i="1"/>
  <c r="W1166" i="1"/>
  <c r="W1158" i="1"/>
  <c r="W1150" i="1"/>
  <c r="W1142" i="1"/>
  <c r="X1121" i="1"/>
  <c r="V1113" i="1"/>
  <c r="W1084" i="1"/>
  <c r="V1060" i="1"/>
  <c r="W1136" i="1"/>
  <c r="X1136" i="1"/>
  <c r="V1109" i="1"/>
  <c r="W1109" i="1"/>
  <c r="X1065" i="1"/>
  <c r="W1065" i="1"/>
  <c r="W1054" i="1"/>
  <c r="V1054" i="1"/>
  <c r="V1045" i="1"/>
  <c r="W1045" i="1"/>
  <c r="X949" i="1"/>
  <c r="W949" i="1"/>
  <c r="V949" i="1"/>
  <c r="W1128" i="1"/>
  <c r="X1128" i="1"/>
  <c r="X1105" i="1"/>
  <c r="W1105" i="1"/>
  <c r="W1094" i="1"/>
  <c r="V1094" i="1"/>
  <c r="V1085" i="1"/>
  <c r="W1085" i="1"/>
  <c r="X1041" i="1"/>
  <c r="W1041" i="1"/>
  <c r="W1030" i="1"/>
  <c r="V1030" i="1"/>
  <c r="V1409" i="1"/>
  <c r="W1402" i="1"/>
  <c r="V1390" i="1"/>
  <c r="V1376" i="1"/>
  <c r="V1371" i="1"/>
  <c r="V1364" i="1"/>
  <c r="V1357" i="1"/>
  <c r="V1345" i="1"/>
  <c r="W1338" i="1"/>
  <c r="V1326" i="1"/>
  <c r="V1312" i="1"/>
  <c r="V1307" i="1"/>
  <c r="V1300" i="1"/>
  <c r="V1293" i="1"/>
  <c r="V1281" i="1"/>
  <c r="W1274" i="1"/>
  <c r="V1262" i="1"/>
  <c r="V1248" i="1"/>
  <c r="V1243" i="1"/>
  <c r="V1236" i="1"/>
  <c r="V1229" i="1"/>
  <c r="V1217" i="1"/>
  <c r="W1210" i="1"/>
  <c r="V1198" i="1"/>
  <c r="V1184" i="1"/>
  <c r="V1136" i="1"/>
  <c r="V1132" i="1"/>
  <c r="W1126" i="1"/>
  <c r="X1109" i="1"/>
  <c r="V1076" i="1"/>
  <c r="V1065" i="1"/>
  <c r="X1054" i="1"/>
  <c r="X1045" i="1"/>
  <c r="W1120" i="1"/>
  <c r="X1120" i="1"/>
  <c r="X1081" i="1"/>
  <c r="W1081" i="1"/>
  <c r="W1070" i="1"/>
  <c r="V1070" i="1"/>
  <c r="V1061" i="1"/>
  <c r="W1061" i="1"/>
  <c r="X996" i="1"/>
  <c r="W996" i="1"/>
  <c r="V996" i="1"/>
  <c r="X994" i="1"/>
  <c r="V994" i="1"/>
  <c r="W1409" i="1"/>
  <c r="X1402" i="1"/>
  <c r="W1390" i="1"/>
  <c r="W1376" i="1"/>
  <c r="W1371" i="1"/>
  <c r="W1364" i="1"/>
  <c r="X1357" i="1"/>
  <c r="W1345" i="1"/>
  <c r="X1338" i="1"/>
  <c r="W1326" i="1"/>
  <c r="W1312" i="1"/>
  <c r="W1307" i="1"/>
  <c r="W1300" i="1"/>
  <c r="X1293" i="1"/>
  <c r="W1281" i="1"/>
  <c r="X1274" i="1"/>
  <c r="W1262" i="1"/>
  <c r="W1248" i="1"/>
  <c r="W1243" i="1"/>
  <c r="W1236" i="1"/>
  <c r="X1229" i="1"/>
  <c r="W1217" i="1"/>
  <c r="X1210" i="1"/>
  <c r="W1198" i="1"/>
  <c r="W1184" i="1"/>
  <c r="W1132" i="1"/>
  <c r="X1126" i="1"/>
  <c r="W1076" i="1"/>
  <c r="V1173" i="1"/>
  <c r="W1173" i="1"/>
  <c r="V1165" i="1"/>
  <c r="W1165" i="1"/>
  <c r="V1157" i="1"/>
  <c r="W1157" i="1"/>
  <c r="V1149" i="1"/>
  <c r="W1149" i="1"/>
  <c r="V1141" i="1"/>
  <c r="W1141" i="1"/>
  <c r="W1112" i="1"/>
  <c r="X1112" i="1"/>
  <c r="W1110" i="1"/>
  <c r="V1110" i="1"/>
  <c r="V1101" i="1"/>
  <c r="W1101" i="1"/>
  <c r="X1057" i="1"/>
  <c r="W1057" i="1"/>
  <c r="W1046" i="1"/>
  <c r="V1046" i="1"/>
  <c r="V1037" i="1"/>
  <c r="W1037" i="1"/>
  <c r="X1010" i="1"/>
  <c r="W1010" i="1"/>
  <c r="V1010" i="1"/>
  <c r="W1649" i="1"/>
  <c r="W1641" i="1"/>
  <c r="W1633" i="1"/>
  <c r="W1625" i="1"/>
  <c r="W1617" i="1"/>
  <c r="W1609" i="1"/>
  <c r="W1601" i="1"/>
  <c r="W1593" i="1"/>
  <c r="W1585" i="1"/>
  <c r="W1577" i="1"/>
  <c r="X1570" i="1"/>
  <c r="W1558" i="1"/>
  <c r="W1544" i="1"/>
  <c r="W1539" i="1"/>
  <c r="V1534" i="1"/>
  <c r="W1532" i="1"/>
  <c r="X1525" i="1"/>
  <c r="V1520" i="1"/>
  <c r="V1515" i="1"/>
  <c r="W1513" i="1"/>
  <c r="V1508" i="1"/>
  <c r="X1506" i="1"/>
  <c r="V1501" i="1"/>
  <c r="W1494" i="1"/>
  <c r="V1489" i="1"/>
  <c r="W1482" i="1"/>
  <c r="W1480" i="1"/>
  <c r="W1475" i="1"/>
  <c r="V1470" i="1"/>
  <c r="W1468" i="1"/>
  <c r="X1461" i="1"/>
  <c r="V1456" i="1"/>
  <c r="V1451" i="1"/>
  <c r="W1449" i="1"/>
  <c r="V1444" i="1"/>
  <c r="X1442" i="1"/>
  <c r="V1437" i="1"/>
  <c r="W1430" i="1"/>
  <c r="V1425" i="1"/>
  <c r="W1418" i="1"/>
  <c r="W1416" i="1"/>
  <c r="W1411" i="1"/>
  <c r="V1406" i="1"/>
  <c r="W1404" i="1"/>
  <c r="X1397" i="1"/>
  <c r="V1392" i="1"/>
  <c r="V1387" i="1"/>
  <c r="W1385" i="1"/>
  <c r="V1380" i="1"/>
  <c r="X1378" i="1"/>
  <c r="V1373" i="1"/>
  <c r="W1366" i="1"/>
  <c r="V1361" i="1"/>
  <c r="W1354" i="1"/>
  <c r="W1352" i="1"/>
  <c r="W1347" i="1"/>
  <c r="V1342" i="1"/>
  <c r="W1340" i="1"/>
  <c r="X1333" i="1"/>
  <c r="V1328" i="1"/>
  <c r="V1323" i="1"/>
  <c r="W1321" i="1"/>
  <c r="V1316" i="1"/>
  <c r="X1314" i="1"/>
  <c r="V1309" i="1"/>
  <c r="W1302" i="1"/>
  <c r="V1297" i="1"/>
  <c r="W1290" i="1"/>
  <c r="W1288" i="1"/>
  <c r="W1283" i="1"/>
  <c r="V1278" i="1"/>
  <c r="W1276" i="1"/>
  <c r="X1269" i="1"/>
  <c r="V1264" i="1"/>
  <c r="V1259" i="1"/>
  <c r="W1257" i="1"/>
  <c r="V1252" i="1"/>
  <c r="X1250" i="1"/>
  <c r="V1245" i="1"/>
  <c r="W1238" i="1"/>
  <c r="V1233" i="1"/>
  <c r="W1226" i="1"/>
  <c r="W1224" i="1"/>
  <c r="W1219" i="1"/>
  <c r="V1214" i="1"/>
  <c r="W1212" i="1"/>
  <c r="V1200" i="1"/>
  <c r="V1195" i="1"/>
  <c r="V1188" i="1"/>
  <c r="V1177" i="1"/>
  <c r="V1169" i="1"/>
  <c r="V1161" i="1"/>
  <c r="V1153" i="1"/>
  <c r="V1145" i="1"/>
  <c r="W1124" i="1"/>
  <c r="V1120" i="1"/>
  <c r="X1118" i="1"/>
  <c r="V1116" i="1"/>
  <c r="V1092" i="1"/>
  <c r="V1081" i="1"/>
  <c r="X1070" i="1"/>
  <c r="X1061" i="1"/>
  <c r="V1028" i="1"/>
  <c r="W994" i="1"/>
  <c r="V1133" i="1"/>
  <c r="W1133" i="1"/>
  <c r="X1097" i="1"/>
  <c r="W1097" i="1"/>
  <c r="W1086" i="1"/>
  <c r="V1086" i="1"/>
  <c r="V1077" i="1"/>
  <c r="W1077" i="1"/>
  <c r="X1033" i="1"/>
  <c r="W1033" i="1"/>
  <c r="X962" i="1"/>
  <c r="W962" i="1"/>
  <c r="V962" i="1"/>
  <c r="V1560" i="1"/>
  <c r="V1555" i="1"/>
  <c r="V1548" i="1"/>
  <c r="V1541" i="1"/>
  <c r="W1534" i="1"/>
  <c r="V1529" i="1"/>
  <c r="W1522" i="1"/>
  <c r="W1520" i="1"/>
  <c r="W1515" i="1"/>
  <c r="V1510" i="1"/>
  <c r="W1508" i="1"/>
  <c r="X1501" i="1"/>
  <c r="V1496" i="1"/>
  <c r="V1491" i="1"/>
  <c r="W1489" i="1"/>
  <c r="V1484" i="1"/>
  <c r="X1482" i="1"/>
  <c r="V1477" i="1"/>
  <c r="W1470" i="1"/>
  <c r="V1465" i="1"/>
  <c r="W1458" i="1"/>
  <c r="W1456" i="1"/>
  <c r="W1451" i="1"/>
  <c r="V1446" i="1"/>
  <c r="W1444" i="1"/>
  <c r="X1437" i="1"/>
  <c r="V1432" i="1"/>
  <c r="V1427" i="1"/>
  <c r="W1425" i="1"/>
  <c r="V1420" i="1"/>
  <c r="X1418" i="1"/>
  <c r="V1413" i="1"/>
  <c r="W1406" i="1"/>
  <c r="V1401" i="1"/>
  <c r="W1394" i="1"/>
  <c r="W1392" i="1"/>
  <c r="W1387" i="1"/>
  <c r="V1382" i="1"/>
  <c r="W1380" i="1"/>
  <c r="X1373" i="1"/>
  <c r="V1368" i="1"/>
  <c r="V1363" i="1"/>
  <c r="W1361" i="1"/>
  <c r="V1356" i="1"/>
  <c r="X1354" i="1"/>
  <c r="V1349" i="1"/>
  <c r="W1342" i="1"/>
  <c r="V1337" i="1"/>
  <c r="W1330" i="1"/>
  <c r="W1328" i="1"/>
  <c r="W1323" i="1"/>
  <c r="V1318" i="1"/>
  <c r="W1316" i="1"/>
  <c r="X1309" i="1"/>
  <c r="V1304" i="1"/>
  <c r="V1299" i="1"/>
  <c r="W1297" i="1"/>
  <c r="V1292" i="1"/>
  <c r="X1290" i="1"/>
  <c r="V1285" i="1"/>
  <c r="W1278" i="1"/>
  <c r="V1273" i="1"/>
  <c r="W1266" i="1"/>
  <c r="W1264" i="1"/>
  <c r="W1259" i="1"/>
  <c r="V1254" i="1"/>
  <c r="W1252" i="1"/>
  <c r="X1245" i="1"/>
  <c r="V1240" i="1"/>
  <c r="V1235" i="1"/>
  <c r="W1233" i="1"/>
  <c r="V1228" i="1"/>
  <c r="X1226" i="1"/>
  <c r="V1221" i="1"/>
  <c r="W1214" i="1"/>
  <c r="V1209" i="1"/>
  <c r="W1202" i="1"/>
  <c r="W1200" i="1"/>
  <c r="W1195" i="1"/>
  <c r="V1190" i="1"/>
  <c r="W1188" i="1"/>
  <c r="V1181" i="1"/>
  <c r="X1177" i="1"/>
  <c r="X1173" i="1"/>
  <c r="X1169" i="1"/>
  <c r="X1165" i="1"/>
  <c r="X1161" i="1"/>
  <c r="X1157" i="1"/>
  <c r="X1153" i="1"/>
  <c r="X1149" i="1"/>
  <c r="X1145" i="1"/>
  <c r="X1141" i="1"/>
  <c r="V1137" i="1"/>
  <c r="W1116" i="1"/>
  <c r="V1112" i="1"/>
  <c r="X1110" i="1"/>
  <c r="X1101" i="1"/>
  <c r="W1092" i="1"/>
  <c r="V1068" i="1"/>
  <c r="V1057" i="1"/>
  <c r="X1046" i="1"/>
  <c r="X1037" i="1"/>
  <c r="W1028" i="1"/>
  <c r="V1125" i="1"/>
  <c r="W1125" i="1"/>
  <c r="X1073" i="1"/>
  <c r="W1073" i="1"/>
  <c r="W1062" i="1"/>
  <c r="V1062" i="1"/>
  <c r="V1053" i="1"/>
  <c r="W1053" i="1"/>
  <c r="X1022" i="1"/>
  <c r="W1022" i="1"/>
  <c r="V1022" i="1"/>
  <c r="X1013" i="1"/>
  <c r="V1013" i="1"/>
  <c r="X981" i="1"/>
  <c r="V981" i="1"/>
  <c r="W1560" i="1"/>
  <c r="X1541" i="1"/>
  <c r="X1522" i="1"/>
  <c r="W1496" i="1"/>
  <c r="X1477" i="1"/>
  <c r="X1458" i="1"/>
  <c r="W1432" i="1"/>
  <c r="X1413" i="1"/>
  <c r="X1394" i="1"/>
  <c r="W1368" i="1"/>
  <c r="X1349" i="1"/>
  <c r="V1344" i="1"/>
  <c r="X1330" i="1"/>
  <c r="V1325" i="1"/>
  <c r="W1306" i="1"/>
  <c r="W1304" i="1"/>
  <c r="X1285" i="1"/>
  <c r="V1280" i="1"/>
  <c r="X1266" i="1"/>
  <c r="V1261" i="1"/>
  <c r="W1242" i="1"/>
  <c r="W1240" i="1"/>
  <c r="X1221" i="1"/>
  <c r="V1216" i="1"/>
  <c r="X1202" i="1"/>
  <c r="V1197" i="1"/>
  <c r="X1181" i="1"/>
  <c r="X1137" i="1"/>
  <c r="X1133" i="1"/>
  <c r="V1129" i="1"/>
  <c r="V1108" i="1"/>
  <c r="V1097" i="1"/>
  <c r="X1086" i="1"/>
  <c r="X1077" i="1"/>
  <c r="W1068" i="1"/>
  <c r="V1044" i="1"/>
  <c r="V1033" i="1"/>
  <c r="V1117" i="1"/>
  <c r="W1117" i="1"/>
  <c r="W1102" i="1"/>
  <c r="V1102" i="1"/>
  <c r="V1093" i="1"/>
  <c r="W1093" i="1"/>
  <c r="X1049" i="1"/>
  <c r="W1049" i="1"/>
  <c r="W1038" i="1"/>
  <c r="V1038" i="1"/>
  <c r="V1029" i="1"/>
  <c r="W1029" i="1"/>
  <c r="W1044" i="1"/>
  <c r="V988" i="1"/>
  <c r="X988" i="1"/>
  <c r="V956" i="1"/>
  <c r="X956" i="1"/>
  <c r="W911" i="1"/>
  <c r="V911" i="1"/>
  <c r="X882" i="1"/>
  <c r="W882" i="1"/>
  <c r="W847" i="1"/>
  <c r="V847" i="1"/>
  <c r="X818" i="1"/>
  <c r="W818" i="1"/>
  <c r="W799" i="1"/>
  <c r="V799" i="1"/>
  <c r="X757" i="1"/>
  <c r="V757" i="1"/>
  <c r="W735" i="1"/>
  <c r="V735" i="1"/>
  <c r="W664" i="1"/>
  <c r="V664" i="1"/>
  <c r="X1104" i="1"/>
  <c r="X1096" i="1"/>
  <c r="X1088" i="1"/>
  <c r="X1080" i="1"/>
  <c r="X1072" i="1"/>
  <c r="X1064" i="1"/>
  <c r="X1056" i="1"/>
  <c r="X1048" i="1"/>
  <c r="X1040" i="1"/>
  <c r="X1032" i="1"/>
  <c r="X1024" i="1"/>
  <c r="W1021" i="1"/>
  <c r="X1014" i="1"/>
  <c r="V1009" i="1"/>
  <c r="X1007" i="1"/>
  <c r="W1002" i="1"/>
  <c r="X1000" i="1"/>
  <c r="V986" i="1"/>
  <c r="W984" i="1"/>
  <c r="X982" i="1"/>
  <c r="X967" i="1"/>
  <c r="X965" i="1"/>
  <c r="V954" i="1"/>
  <c r="W952" i="1"/>
  <c r="X950" i="1"/>
  <c r="X935" i="1"/>
  <c r="X933" i="1"/>
  <c r="W925" i="1"/>
  <c r="V917" i="1"/>
  <c r="X896" i="1"/>
  <c r="X894" i="1"/>
  <c r="W888" i="1"/>
  <c r="W886" i="1"/>
  <c r="W861" i="1"/>
  <c r="V853" i="1"/>
  <c r="X832" i="1"/>
  <c r="X830" i="1"/>
  <c r="W822" i="1"/>
  <c r="X792" i="1"/>
  <c r="W790" i="1"/>
  <c r="V768" i="1"/>
  <c r="X750" i="1"/>
  <c r="X728" i="1"/>
  <c r="W726" i="1"/>
  <c r="W903" i="1"/>
  <c r="V903" i="1"/>
  <c r="X874" i="1"/>
  <c r="W874" i="1"/>
  <c r="W839" i="1"/>
  <c r="V839" i="1"/>
  <c r="X810" i="1"/>
  <c r="W810" i="1"/>
  <c r="X797" i="1"/>
  <c r="V797" i="1"/>
  <c r="W775" i="1"/>
  <c r="V775" i="1"/>
  <c r="X733" i="1"/>
  <c r="V733" i="1"/>
  <c r="W688" i="1"/>
  <c r="V688" i="1"/>
  <c r="W671" i="1"/>
  <c r="V671" i="1"/>
  <c r="X671" i="1"/>
  <c r="X640" i="1"/>
  <c r="W640" i="1"/>
  <c r="V640" i="1"/>
  <c r="V964" i="1"/>
  <c r="X964" i="1"/>
  <c r="X930" i="1"/>
  <c r="W930" i="1"/>
  <c r="W895" i="1"/>
  <c r="V895" i="1"/>
  <c r="X866" i="1"/>
  <c r="W866" i="1"/>
  <c r="W831" i="1"/>
  <c r="V831" i="1"/>
  <c r="X773" i="1"/>
  <c r="V773" i="1"/>
  <c r="W751" i="1"/>
  <c r="V751" i="1"/>
  <c r="W711" i="1"/>
  <c r="V711" i="1"/>
  <c r="X711" i="1"/>
  <c r="W695" i="1"/>
  <c r="V695" i="1"/>
  <c r="X695" i="1"/>
  <c r="V928" i="1"/>
  <c r="X903" i="1"/>
  <c r="V901" i="1"/>
  <c r="V874" i="1"/>
  <c r="W870" i="1"/>
  <c r="V864" i="1"/>
  <c r="X839" i="1"/>
  <c r="V837" i="1"/>
  <c r="V810" i="1"/>
  <c r="W806" i="1"/>
  <c r="W797" i="1"/>
  <c r="V784" i="1"/>
  <c r="X775" i="1"/>
  <c r="W742" i="1"/>
  <c r="W733" i="1"/>
  <c r="V720" i="1"/>
  <c r="X688" i="1"/>
  <c r="X922" i="1"/>
  <c r="W922" i="1"/>
  <c r="W887" i="1"/>
  <c r="V887" i="1"/>
  <c r="X858" i="1"/>
  <c r="W858" i="1"/>
  <c r="W823" i="1"/>
  <c r="V823" i="1"/>
  <c r="W791" i="1"/>
  <c r="V791" i="1"/>
  <c r="X749" i="1"/>
  <c r="V749" i="1"/>
  <c r="W727" i="1"/>
  <c r="V727" i="1"/>
  <c r="X709" i="1"/>
  <c r="V709" i="1"/>
  <c r="W672" i="1"/>
  <c r="V672" i="1"/>
  <c r="W655" i="1"/>
  <c r="V655" i="1"/>
  <c r="X655" i="1"/>
  <c r="X648" i="1"/>
  <c r="W648" i="1"/>
  <c r="V648" i="1"/>
  <c r="W928" i="1"/>
  <c r="W901" i="1"/>
  <c r="X870" i="1"/>
  <c r="W864" i="1"/>
  <c r="W837" i="1"/>
  <c r="X806" i="1"/>
  <c r="X784" i="1"/>
  <c r="X720" i="1"/>
  <c r="V972" i="1"/>
  <c r="X972" i="1"/>
  <c r="V940" i="1"/>
  <c r="X940" i="1"/>
  <c r="X914" i="1"/>
  <c r="W914" i="1"/>
  <c r="W879" i="1"/>
  <c r="V879" i="1"/>
  <c r="X850" i="1"/>
  <c r="W850" i="1"/>
  <c r="W815" i="1"/>
  <c r="V815" i="1"/>
  <c r="X789" i="1"/>
  <c r="V789" i="1"/>
  <c r="W767" i="1"/>
  <c r="V767" i="1"/>
  <c r="X725" i="1"/>
  <c r="V725" i="1"/>
  <c r="W679" i="1"/>
  <c r="V679" i="1"/>
  <c r="X679" i="1"/>
  <c r="W1015" i="1"/>
  <c r="W1008" i="1"/>
  <c r="X1001" i="1"/>
  <c r="X983" i="1"/>
  <c r="V970" i="1"/>
  <c r="W968" i="1"/>
  <c r="X966" i="1"/>
  <c r="V957" i="1"/>
  <c r="X951" i="1"/>
  <c r="V938" i="1"/>
  <c r="W936" i="1"/>
  <c r="X934" i="1"/>
  <c r="X926" i="1"/>
  <c r="V922" i="1"/>
  <c r="W920" i="1"/>
  <c r="W918" i="1"/>
  <c r="V912" i="1"/>
  <c r="W893" i="1"/>
  <c r="X887" i="1"/>
  <c r="V885" i="1"/>
  <c r="X862" i="1"/>
  <c r="V858" i="1"/>
  <c r="W856" i="1"/>
  <c r="W854" i="1"/>
  <c r="V848" i="1"/>
  <c r="W829" i="1"/>
  <c r="X823" i="1"/>
  <c r="V821" i="1"/>
  <c r="V800" i="1"/>
  <c r="X791" i="1"/>
  <c r="X782" i="1"/>
  <c r="X760" i="1"/>
  <c r="W758" i="1"/>
  <c r="W749" i="1"/>
  <c r="V736" i="1"/>
  <c r="X727" i="1"/>
  <c r="X718" i="1"/>
  <c r="W709" i="1"/>
  <c r="X672" i="1"/>
  <c r="X906" i="1"/>
  <c r="W906" i="1"/>
  <c r="W871" i="1"/>
  <c r="V871" i="1"/>
  <c r="X842" i="1"/>
  <c r="W842" i="1"/>
  <c r="W807" i="1"/>
  <c r="V807" i="1"/>
  <c r="X765" i="1"/>
  <c r="V765" i="1"/>
  <c r="W743" i="1"/>
  <c r="V743" i="1"/>
  <c r="W656" i="1"/>
  <c r="V656" i="1"/>
  <c r="W970" i="1"/>
  <c r="W957" i="1"/>
  <c r="W938" i="1"/>
  <c r="X918" i="1"/>
  <c r="W912" i="1"/>
  <c r="W885" i="1"/>
  <c r="X854" i="1"/>
  <c r="W848" i="1"/>
  <c r="W821" i="1"/>
  <c r="X800" i="1"/>
  <c r="X758" i="1"/>
  <c r="X736" i="1"/>
  <c r="V980" i="1"/>
  <c r="X980" i="1"/>
  <c r="V948" i="1"/>
  <c r="X948" i="1"/>
  <c r="W927" i="1"/>
  <c r="V927" i="1"/>
  <c r="X898" i="1"/>
  <c r="W898" i="1"/>
  <c r="W863" i="1"/>
  <c r="V863" i="1"/>
  <c r="X834" i="1"/>
  <c r="W834" i="1"/>
  <c r="X805" i="1"/>
  <c r="V805" i="1"/>
  <c r="W783" i="1"/>
  <c r="V783" i="1"/>
  <c r="X741" i="1"/>
  <c r="V741" i="1"/>
  <c r="W719" i="1"/>
  <c r="V719" i="1"/>
  <c r="W703" i="1"/>
  <c r="V703" i="1"/>
  <c r="X703" i="1"/>
  <c r="W680" i="1"/>
  <c r="V680" i="1"/>
  <c r="W663" i="1"/>
  <c r="V663" i="1"/>
  <c r="X663" i="1"/>
  <c r="V933" i="1"/>
  <c r="V906" i="1"/>
  <c r="W902" i="1"/>
  <c r="V896" i="1"/>
  <c r="X871" i="1"/>
  <c r="V869" i="1"/>
  <c r="V842" i="1"/>
  <c r="W838" i="1"/>
  <c r="V832" i="1"/>
  <c r="X807" i="1"/>
  <c r="W774" i="1"/>
  <c r="W765" i="1"/>
  <c r="V752" i="1"/>
  <c r="X743" i="1"/>
  <c r="X656" i="1"/>
  <c r="W919" i="1"/>
  <c r="V919" i="1"/>
  <c r="X890" i="1"/>
  <c r="W890" i="1"/>
  <c r="W855" i="1"/>
  <c r="V855" i="1"/>
  <c r="X826" i="1"/>
  <c r="W826" i="1"/>
  <c r="X781" i="1"/>
  <c r="V781" i="1"/>
  <c r="W759" i="1"/>
  <c r="V759" i="1"/>
  <c r="X717" i="1"/>
  <c r="V717" i="1"/>
  <c r="X701" i="1"/>
  <c r="V701" i="1"/>
  <c r="W687" i="1"/>
  <c r="V687" i="1"/>
  <c r="X687" i="1"/>
  <c r="X632" i="1"/>
  <c r="W632" i="1"/>
  <c r="V632" i="1"/>
  <c r="W1014" i="1"/>
  <c r="W1012" i="1"/>
  <c r="W982" i="1"/>
  <c r="W980" i="1"/>
  <c r="W978" i="1"/>
  <c r="V967" i="1"/>
  <c r="W950" i="1"/>
  <c r="W948" i="1"/>
  <c r="W946" i="1"/>
  <c r="V935" i="1"/>
  <c r="X927" i="1"/>
  <c r="V925" i="1"/>
  <c r="X902" i="1"/>
  <c r="V898" i="1"/>
  <c r="W894" i="1"/>
  <c r="W869" i="1"/>
  <c r="X863" i="1"/>
  <c r="V861" i="1"/>
  <c r="X838" i="1"/>
  <c r="X774" i="1"/>
  <c r="X752" i="1"/>
  <c r="X647" i="1"/>
  <c r="X639" i="1"/>
  <c r="X631" i="1"/>
  <c r="X623" i="1"/>
  <c r="X615" i="1"/>
  <c r="X607" i="1"/>
  <c r="X599" i="1"/>
  <c r="X591" i="1"/>
  <c r="X583" i="1"/>
  <c r="X575" i="1"/>
  <c r="X567" i="1"/>
  <c r="X559" i="1"/>
  <c r="X551" i="1"/>
  <c r="X543" i="1"/>
  <c r="X535" i="1"/>
  <c r="X527" i="1"/>
  <c r="X519" i="1"/>
  <c r="X511" i="1"/>
  <c r="X503" i="1"/>
  <c r="X495" i="1"/>
  <c r="X932" i="1"/>
  <c r="X924" i="1"/>
  <c r="X916" i="1"/>
  <c r="X908" i="1"/>
  <c r="X900" i="1"/>
  <c r="X892" i="1"/>
  <c r="X884" i="1"/>
  <c r="X876" i="1"/>
  <c r="X868" i="1"/>
  <c r="X860" i="1"/>
  <c r="X852" i="1"/>
  <c r="X844" i="1"/>
  <c r="X836" i="1"/>
  <c r="X828" i="1"/>
  <c r="X820" i="1"/>
  <c r="X812" i="1"/>
  <c r="X804" i="1"/>
  <c r="X796" i="1"/>
  <c r="X788" i="1"/>
  <c r="X780" i="1"/>
  <c r="X772" i="1"/>
  <c r="X764" i="1"/>
  <c r="X756" i="1"/>
  <c r="X748" i="1"/>
  <c r="X740"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V624" i="1"/>
  <c r="V616" i="1"/>
  <c r="V608" i="1"/>
  <c r="V600" i="1"/>
  <c r="V592" i="1"/>
  <c r="V584" i="1"/>
  <c r="V576" i="1"/>
  <c r="V568" i="1"/>
  <c r="V560" i="1"/>
  <c r="V552" i="1"/>
  <c r="V544" i="1"/>
  <c r="V536" i="1"/>
  <c r="V528" i="1"/>
  <c r="V520" i="1"/>
  <c r="V512" i="1"/>
  <c r="V504" i="1"/>
  <c r="V496" i="1"/>
  <c r="V693" i="1"/>
  <c r="V685" i="1"/>
  <c r="V677" i="1"/>
  <c r="V669" i="1"/>
  <c r="V661" i="1"/>
  <c r="V653" i="1"/>
  <c r="V645" i="1"/>
  <c r="V637" i="1"/>
  <c r="V629" i="1"/>
  <c r="W624" i="1"/>
  <c r="V621" i="1"/>
  <c r="W616" i="1"/>
  <c r="V613" i="1"/>
  <c r="W608" i="1"/>
  <c r="V605" i="1"/>
  <c r="W600" i="1"/>
  <c r="V597" i="1"/>
  <c r="W592" i="1"/>
  <c r="V589" i="1"/>
  <c r="W584" i="1"/>
  <c r="V581" i="1"/>
  <c r="W576" i="1"/>
  <c r="V573" i="1"/>
  <c r="W568" i="1"/>
  <c r="V565" i="1"/>
  <c r="W560" i="1"/>
  <c r="V557" i="1"/>
  <c r="W552" i="1"/>
  <c r="V549" i="1"/>
  <c r="W544" i="1"/>
  <c r="V541" i="1"/>
  <c r="W536" i="1"/>
  <c r="V533" i="1"/>
  <c r="W528" i="1"/>
  <c r="V525" i="1"/>
  <c r="W520" i="1"/>
  <c r="V517" i="1"/>
  <c r="W512" i="1"/>
  <c r="V509" i="1"/>
  <c r="W504" i="1"/>
  <c r="V501" i="1"/>
  <c r="W496" i="1"/>
  <c r="V493" i="1"/>
  <c r="W802" i="1"/>
  <c r="W794" i="1"/>
  <c r="W786" i="1"/>
  <c r="W778" i="1"/>
  <c r="W770" i="1"/>
  <c r="W762" i="1"/>
  <c r="W754" i="1"/>
  <c r="W746" i="1"/>
  <c r="W738" i="1"/>
  <c r="W730" i="1"/>
  <c r="W722" i="1"/>
  <c r="W714" i="1"/>
  <c r="W706" i="1"/>
  <c r="W698" i="1"/>
  <c r="W690" i="1"/>
  <c r="W682" i="1"/>
  <c r="W674" i="1"/>
  <c r="W666" i="1"/>
  <c r="W658" i="1"/>
  <c r="W650" i="1"/>
  <c r="V647" i="1"/>
  <c r="W642" i="1"/>
  <c r="V639" i="1"/>
  <c r="W634" i="1"/>
  <c r="V631" i="1"/>
  <c r="W626" i="1"/>
  <c r="V623" i="1"/>
  <c r="W618" i="1"/>
  <c r="V615" i="1"/>
  <c r="W610" i="1"/>
  <c r="V607" i="1"/>
  <c r="W602" i="1"/>
  <c r="V599" i="1"/>
  <c r="W594" i="1"/>
  <c r="V591" i="1"/>
  <c r="W586" i="1"/>
  <c r="V583" i="1"/>
  <c r="W578" i="1"/>
  <c r="V575" i="1"/>
  <c r="W570" i="1"/>
  <c r="V567" i="1"/>
  <c r="W562" i="1"/>
  <c r="V559" i="1"/>
  <c r="W554" i="1"/>
  <c r="V551" i="1"/>
  <c r="W546" i="1"/>
  <c r="V543" i="1"/>
  <c r="W538" i="1"/>
  <c r="V535" i="1"/>
  <c r="W530" i="1"/>
  <c r="V527" i="1"/>
  <c r="W522" i="1"/>
  <c r="V519" i="1"/>
  <c r="W514" i="1"/>
  <c r="V511" i="1"/>
  <c r="W506" i="1"/>
  <c r="V503" i="1"/>
  <c r="W498" i="1"/>
  <c r="V495" i="1"/>
  <c r="O341" i="1"/>
  <c r="Q341" i="1" s="1"/>
  <c r="O333" i="1"/>
  <c r="O325" i="1"/>
  <c r="O317" i="1"/>
  <c r="Q317" i="1" s="1"/>
  <c r="O309" i="1"/>
  <c r="Q309" i="1" s="1"/>
  <c r="O301" i="1"/>
  <c r="O334" i="1"/>
  <c r="O326" i="1"/>
  <c r="O335" i="1"/>
  <c r="O327" i="1"/>
  <c r="O319" i="1"/>
  <c r="Q319" i="1" s="1"/>
  <c r="O311" i="1"/>
  <c r="Q311" i="1" s="1"/>
  <c r="O303" i="1"/>
  <c r="O336" i="1"/>
  <c r="O328" i="1"/>
  <c r="O337" i="1"/>
  <c r="Q337" i="1" s="1"/>
  <c r="O329" i="1"/>
  <c r="O321" i="1"/>
  <c r="O338" i="1"/>
  <c r="Q338" i="1" s="1"/>
  <c r="O330" i="1"/>
  <c r="O339" i="1"/>
  <c r="Q339" i="1" s="1"/>
  <c r="O331" i="1"/>
  <c r="Q331" i="1" s="1"/>
  <c r="O323" i="1"/>
  <c r="Q323" i="1" s="1"/>
  <c r="O307" i="1"/>
  <c r="Q307" i="1" s="1"/>
  <c r="O340" i="1"/>
  <c r="Q340" i="1" s="1"/>
  <c r="O332" i="1"/>
  <c r="O324" i="1"/>
  <c r="O308" i="1"/>
  <c r="Q308" i="1" s="1"/>
  <c r="O300" i="1"/>
  <c r="Q300" i="1" s="1"/>
  <c r="P335" i="1"/>
  <c r="P327" i="1"/>
  <c r="G327" i="1"/>
  <c r="G335" i="1"/>
  <c r="G333" i="1"/>
  <c r="D307" i="1"/>
  <c r="G323" i="1"/>
  <c r="AG312" i="1"/>
  <c r="D312" i="1"/>
  <c r="G312" i="1"/>
  <c r="P313" i="1"/>
  <c r="Q313" i="1" s="1"/>
  <c r="E314" i="1"/>
  <c r="F314" i="1" s="1"/>
  <c r="AG310" i="1"/>
  <c r="P304" i="1"/>
  <c r="Q304" i="1" s="1"/>
  <c r="D304" i="1"/>
  <c r="P312" i="1"/>
  <c r="Q312" i="1" s="1"/>
  <c r="G321" i="1"/>
  <c r="AG311" i="1"/>
  <c r="D310" i="1"/>
  <c r="D300" i="1"/>
  <c r="D303" i="1"/>
  <c r="E304" i="1"/>
  <c r="F304" i="1" s="1"/>
  <c r="P305" i="1"/>
  <c r="Q305" i="1" s="1"/>
  <c r="E308" i="1"/>
  <c r="G300" i="1"/>
  <c r="G303" i="1"/>
  <c r="E306" i="1"/>
  <c r="F306" i="1" s="1"/>
  <c r="G319" i="1"/>
  <c r="G304" i="1"/>
  <c r="E300" i="1"/>
  <c r="F300" i="1" s="1"/>
  <c r="E303" i="1"/>
  <c r="F303" i="1" s="1"/>
  <c r="G308" i="1"/>
  <c r="G311" i="1"/>
  <c r="E366" i="1"/>
  <c r="G366" i="1"/>
  <c r="P402" i="1"/>
  <c r="Q402" i="1" s="1"/>
  <c r="P302" i="1"/>
  <c r="Q302" i="1" s="1"/>
  <c r="P306" i="1"/>
  <c r="Q306" i="1" s="1"/>
  <c r="P310" i="1"/>
  <c r="Q310" i="1" s="1"/>
  <c r="P314" i="1"/>
  <c r="Q314" i="1" s="1"/>
  <c r="P318" i="1"/>
  <c r="Q318" i="1" s="1"/>
  <c r="P320" i="1"/>
  <c r="Q320" i="1" s="1"/>
  <c r="P322" i="1"/>
  <c r="Q322" i="1" s="1"/>
  <c r="P324" i="1"/>
  <c r="P326" i="1"/>
  <c r="P328" i="1"/>
  <c r="P330" i="1"/>
  <c r="P332" i="1"/>
  <c r="P334" i="1"/>
  <c r="P336" i="1"/>
  <c r="P410" i="1"/>
  <c r="Q410" i="1" s="1"/>
  <c r="E301" i="1"/>
  <c r="E302" i="1"/>
  <c r="E305" i="1"/>
  <c r="E309" i="1"/>
  <c r="D313" i="1"/>
  <c r="D318" i="1"/>
  <c r="D320" i="1"/>
  <c r="E322" i="1"/>
  <c r="E324" i="1"/>
  <c r="F324" i="1" s="1"/>
  <c r="E326" i="1"/>
  <c r="E328" i="1"/>
  <c r="D330" i="1"/>
  <c r="E332" i="1"/>
  <c r="D334" i="1"/>
  <c r="D336" i="1"/>
  <c r="P418" i="1"/>
  <c r="Q418" i="1" s="1"/>
  <c r="D302" i="1"/>
  <c r="E338" i="1"/>
  <c r="F338" i="1" s="1"/>
  <c r="G338" i="1"/>
  <c r="E339" i="1"/>
  <c r="G339" i="1"/>
  <c r="E340" i="1"/>
  <c r="F340" i="1" s="1"/>
  <c r="G340" i="1"/>
  <c r="E341" i="1"/>
  <c r="F341" i="1" s="1"/>
  <c r="G341" i="1"/>
  <c r="E342" i="1"/>
  <c r="F342" i="1" s="1"/>
  <c r="G342" i="1"/>
  <c r="E343" i="1"/>
  <c r="G343" i="1"/>
  <c r="E344" i="1"/>
  <c r="F344" i="1" s="1"/>
  <c r="G344" i="1"/>
  <c r="E345" i="1"/>
  <c r="G345" i="1"/>
  <c r="E346" i="1"/>
  <c r="F346" i="1" s="1"/>
  <c r="G346" i="1"/>
  <c r="E347" i="1"/>
  <c r="F347" i="1" s="1"/>
  <c r="G347" i="1"/>
  <c r="E348" i="1"/>
  <c r="F348" i="1" s="1"/>
  <c r="G348" i="1"/>
  <c r="E349" i="1"/>
  <c r="F349" i="1" s="1"/>
  <c r="G349" i="1"/>
  <c r="E350" i="1"/>
  <c r="G350" i="1"/>
  <c r="E351" i="1"/>
  <c r="G351" i="1"/>
  <c r="E352" i="1"/>
  <c r="F352" i="1" s="1"/>
  <c r="G352" i="1"/>
  <c r="D353" i="1"/>
  <c r="G353" i="1"/>
  <c r="E354" i="1"/>
  <c r="G354" i="1"/>
  <c r="E355" i="1"/>
  <c r="G355" i="1"/>
  <c r="E356" i="1"/>
  <c r="G356" i="1"/>
  <c r="E357" i="1"/>
  <c r="G357" i="1"/>
  <c r="E358" i="1"/>
  <c r="G358" i="1"/>
  <c r="E359" i="1"/>
  <c r="G359" i="1"/>
  <c r="E360" i="1"/>
  <c r="G360" i="1"/>
  <c r="E361" i="1"/>
  <c r="G361" i="1"/>
  <c r="E362" i="1"/>
  <c r="G362" i="1"/>
  <c r="E363" i="1"/>
  <c r="G363" i="1"/>
  <c r="E364" i="1"/>
  <c r="G364" i="1"/>
  <c r="J400" i="1"/>
  <c r="K400" i="1" s="1"/>
  <c r="L400" i="1" s="1"/>
  <c r="M400" i="1" s="1"/>
  <c r="H400" i="1"/>
  <c r="I400" i="1" s="1"/>
  <c r="U400" i="1" s="1"/>
  <c r="G384" i="1"/>
  <c r="D384" i="1"/>
  <c r="G301" i="1"/>
  <c r="G305" i="1"/>
  <c r="G309" i="1"/>
  <c r="G313" i="1"/>
  <c r="E317" i="1"/>
  <c r="E319" i="1"/>
  <c r="E321" i="1"/>
  <c r="E323" i="1"/>
  <c r="D325" i="1"/>
  <c r="E327" i="1"/>
  <c r="D329" i="1"/>
  <c r="E333" i="1"/>
  <c r="E335" i="1"/>
  <c r="D337" i="1"/>
  <c r="D365" i="1"/>
  <c r="G365" i="1"/>
  <c r="G318" i="1"/>
  <c r="G320" i="1"/>
  <c r="G322" i="1"/>
  <c r="G324" i="1"/>
  <c r="G326" i="1"/>
  <c r="G328" i="1"/>
  <c r="G330" i="1"/>
  <c r="G332" i="1"/>
  <c r="G334" i="1"/>
  <c r="G336" i="1"/>
  <c r="D388" i="1"/>
  <c r="E388" i="1"/>
  <c r="F388" i="1" s="1"/>
  <c r="G388" i="1"/>
  <c r="P394" i="1"/>
  <c r="Q394" i="1" s="1"/>
  <c r="H498" i="1"/>
  <c r="J498" i="1"/>
  <c r="K498" i="1" s="1"/>
  <c r="L498" i="1" s="1"/>
  <c r="M498" i="1" s="1"/>
  <c r="G302" i="1"/>
  <c r="G306" i="1"/>
  <c r="G310" i="1"/>
  <c r="G314" i="1"/>
  <c r="E435" i="1"/>
  <c r="C442" i="1"/>
  <c r="E442" i="1" s="1"/>
  <c r="G452" i="1"/>
  <c r="C474" i="1"/>
  <c r="E474" i="1" s="1"/>
  <c r="G484" i="1"/>
  <c r="I499" i="1"/>
  <c r="E499" i="1"/>
  <c r="F499" i="1"/>
  <c r="I507" i="1"/>
  <c r="G507" i="1"/>
  <c r="E507" i="1"/>
  <c r="F507" i="1"/>
  <c r="I510" i="1"/>
  <c r="E510" i="1"/>
  <c r="C510" i="1"/>
  <c r="D510" i="1"/>
  <c r="J534" i="1"/>
  <c r="K534" i="1" s="1"/>
  <c r="L534" i="1" s="1"/>
  <c r="M534" i="1" s="1"/>
  <c r="H534" i="1"/>
  <c r="P552" i="1"/>
  <c r="G386" i="1"/>
  <c r="G439" i="1"/>
  <c r="P442" i="1"/>
  <c r="P444" i="1"/>
  <c r="Q444" i="1" s="1"/>
  <c r="G446" i="1"/>
  <c r="P449" i="1"/>
  <c r="E456" i="1"/>
  <c r="F456" i="1" s="1"/>
  <c r="G471" i="1"/>
  <c r="P474" i="1"/>
  <c r="Q474" i="1" s="1"/>
  <c r="P476" i="1"/>
  <c r="Q476" i="1" s="1"/>
  <c r="G478" i="1"/>
  <c r="P481" i="1"/>
  <c r="E488" i="1"/>
  <c r="F500" i="1"/>
  <c r="G503" i="1"/>
  <c r="J505" i="1"/>
  <c r="K505" i="1" s="1"/>
  <c r="L505" i="1" s="1"/>
  <c r="M505" i="1" s="1"/>
  <c r="F512" i="1"/>
  <c r="E516" i="1"/>
  <c r="P517" i="1"/>
  <c r="P547" i="1"/>
  <c r="G432" i="1"/>
  <c r="E447" i="1"/>
  <c r="F447" i="1" s="1"/>
  <c r="C454" i="1"/>
  <c r="E454" i="1" s="1"/>
  <c r="G464" i="1"/>
  <c r="E479" i="1"/>
  <c r="F479" i="1" s="1"/>
  <c r="C486" i="1"/>
  <c r="D486" i="1" s="1"/>
  <c r="I496" i="1"/>
  <c r="G496" i="1"/>
  <c r="I506" i="1"/>
  <c r="E506" i="1"/>
  <c r="C506" i="1"/>
  <c r="D506" i="1"/>
  <c r="J529" i="1"/>
  <c r="K529" i="1" s="1"/>
  <c r="L529" i="1" s="1"/>
  <c r="M529" i="1" s="1"/>
  <c r="H529" i="1"/>
  <c r="E427" i="1"/>
  <c r="C434" i="1"/>
  <c r="E434" i="1" s="1"/>
  <c r="G444" i="1"/>
  <c r="E459" i="1"/>
  <c r="F459" i="1" s="1"/>
  <c r="C466" i="1"/>
  <c r="E466" i="1" s="1"/>
  <c r="G476" i="1"/>
  <c r="I491" i="1"/>
  <c r="E491" i="1"/>
  <c r="F491" i="1"/>
  <c r="I498" i="1"/>
  <c r="C498" i="1"/>
  <c r="D498" i="1"/>
  <c r="I520" i="1"/>
  <c r="G520" i="1"/>
  <c r="J526" i="1"/>
  <c r="K526" i="1" s="1"/>
  <c r="L526" i="1" s="1"/>
  <c r="M526" i="1" s="1"/>
  <c r="H526" i="1"/>
  <c r="P544" i="1"/>
  <c r="G367" i="1"/>
  <c r="G368" i="1"/>
  <c r="G369" i="1"/>
  <c r="G370" i="1"/>
  <c r="G371" i="1"/>
  <c r="G372" i="1"/>
  <c r="G373" i="1"/>
  <c r="G374" i="1"/>
  <c r="G375" i="1"/>
  <c r="G376" i="1"/>
  <c r="G377" i="1"/>
  <c r="G378" i="1"/>
  <c r="G379" i="1"/>
  <c r="G380" i="1"/>
  <c r="G381" i="1"/>
  <c r="G382" i="1"/>
  <c r="G383" i="1"/>
  <c r="D385" i="1"/>
  <c r="E386" i="1"/>
  <c r="G387" i="1"/>
  <c r="P436" i="1"/>
  <c r="Q436" i="1" s="1"/>
  <c r="P468" i="1"/>
  <c r="Q468" i="1" s="1"/>
  <c r="J497" i="1"/>
  <c r="K497" i="1" s="1"/>
  <c r="L497" i="1" s="1"/>
  <c r="M497" i="1" s="1"/>
  <c r="P500" i="1"/>
  <c r="P516" i="1"/>
  <c r="P539" i="1"/>
  <c r="E439" i="1"/>
  <c r="C446" i="1"/>
  <c r="E446" i="1" s="1"/>
  <c r="G456" i="1"/>
  <c r="E471" i="1"/>
  <c r="F471" i="1" s="1"/>
  <c r="C478" i="1"/>
  <c r="E478" i="1" s="1"/>
  <c r="I488" i="1"/>
  <c r="G488" i="1"/>
  <c r="I503" i="1"/>
  <c r="E503" i="1"/>
  <c r="F503" i="1"/>
  <c r="I516" i="1"/>
  <c r="G516" i="1"/>
  <c r="C426" i="1"/>
  <c r="E426" i="1" s="1"/>
  <c r="G436" i="1"/>
  <c r="E451" i="1"/>
  <c r="F451" i="1" s="1"/>
  <c r="C458" i="1"/>
  <c r="E458" i="1" s="1"/>
  <c r="G468" i="1"/>
  <c r="E483" i="1"/>
  <c r="F483" i="1"/>
  <c r="C490" i="1"/>
  <c r="E490" i="1" s="1"/>
  <c r="I500" i="1"/>
  <c r="G500" i="1"/>
  <c r="I512" i="1"/>
  <c r="G512" i="1"/>
  <c r="P536" i="1"/>
  <c r="J550" i="1"/>
  <c r="K550" i="1" s="1"/>
  <c r="L550" i="1" s="1"/>
  <c r="M550" i="1" s="1"/>
  <c r="H550" i="1"/>
  <c r="E367" i="1"/>
  <c r="F367" i="1" s="1"/>
  <c r="E368" i="1"/>
  <c r="F368" i="1" s="1"/>
  <c r="E370" i="1"/>
  <c r="F370" i="1" s="1"/>
  <c r="E371" i="1"/>
  <c r="E372" i="1"/>
  <c r="F372" i="1" s="1"/>
  <c r="E373" i="1"/>
  <c r="F373" i="1" s="1"/>
  <c r="E374" i="1"/>
  <c r="E375" i="1"/>
  <c r="F375" i="1" s="1"/>
  <c r="E376" i="1"/>
  <c r="E377" i="1"/>
  <c r="F377" i="1" s="1"/>
  <c r="E378" i="1"/>
  <c r="F378" i="1" s="1"/>
  <c r="E379" i="1"/>
  <c r="E380" i="1"/>
  <c r="F380" i="1" s="1"/>
  <c r="E381" i="1"/>
  <c r="F381" i="1" s="1"/>
  <c r="E382" i="1"/>
  <c r="G430" i="1"/>
  <c r="E440" i="1"/>
  <c r="F440" i="1" s="1"/>
  <c r="G455" i="1"/>
  <c r="J457" i="1"/>
  <c r="K457" i="1" s="1"/>
  <c r="L457" i="1" s="1"/>
  <c r="M457" i="1" s="1"/>
  <c r="G462" i="1"/>
  <c r="E472" i="1"/>
  <c r="F472" i="1" s="1"/>
  <c r="G487" i="1"/>
  <c r="G494" i="1"/>
  <c r="E504" i="1"/>
  <c r="J510" i="1"/>
  <c r="K510" i="1" s="1"/>
  <c r="L510" i="1" s="1"/>
  <c r="M510" i="1" s="1"/>
  <c r="J521" i="1"/>
  <c r="K521" i="1" s="1"/>
  <c r="L521" i="1" s="1"/>
  <c r="M521" i="1" s="1"/>
  <c r="E431" i="1"/>
  <c r="F431" i="1" s="1"/>
  <c r="C438" i="1"/>
  <c r="E438" i="1" s="1"/>
  <c r="G448" i="1"/>
  <c r="E463" i="1"/>
  <c r="F463" i="1" s="1"/>
  <c r="C470" i="1"/>
  <c r="D470" i="1" s="1"/>
  <c r="G480" i="1"/>
  <c r="I495" i="1"/>
  <c r="E495" i="1"/>
  <c r="F495" i="1"/>
  <c r="I502" i="1"/>
  <c r="C502" i="1"/>
  <c r="D502" i="1"/>
  <c r="I508" i="1"/>
  <c r="G508" i="1"/>
  <c r="H508" i="1" s="1"/>
  <c r="I519" i="1"/>
  <c r="G519" i="1"/>
  <c r="E519" i="1"/>
  <c r="F519" i="1"/>
  <c r="J545" i="1"/>
  <c r="K545" i="1" s="1"/>
  <c r="L545" i="1" s="1"/>
  <c r="M545" i="1" s="1"/>
  <c r="H545" i="1"/>
  <c r="D367" i="1"/>
  <c r="D368" i="1"/>
  <c r="D370" i="1"/>
  <c r="D371" i="1"/>
  <c r="D372" i="1"/>
  <c r="D373" i="1"/>
  <c r="D374" i="1"/>
  <c r="D375" i="1"/>
  <c r="D376" i="1"/>
  <c r="D377" i="1"/>
  <c r="D378" i="1"/>
  <c r="D379" i="1"/>
  <c r="D380" i="1"/>
  <c r="D381" i="1"/>
  <c r="D382" i="1"/>
  <c r="D440" i="1"/>
  <c r="D455" i="1"/>
  <c r="D472" i="1"/>
  <c r="D487" i="1"/>
  <c r="H493" i="1"/>
  <c r="F494" i="1"/>
  <c r="F496" i="1"/>
  <c r="J501" i="1"/>
  <c r="K501" i="1" s="1"/>
  <c r="L501" i="1" s="1"/>
  <c r="M501" i="1" s="1"/>
  <c r="D504" i="1"/>
  <c r="H509" i="1"/>
  <c r="D511" i="1"/>
  <c r="G514" i="1"/>
  <c r="J514" i="1" s="1"/>
  <c r="K514" i="1" s="1"/>
  <c r="L514" i="1" s="1"/>
  <c r="M514" i="1" s="1"/>
  <c r="J517" i="1"/>
  <c r="K517" i="1" s="1"/>
  <c r="L517" i="1" s="1"/>
  <c r="M517" i="1" s="1"/>
  <c r="H527" i="1"/>
  <c r="H530" i="1"/>
  <c r="H532" i="1"/>
  <c r="J535" i="1"/>
  <c r="K535" i="1" s="1"/>
  <c r="L535" i="1" s="1"/>
  <c r="M535" i="1" s="1"/>
  <c r="J538" i="1"/>
  <c r="K538" i="1" s="1"/>
  <c r="L538" i="1" s="1"/>
  <c r="M538" i="1" s="1"/>
  <c r="J540" i="1"/>
  <c r="K540" i="1" s="1"/>
  <c r="L540" i="1" s="1"/>
  <c r="M540" i="1" s="1"/>
  <c r="G428" i="1"/>
  <c r="C450" i="1"/>
  <c r="E450" i="1" s="1"/>
  <c r="G460" i="1"/>
  <c r="I475" i="1"/>
  <c r="E475" i="1"/>
  <c r="F475" i="1"/>
  <c r="C482" i="1"/>
  <c r="E482" i="1" s="1"/>
  <c r="I492" i="1"/>
  <c r="G492" i="1"/>
  <c r="J492" i="1" s="1"/>
  <c r="K492" i="1" s="1"/>
  <c r="L492" i="1" s="1"/>
  <c r="M492" i="1" s="1"/>
  <c r="I515" i="1"/>
  <c r="G515" i="1"/>
  <c r="E515" i="1"/>
  <c r="F515" i="1"/>
  <c r="I518" i="1"/>
  <c r="E518" i="1"/>
  <c r="C518" i="1"/>
  <c r="D518" i="1"/>
  <c r="P528" i="1"/>
  <c r="J542" i="1"/>
  <c r="K542" i="1" s="1"/>
  <c r="L542" i="1" s="1"/>
  <c r="M542" i="1" s="1"/>
  <c r="H542" i="1"/>
  <c r="E383" i="1"/>
  <c r="G385" i="1"/>
  <c r="E387" i="1"/>
  <c r="F387" i="1" s="1"/>
  <c r="E432" i="1"/>
  <c r="F432" i="1" s="1"/>
  <c r="G447" i="1"/>
  <c r="P452" i="1"/>
  <c r="Q452" i="1" s="1"/>
  <c r="G454" i="1"/>
  <c r="E464" i="1"/>
  <c r="F464" i="1" s="1"/>
  <c r="G479" i="1"/>
  <c r="P484" i="1"/>
  <c r="Q484" i="1" s="1"/>
  <c r="G486" i="1"/>
  <c r="E496" i="1"/>
  <c r="J513" i="1"/>
  <c r="K513" i="1" s="1"/>
  <c r="L513" i="1" s="1"/>
  <c r="M513" i="1" s="1"/>
  <c r="F520" i="1"/>
  <c r="P523" i="1"/>
  <c r="C430" i="1"/>
  <c r="D430" i="1" s="1"/>
  <c r="G440" i="1"/>
  <c r="E455" i="1"/>
  <c r="F455" i="1" s="1"/>
  <c r="C462" i="1"/>
  <c r="E462" i="1" s="1"/>
  <c r="G472" i="1"/>
  <c r="E487" i="1"/>
  <c r="F487" i="1"/>
  <c r="I494" i="1"/>
  <c r="C494" i="1"/>
  <c r="D494" i="1"/>
  <c r="I504" i="1"/>
  <c r="G504" i="1"/>
  <c r="H504" i="1" s="1"/>
  <c r="I511" i="1"/>
  <c r="G511" i="1"/>
  <c r="E511" i="1"/>
  <c r="F511" i="1"/>
  <c r="I514" i="1"/>
  <c r="E514" i="1"/>
  <c r="C514" i="1"/>
  <c r="D514" i="1"/>
  <c r="J537" i="1"/>
  <c r="K537" i="1" s="1"/>
  <c r="L537" i="1" s="1"/>
  <c r="M537" i="1" s="1"/>
  <c r="H537" i="1"/>
  <c r="D432" i="1"/>
  <c r="D447" i="1"/>
  <c r="D464" i="1"/>
  <c r="D479" i="1"/>
  <c r="H485" i="1"/>
  <c r="F488" i="1"/>
  <c r="D496" i="1"/>
  <c r="G506" i="1"/>
  <c r="J506" i="1" s="1"/>
  <c r="K506" i="1" s="1"/>
  <c r="L506" i="1" s="1"/>
  <c r="M506" i="1" s="1"/>
  <c r="F516" i="1"/>
  <c r="H522" i="1"/>
  <c r="H524" i="1"/>
  <c r="H551" i="1"/>
  <c r="J528" i="1"/>
  <c r="K528" i="1" s="1"/>
  <c r="L528" i="1" s="1"/>
  <c r="M528" i="1" s="1"/>
  <c r="J536" i="1"/>
  <c r="K536" i="1" s="1"/>
  <c r="L536" i="1" s="1"/>
  <c r="M536" i="1" s="1"/>
  <c r="J544" i="1"/>
  <c r="K544" i="1" s="1"/>
  <c r="L544" i="1" s="1"/>
  <c r="M544" i="1" s="1"/>
  <c r="J552" i="1"/>
  <c r="K552" i="1" s="1"/>
  <c r="L552" i="1" s="1"/>
  <c r="M552" i="1" s="1"/>
  <c r="J523" i="1"/>
  <c r="K523" i="1" s="1"/>
  <c r="L523" i="1" s="1"/>
  <c r="M523" i="1" s="1"/>
  <c r="J531" i="1"/>
  <c r="K531" i="1" s="1"/>
  <c r="L531" i="1" s="1"/>
  <c r="M531" i="1" s="1"/>
  <c r="J539" i="1"/>
  <c r="K539" i="1" s="1"/>
  <c r="L539" i="1" s="1"/>
  <c r="M539" i="1" s="1"/>
  <c r="J547" i="1"/>
  <c r="K547" i="1" s="1"/>
  <c r="L547" i="1" s="1"/>
  <c r="M547" i="1" s="1"/>
  <c r="J525" i="1"/>
  <c r="K525" i="1" s="1"/>
  <c r="L525" i="1" s="1"/>
  <c r="M525" i="1" s="1"/>
  <c r="J533" i="1"/>
  <c r="K533" i="1" s="1"/>
  <c r="L533" i="1" s="1"/>
  <c r="M533" i="1" s="1"/>
  <c r="J541" i="1"/>
  <c r="K541" i="1" s="1"/>
  <c r="L541" i="1" s="1"/>
  <c r="M541" i="1" s="1"/>
  <c r="J549" i="1"/>
  <c r="K549" i="1" s="1"/>
  <c r="L549" i="1" s="1"/>
  <c r="M549" i="1" s="1"/>
  <c r="D1293" i="1"/>
  <c r="C1291" i="1"/>
  <c r="E1285" i="1"/>
  <c r="D1269" i="1"/>
  <c r="G1258" i="1"/>
  <c r="H1258" i="1" s="1"/>
  <c r="G1257" i="1"/>
  <c r="G1250" i="1"/>
  <c r="E1222" i="1"/>
  <c r="D1218" i="1"/>
  <c r="D1214" i="1"/>
  <c r="C1196" i="1"/>
  <c r="I1102" i="1"/>
  <c r="I1101" i="1"/>
  <c r="G1094" i="1"/>
  <c r="J1094" i="1" s="1"/>
  <c r="K1094" i="1" s="1"/>
  <c r="L1094" i="1" s="1"/>
  <c r="M1094" i="1" s="1"/>
  <c r="F1091" i="1"/>
  <c r="D1090" i="1"/>
  <c r="C1084" i="1"/>
  <c r="C1078" i="1"/>
  <c r="I1070" i="1"/>
  <c r="I1069" i="1"/>
  <c r="F1067" i="1"/>
  <c r="D1064" i="1"/>
  <c r="C1062" i="1"/>
  <c r="I1051" i="1"/>
  <c r="D1050" i="1"/>
  <c r="E1040" i="1"/>
  <c r="E1029" i="1"/>
  <c r="H1026" i="1"/>
  <c r="I1018" i="1"/>
  <c r="E1014" i="1"/>
  <c r="I1012" i="1"/>
  <c r="C1010" i="1"/>
  <c r="I1007" i="1"/>
  <c r="C1004" i="1"/>
  <c r="I1002" i="1"/>
  <c r="E999" i="1"/>
  <c r="J994" i="1"/>
  <c r="K994" i="1" s="1"/>
  <c r="L994" i="1" s="1"/>
  <c r="M994" i="1" s="1"/>
  <c r="E992" i="1"/>
  <c r="G984" i="1"/>
  <c r="H984" i="1" s="1"/>
  <c r="D978" i="1"/>
  <c r="F963" i="1"/>
  <c r="F957" i="1"/>
  <c r="D953" i="1"/>
  <c r="I940" i="1"/>
  <c r="F937" i="1"/>
  <c r="C889" i="1"/>
  <c r="C871" i="1"/>
  <c r="C837" i="1"/>
  <c r="I834" i="1"/>
  <c r="E826" i="1"/>
  <c r="E794" i="1"/>
  <c r="G789" i="1"/>
  <c r="E781" i="1"/>
  <c r="D779" i="1"/>
  <c r="C774" i="1"/>
  <c r="G766" i="1"/>
  <c r="I752" i="1"/>
  <c r="G750" i="1"/>
  <c r="E741" i="1"/>
  <c r="D737" i="1"/>
  <c r="F725" i="1"/>
  <c r="D722" i="1"/>
  <c r="E717" i="1"/>
  <c r="F697" i="1"/>
  <c r="F682" i="1"/>
  <c r="G618" i="1"/>
  <c r="J616" i="1"/>
  <c r="K616" i="1" s="1"/>
  <c r="L616" i="1" s="1"/>
  <c r="M616" i="1" s="1"/>
  <c r="J606" i="1"/>
  <c r="K606" i="1" s="1"/>
  <c r="L606" i="1" s="1"/>
  <c r="M606" i="1" s="1"/>
  <c r="G592" i="1"/>
  <c r="I586" i="1"/>
  <c r="G585" i="1"/>
  <c r="D578" i="1"/>
  <c r="E573" i="1"/>
  <c r="F571" i="1"/>
  <c r="H571" i="1" s="1"/>
  <c r="E570" i="1"/>
  <c r="C564" i="1"/>
  <c r="D1357" i="1"/>
  <c r="C1355" i="1"/>
  <c r="C1347" i="1"/>
  <c r="D1341" i="1"/>
  <c r="C1339" i="1"/>
  <c r="D1333" i="1"/>
  <c r="C1331" i="1"/>
  <c r="D1325" i="1"/>
  <c r="C1323" i="1"/>
  <c r="D1317" i="1"/>
  <c r="C1315" i="1"/>
  <c r="D1309" i="1"/>
  <c r="C1307" i="1"/>
  <c r="D1301" i="1"/>
  <c r="C1299" i="1"/>
  <c r="E1293" i="1"/>
  <c r="F1291" i="1"/>
  <c r="I1285" i="1"/>
  <c r="G1283" i="1"/>
  <c r="J1283" i="1" s="1"/>
  <c r="K1283" i="1" s="1"/>
  <c r="L1283" i="1" s="1"/>
  <c r="M1283" i="1" s="1"/>
  <c r="C1278" i="1"/>
  <c r="G1269" i="1"/>
  <c r="J1269" i="1" s="1"/>
  <c r="K1269" i="1" s="1"/>
  <c r="L1269" i="1" s="1"/>
  <c r="M1269" i="1" s="1"/>
  <c r="F1261" i="1"/>
  <c r="I1258" i="1"/>
  <c r="I1257" i="1"/>
  <c r="G1256" i="1"/>
  <c r="J1256" i="1" s="1"/>
  <c r="K1256" i="1" s="1"/>
  <c r="L1256" i="1" s="1"/>
  <c r="M1256" i="1" s="1"/>
  <c r="E1254" i="1"/>
  <c r="C1252" i="1"/>
  <c r="G1249" i="1"/>
  <c r="C1247" i="1"/>
  <c r="D1238" i="1"/>
  <c r="I1224" i="1"/>
  <c r="I1222" i="1"/>
  <c r="E1218" i="1"/>
  <c r="F1214" i="1"/>
  <c r="H1214" i="1" s="1"/>
  <c r="I1198" i="1"/>
  <c r="E1196" i="1"/>
  <c r="I1194" i="1"/>
  <c r="D1192" i="1"/>
  <c r="F1189" i="1"/>
  <c r="F1186" i="1"/>
  <c r="G1182" i="1"/>
  <c r="J1182" i="1" s="1"/>
  <c r="K1182" i="1" s="1"/>
  <c r="L1182" i="1" s="1"/>
  <c r="M1182" i="1" s="1"/>
  <c r="I1178" i="1"/>
  <c r="F1177" i="1"/>
  <c r="G1170" i="1"/>
  <c r="H1170" i="1" s="1"/>
  <c r="G1166" i="1"/>
  <c r="H1166" i="1" s="1"/>
  <c r="I1162" i="1"/>
  <c r="F1161" i="1"/>
  <c r="H1154" i="1"/>
  <c r="F1145" i="1"/>
  <c r="H1138" i="1"/>
  <c r="F1129" i="1"/>
  <c r="I1111" i="1"/>
  <c r="F1105" i="1"/>
  <c r="I1094" i="1"/>
  <c r="E1090" i="1"/>
  <c r="E1084" i="1"/>
  <c r="F1081" i="1"/>
  <c r="F1079" i="1"/>
  <c r="D1078" i="1"/>
  <c r="F1073" i="1"/>
  <c r="E1064" i="1"/>
  <c r="D1062" i="1"/>
  <c r="E1050" i="1"/>
  <c r="C1048" i="1"/>
  <c r="F1046" i="1"/>
  <c r="E1044" i="1"/>
  <c r="C1042" i="1"/>
  <c r="G1040" i="1"/>
  <c r="J1040" i="1" s="1"/>
  <c r="K1040" i="1" s="1"/>
  <c r="L1040" i="1" s="1"/>
  <c r="M1040" i="1" s="1"/>
  <c r="F1035" i="1"/>
  <c r="E1033" i="1"/>
  <c r="I1029" i="1"/>
  <c r="C1028" i="1"/>
  <c r="D1026" i="1"/>
  <c r="E1021" i="1"/>
  <c r="I1014" i="1"/>
  <c r="D1004" i="1"/>
  <c r="F999" i="1"/>
  <c r="C994" i="1"/>
  <c r="G992" i="1"/>
  <c r="E991" i="1"/>
  <c r="E987" i="1"/>
  <c r="E981" i="1"/>
  <c r="E969" i="1"/>
  <c r="I963" i="1"/>
  <c r="G957" i="1"/>
  <c r="I953" i="1"/>
  <c r="E951" i="1"/>
  <c r="H869" i="1"/>
  <c r="E858" i="1"/>
  <c r="D855" i="1"/>
  <c r="E850" i="1"/>
  <c r="D847" i="1"/>
  <c r="E840" i="1"/>
  <c r="J570" i="1"/>
  <c r="K570" i="1" s="1"/>
  <c r="L570" i="1" s="1"/>
  <c r="M570" i="1" s="1"/>
  <c r="E1341" i="1"/>
  <c r="F1339" i="1"/>
  <c r="E1333" i="1"/>
  <c r="F1331" i="1"/>
  <c r="J1331" i="1" s="1"/>
  <c r="K1331" i="1" s="1"/>
  <c r="L1331" i="1" s="1"/>
  <c r="M1331" i="1" s="1"/>
  <c r="E1325" i="1"/>
  <c r="F1323" i="1"/>
  <c r="E1317" i="1"/>
  <c r="F1315" i="1"/>
  <c r="E1309" i="1"/>
  <c r="F1307" i="1"/>
  <c r="F1299" i="1"/>
  <c r="J1299" i="1" s="1"/>
  <c r="K1299" i="1" s="1"/>
  <c r="L1299" i="1" s="1"/>
  <c r="M1299" i="1" s="1"/>
  <c r="I1293" i="1"/>
  <c r="G1291" i="1"/>
  <c r="F1238" i="1"/>
  <c r="J1238" i="1" s="1"/>
  <c r="K1238" i="1" s="1"/>
  <c r="L1238" i="1" s="1"/>
  <c r="M1238" i="1" s="1"/>
  <c r="F1218" i="1"/>
  <c r="I1214" i="1"/>
  <c r="E1212" i="1"/>
  <c r="I1196" i="1"/>
  <c r="G1192" i="1"/>
  <c r="J1192" i="1" s="1"/>
  <c r="K1192" i="1" s="1"/>
  <c r="L1192" i="1" s="1"/>
  <c r="M1192" i="1" s="1"/>
  <c r="G1189" i="1"/>
  <c r="G1186" i="1"/>
  <c r="I1182" i="1"/>
  <c r="I1181" i="1"/>
  <c r="G1177" i="1"/>
  <c r="C1174" i="1"/>
  <c r="C1172" i="1"/>
  <c r="I1170" i="1"/>
  <c r="I1166" i="1"/>
  <c r="I1165" i="1"/>
  <c r="G1161" i="1"/>
  <c r="C1158" i="1"/>
  <c r="C1156" i="1"/>
  <c r="I1154" i="1"/>
  <c r="I1150" i="1"/>
  <c r="I1149" i="1"/>
  <c r="G1145" i="1"/>
  <c r="C1142" i="1"/>
  <c r="C1140" i="1"/>
  <c r="I1138" i="1"/>
  <c r="I1134" i="1"/>
  <c r="I1133" i="1"/>
  <c r="G1129" i="1"/>
  <c r="C1126" i="1"/>
  <c r="C1124" i="1"/>
  <c r="I1122" i="1"/>
  <c r="I1117" i="1"/>
  <c r="E1110" i="1"/>
  <c r="C1098" i="1"/>
  <c r="F1090" i="1"/>
  <c r="H1090" i="1" s="1"/>
  <c r="E1088" i="1"/>
  <c r="I1082" i="1"/>
  <c r="G1081" i="1"/>
  <c r="I1079" i="1"/>
  <c r="E1078" i="1"/>
  <c r="C1075" i="1"/>
  <c r="G1064" i="1"/>
  <c r="H1064" i="1" s="1"/>
  <c r="F1062" i="1"/>
  <c r="H1062" i="1" s="1"/>
  <c r="F1050" i="1"/>
  <c r="E1048" i="1"/>
  <c r="G1046" i="1"/>
  <c r="I1044" i="1"/>
  <c r="D1028" i="1"/>
  <c r="F1011" i="1"/>
  <c r="E1010" i="1"/>
  <c r="E1006" i="1"/>
  <c r="G1004" i="1"/>
  <c r="J1004" i="1" s="1"/>
  <c r="K1004" i="1" s="1"/>
  <c r="L1004" i="1" s="1"/>
  <c r="M1004" i="1" s="1"/>
  <c r="E904" i="1"/>
  <c r="J563" i="1"/>
  <c r="K563" i="1" s="1"/>
  <c r="L563" i="1" s="1"/>
  <c r="M563" i="1" s="1"/>
  <c r="I1357" i="1"/>
  <c r="I1341" i="1"/>
  <c r="G1339" i="1"/>
  <c r="I1333" i="1"/>
  <c r="G1331" i="1"/>
  <c r="I1325" i="1"/>
  <c r="G1323" i="1"/>
  <c r="I1317" i="1"/>
  <c r="G1315" i="1"/>
  <c r="I1309" i="1"/>
  <c r="G1307" i="1"/>
  <c r="I1278" i="1"/>
  <c r="D1264" i="1"/>
  <c r="E1242" i="1"/>
  <c r="E1233" i="1"/>
  <c r="F1231" i="1"/>
  <c r="F1229" i="1"/>
  <c r="G1218" i="1"/>
  <c r="I1212" i="1"/>
  <c r="I1177" i="1"/>
  <c r="I1161" i="1"/>
  <c r="D1158" i="1"/>
  <c r="G1156" i="1"/>
  <c r="H1156" i="1" s="1"/>
  <c r="I1145" i="1"/>
  <c r="D1142" i="1"/>
  <c r="G1140" i="1"/>
  <c r="H1140" i="1" s="1"/>
  <c r="I1129" i="1"/>
  <c r="D1126" i="1"/>
  <c r="G1124" i="1"/>
  <c r="H1124" i="1" s="1"/>
  <c r="J1110" i="1"/>
  <c r="K1110" i="1" s="1"/>
  <c r="L1110" i="1" s="1"/>
  <c r="M1110" i="1" s="1"/>
  <c r="I1081" i="1"/>
  <c r="F1078" i="1"/>
  <c r="E1075" i="1"/>
  <c r="C1068" i="1"/>
  <c r="E1066" i="1"/>
  <c r="I1064" i="1"/>
  <c r="G1050" i="1"/>
  <c r="C1032" i="1"/>
  <c r="J1010" i="1"/>
  <c r="K1010" i="1" s="1"/>
  <c r="L1010" i="1" s="1"/>
  <c r="M1010" i="1" s="1"/>
  <c r="I1001" i="1"/>
  <c r="E998" i="1"/>
  <c r="D996" i="1"/>
  <c r="E989" i="1"/>
  <c r="D980" i="1"/>
  <c r="H974" i="1"/>
  <c r="E973" i="1"/>
  <c r="C972" i="1"/>
  <c r="E968" i="1"/>
  <c r="H966" i="1"/>
  <c r="E965" i="1"/>
  <c r="E962" i="1"/>
  <c r="I957" i="1"/>
  <c r="F956" i="1"/>
  <c r="D949" i="1"/>
  <c r="C941" i="1"/>
  <c r="F938" i="1"/>
  <c r="H938" i="1" s="1"/>
  <c r="C895" i="1"/>
  <c r="E892" i="1"/>
  <c r="E872" i="1"/>
  <c r="G835" i="1"/>
  <c r="I814" i="1"/>
  <c r="C793" i="1"/>
  <c r="F782" i="1"/>
  <c r="C773" i="1"/>
  <c r="E771" i="1"/>
  <c r="E765" i="1"/>
  <c r="F735" i="1"/>
  <c r="I1339" i="1"/>
  <c r="I1331" i="1"/>
  <c r="I1323" i="1"/>
  <c r="I1315" i="1"/>
  <c r="I1307" i="1"/>
  <c r="I1264" i="1"/>
  <c r="G1221" i="1"/>
  <c r="I1218" i="1"/>
  <c r="E1142" i="1"/>
  <c r="I1140" i="1"/>
  <c r="E1126" i="1"/>
  <c r="I1124" i="1"/>
  <c r="E1112" i="1"/>
  <c r="D1106" i="1"/>
  <c r="D1102" i="1"/>
  <c r="C1100" i="1"/>
  <c r="C1094" i="1"/>
  <c r="I1085" i="1"/>
  <c r="G1078" i="1"/>
  <c r="F1075" i="1"/>
  <c r="D1074" i="1"/>
  <c r="F1039" i="1"/>
  <c r="D1032" i="1"/>
  <c r="D1022" i="1"/>
  <c r="E898" i="1"/>
  <c r="D895" i="1"/>
  <c r="F856" i="1"/>
  <c r="F851" i="1"/>
  <c r="H851" i="1" s="1"/>
  <c r="G841" i="1"/>
  <c r="E802" i="1"/>
  <c r="D799" i="1"/>
  <c r="D793" i="1"/>
  <c r="I788" i="1"/>
  <c r="E773" i="1"/>
  <c r="I760" i="1"/>
  <c r="G742" i="1"/>
  <c r="G740" i="1"/>
  <c r="C716" i="1"/>
  <c r="D714" i="1"/>
  <c r="E709" i="1"/>
  <c r="F698" i="1"/>
  <c r="F685" i="1"/>
  <c r="D681" i="1"/>
  <c r="G668" i="1"/>
  <c r="F648" i="1"/>
  <c r="F645" i="1"/>
  <c r="D598" i="1"/>
  <c r="I596" i="1"/>
  <c r="D586" i="1"/>
  <c r="D582" i="1"/>
  <c r="G572" i="1"/>
  <c r="H563" i="1"/>
  <c r="E554" i="1"/>
  <c r="E553" i="1"/>
  <c r="E1262" i="1"/>
  <c r="D1258" i="1"/>
  <c r="D1257" i="1"/>
  <c r="D1250" i="1"/>
  <c r="G1248" i="1"/>
  <c r="J1248" i="1" s="1"/>
  <c r="K1248" i="1" s="1"/>
  <c r="L1248" i="1" s="1"/>
  <c r="M1248" i="1" s="1"/>
  <c r="C1237" i="1"/>
  <c r="C1235" i="1"/>
  <c r="D1206" i="1"/>
  <c r="I1195" i="1"/>
  <c r="C1171" i="1"/>
  <c r="F1158" i="1"/>
  <c r="C1155" i="1"/>
  <c r="F1142" i="1"/>
  <c r="C1139" i="1"/>
  <c r="F1126" i="1"/>
  <c r="E1106" i="1"/>
  <c r="C1104" i="1"/>
  <c r="E1102" i="1"/>
  <c r="D1094" i="1"/>
  <c r="I1083" i="1"/>
  <c r="E1074" i="1"/>
  <c r="C1072" i="1"/>
  <c r="J1038" i="1"/>
  <c r="K1038" i="1" s="1"/>
  <c r="L1038" i="1" s="1"/>
  <c r="M1038" i="1" s="1"/>
  <c r="I1034" i="1"/>
  <c r="G1032" i="1"/>
  <c r="H1032" i="1" s="1"/>
  <c r="I1028" i="1"/>
  <c r="E1027" i="1"/>
  <c r="E1022" i="1"/>
  <c r="C1020" i="1"/>
  <c r="D1018" i="1"/>
  <c r="D1012" i="1"/>
  <c r="F1003" i="1"/>
  <c r="E1000" i="1"/>
  <c r="E993" i="1"/>
  <c r="C984" i="1"/>
  <c r="E972" i="1"/>
  <c r="F952" i="1"/>
  <c r="E943" i="1"/>
  <c r="F941" i="1"/>
  <c r="J941" i="1" s="1"/>
  <c r="K941" i="1" s="1"/>
  <c r="L941" i="1" s="1"/>
  <c r="M941" i="1" s="1"/>
  <c r="F933" i="1"/>
  <c r="J933" i="1" s="1"/>
  <c r="K933" i="1" s="1"/>
  <c r="L933" i="1" s="1"/>
  <c r="M933" i="1" s="1"/>
  <c r="D919" i="1"/>
  <c r="I898" i="1"/>
  <c r="F895" i="1"/>
  <c r="J895" i="1" s="1"/>
  <c r="K895" i="1" s="1"/>
  <c r="L895" i="1" s="1"/>
  <c r="M895" i="1" s="1"/>
  <c r="E890" i="1"/>
  <c r="F888" i="1"/>
  <c r="D834" i="1"/>
  <c r="G817" i="1"/>
  <c r="D808" i="1"/>
  <c r="F802" i="1"/>
  <c r="E796" i="1"/>
  <c r="I773" i="1"/>
  <c r="G763" i="1"/>
  <c r="D754" i="1"/>
  <c r="D752" i="1"/>
  <c r="I740" i="1"/>
  <c r="F718" i="1"/>
  <c r="H718" i="1" s="1"/>
  <c r="D716" i="1"/>
  <c r="G714" i="1"/>
  <c r="H714" i="1" s="1"/>
  <c r="F709" i="1"/>
  <c r="G698" i="1"/>
  <c r="F683" i="1"/>
  <c r="F654" i="1"/>
  <c r="F651" i="1"/>
  <c r="E643" i="1"/>
  <c r="C626" i="1"/>
  <c r="E611" i="1"/>
  <c r="E586" i="1"/>
  <c r="D580" i="1"/>
  <c r="G574" i="1"/>
  <c r="I567" i="1"/>
  <c r="I563" i="1"/>
  <c r="G558" i="1"/>
  <c r="E556" i="1"/>
  <c r="F554" i="1"/>
  <c r="F553" i="1"/>
  <c r="E1287" i="1"/>
  <c r="E1277" i="1"/>
  <c r="I1262" i="1"/>
  <c r="E1257" i="1"/>
  <c r="F1253" i="1"/>
  <c r="E1250" i="1"/>
  <c r="E1237" i="1"/>
  <c r="G1235" i="1"/>
  <c r="E1232" i="1"/>
  <c r="E1230" i="1"/>
  <c r="D1228" i="1"/>
  <c r="F1206" i="1"/>
  <c r="H1206" i="1" s="1"/>
  <c r="D1200" i="1"/>
  <c r="I1193" i="1"/>
  <c r="C1186" i="1"/>
  <c r="D1182" i="1"/>
  <c r="C1180" i="1"/>
  <c r="C1178" i="1"/>
  <c r="G1174" i="1"/>
  <c r="J1174" i="1" s="1"/>
  <c r="K1174" i="1" s="1"/>
  <c r="L1174" i="1" s="1"/>
  <c r="M1174" i="1" s="1"/>
  <c r="E1171" i="1"/>
  <c r="D1170" i="1"/>
  <c r="D1166" i="1"/>
  <c r="C1164" i="1"/>
  <c r="C1162" i="1"/>
  <c r="G1158" i="1"/>
  <c r="E1155" i="1"/>
  <c r="D1154" i="1"/>
  <c r="D1150" i="1"/>
  <c r="C1148" i="1"/>
  <c r="C1146" i="1"/>
  <c r="G1142" i="1"/>
  <c r="E1139" i="1"/>
  <c r="D1138" i="1"/>
  <c r="D1134" i="1"/>
  <c r="C1132" i="1"/>
  <c r="C1130" i="1"/>
  <c r="G1126" i="1"/>
  <c r="E1123" i="1"/>
  <c r="D1122" i="1"/>
  <c r="D1118" i="1"/>
  <c r="C1116" i="1"/>
  <c r="F1106" i="1"/>
  <c r="E1094" i="1"/>
  <c r="C1091" i="1"/>
  <c r="C1082" i="1"/>
  <c r="F1074" i="1"/>
  <c r="H1074" i="1" s="1"/>
  <c r="E1072" i="1"/>
  <c r="E1056" i="1"/>
  <c r="E1051" i="1"/>
  <c r="I1047" i="1"/>
  <c r="I1041" i="1"/>
  <c r="I1027" i="1"/>
  <c r="F1022" i="1"/>
  <c r="E1020" i="1"/>
  <c r="F1018" i="1"/>
  <c r="E1012" i="1"/>
  <c r="C1002" i="1"/>
  <c r="G1000" i="1"/>
  <c r="I993" i="1"/>
  <c r="C992" i="1"/>
  <c r="C988" i="1"/>
  <c r="D984" i="1"/>
  <c r="F982" i="1"/>
  <c r="H982" i="1" s="1"/>
  <c r="F979" i="1"/>
  <c r="G972" i="1"/>
  <c r="I958" i="1"/>
  <c r="C957" i="1"/>
  <c r="D931" i="1"/>
  <c r="D928" i="1"/>
  <c r="E922" i="1"/>
  <c r="G919" i="1"/>
  <c r="E882" i="1"/>
  <c r="D879" i="1"/>
  <c r="E834" i="1"/>
  <c r="F808" i="1"/>
  <c r="I802" i="1"/>
  <c r="C791" i="1"/>
  <c r="E766" i="1"/>
  <c r="E758" i="1"/>
  <c r="F756" i="1"/>
  <c r="E754" i="1"/>
  <c r="F752" i="1"/>
  <c r="I709" i="1"/>
  <c r="G654" i="1"/>
  <c r="D626" i="1"/>
  <c r="F586" i="1"/>
  <c r="H586" i="1" s="1"/>
  <c r="G556" i="1"/>
  <c r="G554" i="1"/>
  <c r="G553" i="1"/>
  <c r="E1295" i="1"/>
  <c r="D1285" i="1"/>
  <c r="C1283" i="1"/>
  <c r="F1257" i="1"/>
  <c r="F1250" i="1"/>
  <c r="H1250" i="1" s="1"/>
  <c r="I1235" i="1"/>
  <c r="C1234" i="1"/>
  <c r="I1232" i="1"/>
  <c r="G1230" i="1"/>
  <c r="H1230" i="1" s="1"/>
  <c r="G1228" i="1"/>
  <c r="H1228" i="1" s="1"/>
  <c r="F1226" i="1"/>
  <c r="H1226" i="1" s="1"/>
  <c r="C1222" i="1"/>
  <c r="G1200" i="1"/>
  <c r="J1200" i="1" s="1"/>
  <c r="K1200" i="1" s="1"/>
  <c r="L1200" i="1" s="1"/>
  <c r="M1200" i="1" s="1"/>
  <c r="F1187" i="1"/>
  <c r="C1184" i="1"/>
  <c r="E1182" i="1"/>
  <c r="E1180" i="1"/>
  <c r="F1178" i="1"/>
  <c r="F1171" i="1"/>
  <c r="E1170" i="1"/>
  <c r="C1168" i="1"/>
  <c r="E1166" i="1"/>
  <c r="E1164" i="1"/>
  <c r="F1162" i="1"/>
  <c r="H1162" i="1" s="1"/>
  <c r="F1155" i="1"/>
  <c r="E1154" i="1"/>
  <c r="C1152" i="1"/>
  <c r="E1150" i="1"/>
  <c r="E1148" i="1"/>
  <c r="F1146" i="1"/>
  <c r="H1146" i="1" s="1"/>
  <c r="F1139" i="1"/>
  <c r="E1138" i="1"/>
  <c r="C1136" i="1"/>
  <c r="E1134" i="1"/>
  <c r="E1132" i="1"/>
  <c r="F1130" i="1"/>
  <c r="H1130" i="1" s="1"/>
  <c r="F1123" i="1"/>
  <c r="E1122" i="1"/>
  <c r="C1120" i="1"/>
  <c r="E1118" i="1"/>
  <c r="E1116" i="1"/>
  <c r="G1106" i="1"/>
  <c r="G1102" i="1"/>
  <c r="J1102" i="1" s="1"/>
  <c r="K1102" i="1" s="1"/>
  <c r="L1102" i="1" s="1"/>
  <c r="M1102" i="1" s="1"/>
  <c r="F1051" i="1"/>
  <c r="D1040" i="1"/>
  <c r="G1022" i="1"/>
  <c r="G1018" i="1"/>
  <c r="C1014" i="1"/>
  <c r="G1012" i="1"/>
  <c r="H1012" i="1" s="1"/>
  <c r="F1007" i="1"/>
  <c r="E1002" i="1"/>
  <c r="G988" i="1"/>
  <c r="H988" i="1" s="1"/>
  <c r="E984" i="1"/>
  <c r="I979" i="1"/>
  <c r="I972" i="1"/>
  <c r="E967" i="1"/>
  <c r="D957" i="1"/>
  <c r="F931" i="1"/>
  <c r="H931" i="1" s="1"/>
  <c r="F928" i="1"/>
  <c r="I922" i="1"/>
  <c r="G903" i="1"/>
  <c r="F879" i="1"/>
  <c r="J879" i="1" s="1"/>
  <c r="K879" i="1" s="1"/>
  <c r="L879" i="1" s="1"/>
  <c r="M879" i="1" s="1"/>
  <c r="I808" i="1"/>
  <c r="F789" i="1"/>
  <c r="J789" i="1" s="1"/>
  <c r="K789" i="1" s="1"/>
  <c r="L789" i="1" s="1"/>
  <c r="M789" i="1" s="1"/>
  <c r="F766" i="1"/>
  <c r="G758" i="1"/>
  <c r="I756" i="1"/>
  <c r="F754" i="1"/>
  <c r="G752" i="1"/>
  <c r="J752" i="1" s="1"/>
  <c r="K752" i="1" s="1"/>
  <c r="L752" i="1" s="1"/>
  <c r="M752" i="1" s="1"/>
  <c r="C722" i="1"/>
  <c r="I657" i="1"/>
  <c r="I641" i="1"/>
  <c r="G638" i="1"/>
  <c r="I629" i="1"/>
  <c r="F618" i="1"/>
  <c r="J618" i="1" s="1"/>
  <c r="K618" i="1" s="1"/>
  <c r="L618" i="1" s="1"/>
  <c r="M618" i="1" s="1"/>
  <c r="I599" i="1"/>
  <c r="D594" i="1"/>
  <c r="G586" i="1"/>
  <c r="F585" i="1"/>
  <c r="C571" i="1"/>
  <c r="I562" i="1"/>
  <c r="H1198" i="1"/>
  <c r="F996" i="1"/>
  <c r="J996" i="1" s="1"/>
  <c r="K996" i="1" s="1"/>
  <c r="L996" i="1" s="1"/>
  <c r="M996" i="1" s="1"/>
  <c r="C996" i="1"/>
  <c r="I996" i="1"/>
  <c r="G917" i="1"/>
  <c r="F917" i="1"/>
  <c r="H917" i="1" s="1"/>
  <c r="D917" i="1"/>
  <c r="C917" i="1"/>
  <c r="I818" i="1"/>
  <c r="F818" i="1"/>
  <c r="E818" i="1"/>
  <c r="D818" i="1"/>
  <c r="H779" i="1"/>
  <c r="J779" i="1"/>
  <c r="K779" i="1" s="1"/>
  <c r="L779" i="1" s="1"/>
  <c r="M779" i="1" s="1"/>
  <c r="J772" i="1"/>
  <c r="K772" i="1" s="1"/>
  <c r="L772" i="1" s="1"/>
  <c r="M772" i="1" s="1"/>
  <c r="H772" i="1"/>
  <c r="C728" i="1"/>
  <c r="G728" i="1"/>
  <c r="F728" i="1"/>
  <c r="D728" i="1"/>
  <c r="I1359" i="1"/>
  <c r="E1355" i="1"/>
  <c r="I1351" i="1"/>
  <c r="E1347" i="1"/>
  <c r="I1343" i="1"/>
  <c r="E1339" i="1"/>
  <c r="I1335" i="1"/>
  <c r="E1331" i="1"/>
  <c r="I1327" i="1"/>
  <c r="E1323" i="1"/>
  <c r="I1319" i="1"/>
  <c r="E1315" i="1"/>
  <c r="I1311" i="1"/>
  <c r="E1307" i="1"/>
  <c r="I1303" i="1"/>
  <c r="E1299" i="1"/>
  <c r="I1295" i="1"/>
  <c r="E1291" i="1"/>
  <c r="I1287" i="1"/>
  <c r="E1283" i="1"/>
  <c r="I1279" i="1"/>
  <c r="G1278" i="1"/>
  <c r="H1278" i="1" s="1"/>
  <c r="G1267" i="1"/>
  <c r="F1266" i="1"/>
  <c r="I1263" i="1"/>
  <c r="G1262" i="1"/>
  <c r="H1262" i="1" s="1"/>
  <c r="E1261" i="1"/>
  <c r="D1254" i="1"/>
  <c r="D1253" i="1"/>
  <c r="E1252" i="1"/>
  <c r="I1238" i="1"/>
  <c r="I1237" i="1"/>
  <c r="I1236" i="1"/>
  <c r="F1235" i="1"/>
  <c r="G1234" i="1"/>
  <c r="H1234" i="1" s="1"/>
  <c r="I1230" i="1"/>
  <c r="I1228" i="1"/>
  <c r="I1227" i="1"/>
  <c r="E1226" i="1"/>
  <c r="G1222" i="1"/>
  <c r="H1222" i="1" s="1"/>
  <c r="F1221" i="1"/>
  <c r="D1220" i="1"/>
  <c r="I1215" i="1"/>
  <c r="I1213" i="1"/>
  <c r="D1208" i="1"/>
  <c r="I1206" i="1"/>
  <c r="C1204" i="1"/>
  <c r="E1203" i="1"/>
  <c r="F1202" i="1"/>
  <c r="I1201" i="1"/>
  <c r="I1199" i="1"/>
  <c r="I1197" i="1"/>
  <c r="G1195" i="1"/>
  <c r="D1194" i="1"/>
  <c r="G1191" i="1"/>
  <c r="F1190" i="1"/>
  <c r="C1188" i="1"/>
  <c r="I1184" i="1"/>
  <c r="I1180" i="1"/>
  <c r="E1179" i="1"/>
  <c r="E1178" i="1"/>
  <c r="D1176" i="1"/>
  <c r="E1172" i="1"/>
  <c r="I1168" i="1"/>
  <c r="I1164" i="1"/>
  <c r="E1163" i="1"/>
  <c r="E1162" i="1"/>
  <c r="D1160" i="1"/>
  <c r="E1156" i="1"/>
  <c r="I1152" i="1"/>
  <c r="I1148" i="1"/>
  <c r="E1147" i="1"/>
  <c r="E1146" i="1"/>
  <c r="D1144" i="1"/>
  <c r="E1140" i="1"/>
  <c r="I1136" i="1"/>
  <c r="I1132" i="1"/>
  <c r="E1131" i="1"/>
  <c r="E1130" i="1"/>
  <c r="D1128" i="1"/>
  <c r="E1124" i="1"/>
  <c r="I1120" i="1"/>
  <c r="I1116" i="1"/>
  <c r="E1115" i="1"/>
  <c r="E1114" i="1"/>
  <c r="D1112" i="1"/>
  <c r="E1108" i="1"/>
  <c r="C1106" i="1"/>
  <c r="I1104" i="1"/>
  <c r="I1100" i="1"/>
  <c r="E1099" i="1"/>
  <c r="D1096" i="1"/>
  <c r="E1092" i="1"/>
  <c r="C1090" i="1"/>
  <c r="I1088" i="1"/>
  <c r="I1084" i="1"/>
  <c r="E1083" i="1"/>
  <c r="D1080" i="1"/>
  <c r="E1076" i="1"/>
  <c r="C1074" i="1"/>
  <c r="I1072" i="1"/>
  <c r="G1066" i="1"/>
  <c r="H1066" i="1" s="1"/>
  <c r="C1064" i="1"/>
  <c r="I1062" i="1"/>
  <c r="G1060" i="1"/>
  <c r="H1060" i="1" s="1"/>
  <c r="D1056" i="1"/>
  <c r="E1052" i="1"/>
  <c r="C1050" i="1"/>
  <c r="I1048" i="1"/>
  <c r="F1047" i="1"/>
  <c r="G1042" i="1"/>
  <c r="H1042" i="1" s="1"/>
  <c r="E1041" i="1"/>
  <c r="C1040" i="1"/>
  <c r="G1036" i="1"/>
  <c r="J1036" i="1" s="1"/>
  <c r="K1036" i="1" s="1"/>
  <c r="L1036" i="1" s="1"/>
  <c r="M1036" i="1" s="1"/>
  <c r="E1035" i="1"/>
  <c r="D1034" i="1"/>
  <c r="I1031" i="1"/>
  <c r="F1030" i="1"/>
  <c r="I1026" i="1"/>
  <c r="I1025" i="1"/>
  <c r="D1024" i="1"/>
  <c r="C1022" i="1"/>
  <c r="I1020" i="1"/>
  <c r="F1019" i="1"/>
  <c r="G1014" i="1"/>
  <c r="H1014" i="1" s="1"/>
  <c r="E1013" i="1"/>
  <c r="C1012" i="1"/>
  <c r="G1008" i="1"/>
  <c r="J1008" i="1" s="1"/>
  <c r="K1008" i="1" s="1"/>
  <c r="L1008" i="1" s="1"/>
  <c r="M1008" i="1" s="1"/>
  <c r="E1007" i="1"/>
  <c r="D1006" i="1"/>
  <c r="I1003" i="1"/>
  <c r="G1002" i="1"/>
  <c r="H1002" i="1" s="1"/>
  <c r="E1001" i="1"/>
  <c r="C1000" i="1"/>
  <c r="I997" i="1"/>
  <c r="I910" i="1"/>
  <c r="F910" i="1"/>
  <c r="I874" i="1"/>
  <c r="E874" i="1"/>
  <c r="D874" i="1"/>
  <c r="F734" i="1"/>
  <c r="E734" i="1"/>
  <c r="C734" i="1"/>
  <c r="I1267" i="1"/>
  <c r="G1266" i="1"/>
  <c r="E1220" i="1"/>
  <c r="E1208" i="1"/>
  <c r="F1203" i="1"/>
  <c r="G1202" i="1"/>
  <c r="E1194" i="1"/>
  <c r="G1190" i="1"/>
  <c r="I1179" i="1"/>
  <c r="E1176" i="1"/>
  <c r="I1163" i="1"/>
  <c r="E1160" i="1"/>
  <c r="I1147" i="1"/>
  <c r="E1144" i="1"/>
  <c r="I1131" i="1"/>
  <c r="E1128" i="1"/>
  <c r="I1036" i="1"/>
  <c r="E1034" i="1"/>
  <c r="G1030" i="1"/>
  <c r="E1024" i="1"/>
  <c r="I1019" i="1"/>
  <c r="I1008" i="1"/>
  <c r="J730" i="1"/>
  <c r="K730" i="1" s="1"/>
  <c r="L730" i="1" s="1"/>
  <c r="M730" i="1" s="1"/>
  <c r="G897" i="1"/>
  <c r="C897" i="1"/>
  <c r="E880" i="1"/>
  <c r="F880" i="1"/>
  <c r="C1359" i="1"/>
  <c r="C1351" i="1"/>
  <c r="C1343" i="1"/>
  <c r="C1335" i="1"/>
  <c r="C1327" i="1"/>
  <c r="C1319" i="1"/>
  <c r="C1311" i="1"/>
  <c r="C1303" i="1"/>
  <c r="C1295" i="1"/>
  <c r="C1287" i="1"/>
  <c r="C1274" i="1"/>
  <c r="C1270" i="1"/>
  <c r="I1266" i="1"/>
  <c r="G1259" i="1"/>
  <c r="F1254" i="1"/>
  <c r="G1253" i="1"/>
  <c r="C1248" i="1"/>
  <c r="C1242" i="1"/>
  <c r="C1232" i="1"/>
  <c r="C1230" i="1"/>
  <c r="G1225" i="1"/>
  <c r="C1224" i="1"/>
  <c r="G1220" i="1"/>
  <c r="J1220" i="1" s="1"/>
  <c r="K1220" i="1" s="1"/>
  <c r="L1220" i="1" s="1"/>
  <c r="M1220" i="1" s="1"/>
  <c r="E1219" i="1"/>
  <c r="G1208" i="1"/>
  <c r="H1208" i="1" s="1"/>
  <c r="G1203" i="1"/>
  <c r="F1194" i="1"/>
  <c r="I1190" i="1"/>
  <c r="H1178" i="1"/>
  <c r="G1176" i="1"/>
  <c r="J1176" i="1" s="1"/>
  <c r="K1176" i="1" s="1"/>
  <c r="L1176" i="1" s="1"/>
  <c r="M1176" i="1" s="1"/>
  <c r="G1160" i="1"/>
  <c r="J1160" i="1" s="1"/>
  <c r="K1160" i="1" s="1"/>
  <c r="L1160" i="1" s="1"/>
  <c r="M1160" i="1" s="1"/>
  <c r="G1144" i="1"/>
  <c r="H1144" i="1" s="1"/>
  <c r="G1128" i="1"/>
  <c r="H1114" i="1"/>
  <c r="G1112" i="1"/>
  <c r="J1112" i="1" s="1"/>
  <c r="K1112" i="1" s="1"/>
  <c r="L1112" i="1" s="1"/>
  <c r="M1112" i="1" s="1"/>
  <c r="H1098" i="1"/>
  <c r="G1096" i="1"/>
  <c r="J1096" i="1" s="1"/>
  <c r="K1096" i="1" s="1"/>
  <c r="L1096" i="1" s="1"/>
  <c r="M1096" i="1" s="1"/>
  <c r="H1082" i="1"/>
  <c r="G1080" i="1"/>
  <c r="J1080" i="1" s="1"/>
  <c r="K1080" i="1" s="1"/>
  <c r="L1080" i="1" s="1"/>
  <c r="M1080" i="1" s="1"/>
  <c r="J1068" i="1"/>
  <c r="K1068" i="1" s="1"/>
  <c r="L1068" i="1" s="1"/>
  <c r="M1068" i="1" s="1"/>
  <c r="I1066" i="1"/>
  <c r="I1060" i="1"/>
  <c r="C1058" i="1"/>
  <c r="G1056" i="1"/>
  <c r="H1056" i="1" s="1"/>
  <c r="E1055" i="1"/>
  <c r="E1045" i="1"/>
  <c r="C1044" i="1"/>
  <c r="F1034" i="1"/>
  <c r="I1030" i="1"/>
  <c r="G1024" i="1"/>
  <c r="H1024" i="1" s="1"/>
  <c r="E1023" i="1"/>
  <c r="E1017" i="1"/>
  <c r="C1016" i="1"/>
  <c r="F1006" i="1"/>
  <c r="H853" i="1"/>
  <c r="G865" i="1"/>
  <c r="C865" i="1"/>
  <c r="G833" i="1"/>
  <c r="C833" i="1"/>
  <c r="F706" i="1"/>
  <c r="D706" i="1"/>
  <c r="C706" i="1"/>
  <c r="G700" i="1"/>
  <c r="D700" i="1"/>
  <c r="C700" i="1"/>
  <c r="F1362" i="1"/>
  <c r="D1359" i="1"/>
  <c r="H1355" i="1"/>
  <c r="F1354" i="1"/>
  <c r="D1351" i="1"/>
  <c r="H1347" i="1"/>
  <c r="F1346" i="1"/>
  <c r="D1343" i="1"/>
  <c r="F1338" i="1"/>
  <c r="D1335" i="1"/>
  <c r="F1330" i="1"/>
  <c r="D1327" i="1"/>
  <c r="F1322" i="1"/>
  <c r="D1319" i="1"/>
  <c r="F1314" i="1"/>
  <c r="D1311" i="1"/>
  <c r="F1306" i="1"/>
  <c r="D1303" i="1"/>
  <c r="F1298" i="1"/>
  <c r="D1295" i="1"/>
  <c r="F1290" i="1"/>
  <c r="D1287" i="1"/>
  <c r="F1282" i="1"/>
  <c r="D1274" i="1"/>
  <c r="D1270" i="1"/>
  <c r="C1269" i="1"/>
  <c r="C1264" i="1"/>
  <c r="E1256" i="1"/>
  <c r="G1254" i="1"/>
  <c r="I1253" i="1"/>
  <c r="J1252" i="1"/>
  <c r="K1252" i="1" s="1"/>
  <c r="L1252" i="1" s="1"/>
  <c r="M1252" i="1" s="1"/>
  <c r="F1249" i="1"/>
  <c r="D1248" i="1"/>
  <c r="C1246" i="1"/>
  <c r="D1242" i="1"/>
  <c r="C1238" i="1"/>
  <c r="C1233" i="1"/>
  <c r="D1232" i="1"/>
  <c r="D1230" i="1"/>
  <c r="C1228" i="1"/>
  <c r="I1225" i="1"/>
  <c r="D1224" i="1"/>
  <c r="I1220" i="1"/>
  <c r="F1219" i="1"/>
  <c r="E1217" i="1"/>
  <c r="C1216" i="1"/>
  <c r="C1214" i="1"/>
  <c r="I1208" i="1"/>
  <c r="C1206" i="1"/>
  <c r="I1203" i="1"/>
  <c r="I1202" i="1"/>
  <c r="C1200" i="1"/>
  <c r="C1198" i="1"/>
  <c r="G1194" i="1"/>
  <c r="G1193" i="1"/>
  <c r="C1192" i="1"/>
  <c r="E1187" i="1"/>
  <c r="I1176" i="1"/>
  <c r="F1175" i="1"/>
  <c r="I1160" i="1"/>
  <c r="F1159" i="1"/>
  <c r="J1150" i="1"/>
  <c r="K1150" i="1" s="1"/>
  <c r="L1150" i="1" s="1"/>
  <c r="M1150" i="1" s="1"/>
  <c r="I1144" i="1"/>
  <c r="F1143" i="1"/>
  <c r="J1134" i="1"/>
  <c r="K1134" i="1" s="1"/>
  <c r="L1134" i="1" s="1"/>
  <c r="M1134" i="1" s="1"/>
  <c r="I1128" i="1"/>
  <c r="F1127" i="1"/>
  <c r="J1118" i="1"/>
  <c r="K1118" i="1" s="1"/>
  <c r="L1118" i="1" s="1"/>
  <c r="M1118" i="1" s="1"/>
  <c r="I1112" i="1"/>
  <c r="F1111" i="1"/>
  <c r="I1096" i="1"/>
  <c r="J1086" i="1"/>
  <c r="K1086" i="1" s="1"/>
  <c r="L1086" i="1" s="1"/>
  <c r="M1086" i="1" s="1"/>
  <c r="I1080" i="1"/>
  <c r="J1070" i="1"/>
  <c r="K1070" i="1" s="1"/>
  <c r="L1070" i="1" s="1"/>
  <c r="M1070" i="1" s="1"/>
  <c r="D1058" i="1"/>
  <c r="I1056" i="1"/>
  <c r="F1055" i="1"/>
  <c r="I1045" i="1"/>
  <c r="D1044" i="1"/>
  <c r="G1034" i="1"/>
  <c r="C1026" i="1"/>
  <c r="I1024" i="1"/>
  <c r="F1023" i="1"/>
  <c r="I1017" i="1"/>
  <c r="D1016" i="1"/>
  <c r="G1006" i="1"/>
  <c r="C995" i="1"/>
  <c r="F995" i="1"/>
  <c r="E935" i="1"/>
  <c r="G935" i="1"/>
  <c r="F935" i="1"/>
  <c r="I820" i="1"/>
  <c r="D820" i="1"/>
  <c r="E1359" i="1"/>
  <c r="E1351" i="1"/>
  <c r="E1343" i="1"/>
  <c r="E1335" i="1"/>
  <c r="E1327" i="1"/>
  <c r="E1319" i="1"/>
  <c r="E1311" i="1"/>
  <c r="E1303" i="1"/>
  <c r="G732" i="1"/>
  <c r="F732" i="1"/>
  <c r="C732" i="1"/>
  <c r="C724" i="1"/>
  <c r="G724" i="1"/>
  <c r="C712" i="1"/>
  <c r="G712" i="1"/>
  <c r="F712" i="1"/>
  <c r="D712" i="1"/>
  <c r="D1361" i="1"/>
  <c r="F1359" i="1"/>
  <c r="D1353" i="1"/>
  <c r="F1351" i="1"/>
  <c r="D1345" i="1"/>
  <c r="F1343" i="1"/>
  <c r="D1337" i="1"/>
  <c r="F1335" i="1"/>
  <c r="D1329" i="1"/>
  <c r="F1327" i="1"/>
  <c r="D1321" i="1"/>
  <c r="F1319" i="1"/>
  <c r="D1313" i="1"/>
  <c r="F1311" i="1"/>
  <c r="D1305" i="1"/>
  <c r="F1303" i="1"/>
  <c r="D1297" i="1"/>
  <c r="F1295" i="1"/>
  <c r="D1289" i="1"/>
  <c r="F1287" i="1"/>
  <c r="D1281" i="1"/>
  <c r="C1279" i="1"/>
  <c r="D1278" i="1"/>
  <c r="G1276" i="1"/>
  <c r="J1276" i="1" s="1"/>
  <c r="K1276" i="1" s="1"/>
  <c r="L1276" i="1" s="1"/>
  <c r="M1276" i="1" s="1"/>
  <c r="F1274" i="1"/>
  <c r="D1273" i="1"/>
  <c r="G1271" i="1"/>
  <c r="J1271" i="1" s="1"/>
  <c r="K1271" i="1" s="1"/>
  <c r="L1271" i="1" s="1"/>
  <c r="M1271" i="1" s="1"/>
  <c r="F1270" i="1"/>
  <c r="E1269" i="1"/>
  <c r="D1268" i="1"/>
  <c r="C1267" i="1"/>
  <c r="C1266" i="1"/>
  <c r="E1264" i="1"/>
  <c r="C1263" i="1"/>
  <c r="D1262" i="1"/>
  <c r="E1247" i="1"/>
  <c r="E1246" i="1"/>
  <c r="G1244" i="1"/>
  <c r="H1244" i="1" s="1"/>
  <c r="F1242" i="1"/>
  <c r="D1241" i="1"/>
  <c r="F1239" i="1"/>
  <c r="E1238" i="1"/>
  <c r="D1237" i="1"/>
  <c r="D1234" i="1"/>
  <c r="F1233" i="1"/>
  <c r="G1232" i="1"/>
  <c r="J1232" i="1" s="1"/>
  <c r="K1232" i="1" s="1"/>
  <c r="L1232" i="1" s="1"/>
  <c r="M1232" i="1" s="1"/>
  <c r="E1231" i="1"/>
  <c r="E1229" i="1"/>
  <c r="E1228" i="1"/>
  <c r="G1224" i="1"/>
  <c r="J1224" i="1" s="1"/>
  <c r="K1224" i="1" s="1"/>
  <c r="L1224" i="1" s="1"/>
  <c r="M1224" i="1" s="1"/>
  <c r="D1222" i="1"/>
  <c r="E1216" i="1"/>
  <c r="C1215" i="1"/>
  <c r="E1214" i="1"/>
  <c r="C1213" i="1"/>
  <c r="D1212" i="1"/>
  <c r="H1210" i="1"/>
  <c r="E1206" i="1"/>
  <c r="C1202" i="1"/>
  <c r="E1201" i="1"/>
  <c r="E1200" i="1"/>
  <c r="C1199" i="1"/>
  <c r="E1198" i="1"/>
  <c r="C1197" i="1"/>
  <c r="D1196" i="1"/>
  <c r="E1192" i="1"/>
  <c r="C1190" i="1"/>
  <c r="F1185" i="1"/>
  <c r="D1184" i="1"/>
  <c r="D1180" i="1"/>
  <c r="G1169" i="1"/>
  <c r="H1169" i="1" s="1"/>
  <c r="D1168" i="1"/>
  <c r="D1164" i="1"/>
  <c r="G1153" i="1"/>
  <c r="H1153" i="1" s="1"/>
  <c r="D1152" i="1"/>
  <c r="H1150" i="1"/>
  <c r="D1148" i="1"/>
  <c r="G1137" i="1"/>
  <c r="H1137" i="1" s="1"/>
  <c r="D1136" i="1"/>
  <c r="H1134" i="1"/>
  <c r="D1132" i="1"/>
  <c r="H1126" i="1"/>
  <c r="G1121" i="1"/>
  <c r="H1121" i="1" s="1"/>
  <c r="D1120" i="1"/>
  <c r="H1118" i="1"/>
  <c r="D1116" i="1"/>
  <c r="H1110" i="1"/>
  <c r="G1105" i="1"/>
  <c r="D1104" i="1"/>
  <c r="D1100" i="1"/>
  <c r="G1089" i="1"/>
  <c r="H1089" i="1" s="1"/>
  <c r="D1088" i="1"/>
  <c r="H1086" i="1"/>
  <c r="D1084" i="1"/>
  <c r="G1073" i="1"/>
  <c r="D1072" i="1"/>
  <c r="H1070" i="1"/>
  <c r="E1068" i="1"/>
  <c r="D1066" i="1"/>
  <c r="I1063" i="1"/>
  <c r="E1062" i="1"/>
  <c r="C1060" i="1"/>
  <c r="F1058" i="1"/>
  <c r="H1054" i="1"/>
  <c r="J1052" i="1"/>
  <c r="K1052" i="1" s="1"/>
  <c r="L1052" i="1" s="1"/>
  <c r="M1052" i="1" s="1"/>
  <c r="I1049" i="1"/>
  <c r="D1048" i="1"/>
  <c r="G1044" i="1"/>
  <c r="H1044" i="1" s="1"/>
  <c r="E1043" i="1"/>
  <c r="D1042" i="1"/>
  <c r="I1039" i="1"/>
  <c r="H1038" i="1"/>
  <c r="E1037" i="1"/>
  <c r="C1036" i="1"/>
  <c r="E1032" i="1"/>
  <c r="C1030" i="1"/>
  <c r="F1027" i="1"/>
  <c r="E1026" i="1"/>
  <c r="I1021" i="1"/>
  <c r="D1020" i="1"/>
  <c r="G1016" i="1"/>
  <c r="H1016" i="1" s="1"/>
  <c r="E1015" i="1"/>
  <c r="D1014" i="1"/>
  <c r="I1011" i="1"/>
  <c r="H1010" i="1"/>
  <c r="E1009" i="1"/>
  <c r="C1008" i="1"/>
  <c r="E1004" i="1"/>
  <c r="D1002" i="1"/>
  <c r="I999" i="1"/>
  <c r="F998" i="1"/>
  <c r="J998" i="1" s="1"/>
  <c r="K998" i="1" s="1"/>
  <c r="L998" i="1" s="1"/>
  <c r="M998" i="1" s="1"/>
  <c r="E995" i="1"/>
  <c r="G805" i="1"/>
  <c r="F805" i="1"/>
  <c r="H805" i="1" s="1"/>
  <c r="D805" i="1"/>
  <c r="C805" i="1"/>
  <c r="E1361" i="1"/>
  <c r="E1353" i="1"/>
  <c r="E1345" i="1"/>
  <c r="E1337" i="1"/>
  <c r="E1329" i="1"/>
  <c r="E1321" i="1"/>
  <c r="E1313" i="1"/>
  <c r="E1305" i="1"/>
  <c r="E1297" i="1"/>
  <c r="E1289" i="1"/>
  <c r="E1281" i="1"/>
  <c r="E1279" i="1"/>
  <c r="G1274" i="1"/>
  <c r="E1273" i="1"/>
  <c r="G1270" i="1"/>
  <c r="E1268" i="1"/>
  <c r="E1267" i="1"/>
  <c r="D1266" i="1"/>
  <c r="E1263" i="1"/>
  <c r="I1248" i="1"/>
  <c r="G1242" i="1"/>
  <c r="E1241" i="1"/>
  <c r="G1239" i="1"/>
  <c r="E1215" i="1"/>
  <c r="J1214" i="1"/>
  <c r="K1214" i="1" s="1"/>
  <c r="L1214" i="1" s="1"/>
  <c r="M1214" i="1" s="1"/>
  <c r="E1213" i="1"/>
  <c r="D1202" i="1"/>
  <c r="E1199" i="1"/>
  <c r="E1197" i="1"/>
  <c r="D1190" i="1"/>
  <c r="J1128" i="1"/>
  <c r="K1128" i="1" s="1"/>
  <c r="L1128" i="1" s="1"/>
  <c r="M1128" i="1" s="1"/>
  <c r="D1060" i="1"/>
  <c r="G1058" i="1"/>
  <c r="F1043" i="1"/>
  <c r="I1037" i="1"/>
  <c r="D1036" i="1"/>
  <c r="D1030" i="1"/>
  <c r="F1015" i="1"/>
  <c r="I1009" i="1"/>
  <c r="D1008" i="1"/>
  <c r="I995" i="1"/>
  <c r="F990" i="1"/>
  <c r="J990" i="1" s="1"/>
  <c r="K990" i="1" s="1"/>
  <c r="L990" i="1" s="1"/>
  <c r="M990" i="1" s="1"/>
  <c r="E990" i="1"/>
  <c r="D990" i="1"/>
  <c r="C990" i="1"/>
  <c r="I990" i="1"/>
  <c r="I986" i="1"/>
  <c r="G986" i="1"/>
  <c r="F986" i="1"/>
  <c r="D986" i="1"/>
  <c r="C986" i="1"/>
  <c r="C975" i="1"/>
  <c r="I975" i="1"/>
  <c r="F975" i="1"/>
  <c r="E975" i="1"/>
  <c r="I906" i="1"/>
  <c r="E906" i="1"/>
  <c r="D906" i="1"/>
  <c r="G863" i="1"/>
  <c r="F863" i="1"/>
  <c r="D863" i="1"/>
  <c r="C863" i="1"/>
  <c r="I846" i="1"/>
  <c r="F846" i="1"/>
  <c r="I842" i="1"/>
  <c r="E842" i="1"/>
  <c r="D842" i="1"/>
  <c r="G783" i="1"/>
  <c r="F783" i="1"/>
  <c r="D783" i="1"/>
  <c r="C783" i="1"/>
  <c r="E769" i="1"/>
  <c r="D769" i="1"/>
  <c r="F690" i="1"/>
  <c r="D690" i="1"/>
  <c r="C690" i="1"/>
  <c r="G684" i="1"/>
  <c r="D684" i="1"/>
  <c r="C684" i="1"/>
  <c r="I1361" i="1"/>
  <c r="F1358" i="1"/>
  <c r="I1353" i="1"/>
  <c r="F1350" i="1"/>
  <c r="I1345" i="1"/>
  <c r="F1342" i="1"/>
  <c r="I1337" i="1"/>
  <c r="F1334" i="1"/>
  <c r="I1329" i="1"/>
  <c r="F1326" i="1"/>
  <c r="I1321" i="1"/>
  <c r="F1318" i="1"/>
  <c r="I1313" i="1"/>
  <c r="F1310" i="1"/>
  <c r="I1305" i="1"/>
  <c r="F1302" i="1"/>
  <c r="I1297" i="1"/>
  <c r="F1294" i="1"/>
  <c r="I1289" i="1"/>
  <c r="F1286" i="1"/>
  <c r="I1281" i="1"/>
  <c r="F1279" i="1"/>
  <c r="I1273" i="1"/>
  <c r="I1269" i="1"/>
  <c r="I1268" i="1"/>
  <c r="F1267" i="1"/>
  <c r="G1263" i="1"/>
  <c r="C1253" i="1"/>
  <c r="D1252" i="1"/>
  <c r="I1247" i="1"/>
  <c r="I1241" i="1"/>
  <c r="G1237" i="1"/>
  <c r="J1237" i="1" s="1"/>
  <c r="K1237" i="1" s="1"/>
  <c r="L1237" i="1" s="1"/>
  <c r="M1237" i="1" s="1"/>
  <c r="E1236" i="1"/>
  <c r="E1235" i="1"/>
  <c r="I1233" i="1"/>
  <c r="I1231" i="1"/>
  <c r="I1229" i="1"/>
  <c r="G1227" i="1"/>
  <c r="G1223" i="1"/>
  <c r="H1223" i="1" s="1"/>
  <c r="C1220" i="1"/>
  <c r="I1216" i="1"/>
  <c r="G1215" i="1"/>
  <c r="G1213" i="1"/>
  <c r="G1212" i="1"/>
  <c r="J1212" i="1" s="1"/>
  <c r="K1212" i="1" s="1"/>
  <c r="L1212" i="1" s="1"/>
  <c r="M1212" i="1" s="1"/>
  <c r="C1208" i="1"/>
  <c r="H1204" i="1"/>
  <c r="C1203" i="1"/>
  <c r="G1201" i="1"/>
  <c r="H1201" i="1" s="1"/>
  <c r="I1200" i="1"/>
  <c r="F1199" i="1"/>
  <c r="F1197" i="1"/>
  <c r="G1196" i="1"/>
  <c r="H1196" i="1" s="1"/>
  <c r="I1192" i="1"/>
  <c r="F1191" i="1"/>
  <c r="J1188" i="1"/>
  <c r="K1188" i="1" s="1"/>
  <c r="L1188" i="1" s="1"/>
  <c r="M1188" i="1" s="1"/>
  <c r="G1184" i="1"/>
  <c r="H1184" i="1" s="1"/>
  <c r="G1180" i="1"/>
  <c r="J1180" i="1" s="1"/>
  <c r="K1180" i="1" s="1"/>
  <c r="L1180" i="1" s="1"/>
  <c r="M1180" i="1" s="1"/>
  <c r="C1176" i="1"/>
  <c r="D1172" i="1"/>
  <c r="G1168" i="1"/>
  <c r="H1168" i="1" s="1"/>
  <c r="G1164" i="1"/>
  <c r="J1164" i="1" s="1"/>
  <c r="K1164" i="1" s="1"/>
  <c r="L1164" i="1" s="1"/>
  <c r="M1164" i="1" s="1"/>
  <c r="C1160" i="1"/>
  <c r="D1156" i="1"/>
  <c r="G1152" i="1"/>
  <c r="H1152" i="1" s="1"/>
  <c r="G1148" i="1"/>
  <c r="J1148" i="1" s="1"/>
  <c r="K1148" i="1" s="1"/>
  <c r="L1148" i="1" s="1"/>
  <c r="M1148" i="1" s="1"/>
  <c r="C1144" i="1"/>
  <c r="D1140" i="1"/>
  <c r="G1136" i="1"/>
  <c r="H1136" i="1" s="1"/>
  <c r="G1132" i="1"/>
  <c r="J1132" i="1" s="1"/>
  <c r="K1132" i="1" s="1"/>
  <c r="L1132" i="1" s="1"/>
  <c r="M1132" i="1" s="1"/>
  <c r="C1128" i="1"/>
  <c r="D1124" i="1"/>
  <c r="G1120" i="1"/>
  <c r="H1120" i="1" s="1"/>
  <c r="G1116" i="1"/>
  <c r="J1116" i="1" s="1"/>
  <c r="K1116" i="1" s="1"/>
  <c r="L1116" i="1" s="1"/>
  <c r="M1116" i="1" s="1"/>
  <c r="C1112" i="1"/>
  <c r="G1104" i="1"/>
  <c r="H1104" i="1" s="1"/>
  <c r="G1100" i="1"/>
  <c r="J1100" i="1" s="1"/>
  <c r="K1100" i="1" s="1"/>
  <c r="L1100" i="1" s="1"/>
  <c r="M1100" i="1" s="1"/>
  <c r="C1096" i="1"/>
  <c r="G1088" i="1"/>
  <c r="H1088" i="1" s="1"/>
  <c r="G1084" i="1"/>
  <c r="J1084" i="1" s="1"/>
  <c r="K1084" i="1" s="1"/>
  <c r="L1084" i="1" s="1"/>
  <c r="M1084" i="1" s="1"/>
  <c r="C1080" i="1"/>
  <c r="G1072" i="1"/>
  <c r="H1072" i="1" s="1"/>
  <c r="I1068" i="1"/>
  <c r="E1060" i="1"/>
  <c r="I1057" i="1"/>
  <c r="C1056" i="1"/>
  <c r="G1048" i="1"/>
  <c r="H1048" i="1" s="1"/>
  <c r="E1047" i="1"/>
  <c r="I1043" i="1"/>
  <c r="E1036" i="1"/>
  <c r="I1032" i="1"/>
  <c r="E1025" i="1"/>
  <c r="C1024" i="1"/>
  <c r="G1020" i="1"/>
  <c r="H1020" i="1" s="1"/>
  <c r="E1019" i="1"/>
  <c r="I1015" i="1"/>
  <c r="E1008" i="1"/>
  <c r="I1004" i="1"/>
  <c r="I998" i="1"/>
  <c r="E997" i="1"/>
  <c r="C958" i="1"/>
  <c r="D940" i="1"/>
  <c r="F930" i="1"/>
  <c r="D925" i="1"/>
  <c r="C921" i="1"/>
  <c r="C911" i="1"/>
  <c r="G905" i="1"/>
  <c r="D898" i="1"/>
  <c r="E888" i="1"/>
  <c r="E856" i="1"/>
  <c r="C853" i="1"/>
  <c r="C851" i="1"/>
  <c r="C847" i="1"/>
  <c r="F845" i="1"/>
  <c r="E824" i="1"/>
  <c r="F822" i="1"/>
  <c r="H815" i="1"/>
  <c r="D794" i="1"/>
  <c r="I792" i="1"/>
  <c r="D758" i="1"/>
  <c r="E757" i="1"/>
  <c r="D756" i="1"/>
  <c r="F755" i="1"/>
  <c r="F745" i="1"/>
  <c r="F742" i="1"/>
  <c r="D741" i="1"/>
  <c r="F740" i="1"/>
  <c r="E739" i="1"/>
  <c r="F737" i="1"/>
  <c r="F731" i="1"/>
  <c r="E725" i="1"/>
  <c r="F715" i="1"/>
  <c r="E699" i="1"/>
  <c r="G686" i="1"/>
  <c r="H686" i="1" s="1"/>
  <c r="E683" i="1"/>
  <c r="D682" i="1"/>
  <c r="F678" i="1"/>
  <c r="D658" i="1"/>
  <c r="E629" i="1"/>
  <c r="I625" i="1"/>
  <c r="E621" i="1"/>
  <c r="E619" i="1"/>
  <c r="D616" i="1"/>
  <c r="I613" i="1"/>
  <c r="I605" i="1"/>
  <c r="G602" i="1"/>
  <c r="H602" i="1" s="1"/>
  <c r="I601" i="1"/>
  <c r="I600" i="1"/>
  <c r="I598" i="1"/>
  <c r="E596" i="1"/>
  <c r="I594" i="1"/>
  <c r="G590" i="1"/>
  <c r="H590" i="1" s="1"/>
  <c r="E585" i="1"/>
  <c r="I582" i="1"/>
  <c r="I578" i="1"/>
  <c r="G576" i="1"/>
  <c r="F574" i="1"/>
  <c r="H574" i="1" s="1"/>
  <c r="G567" i="1"/>
  <c r="F566" i="1"/>
  <c r="G565" i="1"/>
  <c r="J565" i="1" s="1"/>
  <c r="K565" i="1" s="1"/>
  <c r="L565" i="1" s="1"/>
  <c r="M565" i="1" s="1"/>
  <c r="E563" i="1"/>
  <c r="F562" i="1"/>
  <c r="F558" i="1"/>
  <c r="F557" i="1"/>
  <c r="I989" i="1"/>
  <c r="D988" i="1"/>
  <c r="I984" i="1"/>
  <c r="F983" i="1"/>
  <c r="E982" i="1"/>
  <c r="H978" i="1"/>
  <c r="E977" i="1"/>
  <c r="C976" i="1"/>
  <c r="C970" i="1"/>
  <c r="F967" i="1"/>
  <c r="H962" i="1"/>
  <c r="E961" i="1"/>
  <c r="D958" i="1"/>
  <c r="D956" i="1"/>
  <c r="E940" i="1"/>
  <c r="F925" i="1"/>
  <c r="D921" i="1"/>
  <c r="D911" i="1"/>
  <c r="H702" i="1"/>
  <c r="I602" i="1"/>
  <c r="I595" i="1"/>
  <c r="H994" i="1"/>
  <c r="E988" i="1"/>
  <c r="I983" i="1"/>
  <c r="I977" i="1"/>
  <c r="D976" i="1"/>
  <c r="E971" i="1"/>
  <c r="D970" i="1"/>
  <c r="I967" i="1"/>
  <c r="J966" i="1"/>
  <c r="K966" i="1" s="1"/>
  <c r="L966" i="1" s="1"/>
  <c r="M966" i="1" s="1"/>
  <c r="I962" i="1"/>
  <c r="I961" i="1"/>
  <c r="G959" i="1"/>
  <c r="J959" i="1" s="1"/>
  <c r="K959" i="1" s="1"/>
  <c r="L959" i="1" s="1"/>
  <c r="M959" i="1" s="1"/>
  <c r="E958" i="1"/>
  <c r="E956" i="1"/>
  <c r="J954" i="1"/>
  <c r="K954" i="1" s="1"/>
  <c r="L954" i="1" s="1"/>
  <c r="M954" i="1" s="1"/>
  <c r="F953" i="1"/>
  <c r="E952" i="1"/>
  <c r="E950" i="1"/>
  <c r="C949" i="1"/>
  <c r="F946" i="1"/>
  <c r="D945" i="1"/>
  <c r="D943" i="1"/>
  <c r="I941" i="1"/>
  <c r="E938" i="1"/>
  <c r="D937" i="1"/>
  <c r="D933" i="1"/>
  <c r="E928" i="1"/>
  <c r="D920" i="1"/>
  <c r="D914" i="1"/>
  <c r="F911" i="1"/>
  <c r="H911" i="1" s="1"/>
  <c r="D904" i="1"/>
  <c r="D890" i="1"/>
  <c r="I888" i="1"/>
  <c r="C887" i="1"/>
  <c r="H885" i="1"/>
  <c r="D882" i="1"/>
  <c r="D872" i="1"/>
  <c r="D858" i="1"/>
  <c r="I856" i="1"/>
  <c r="C855" i="1"/>
  <c r="D850" i="1"/>
  <c r="F847" i="1"/>
  <c r="H847" i="1" s="1"/>
  <c r="D840" i="1"/>
  <c r="D826" i="1"/>
  <c r="J821" i="1"/>
  <c r="K821" i="1" s="1"/>
  <c r="L821" i="1" s="1"/>
  <c r="M821" i="1" s="1"/>
  <c r="J815" i="1"/>
  <c r="K815" i="1" s="1"/>
  <c r="L815" i="1" s="1"/>
  <c r="M815" i="1" s="1"/>
  <c r="C799" i="1"/>
  <c r="D786" i="1"/>
  <c r="F774" i="1"/>
  <c r="H774" i="1" s="1"/>
  <c r="D773" i="1"/>
  <c r="D772" i="1"/>
  <c r="D771" i="1"/>
  <c r="C765" i="1"/>
  <c r="C762" i="1"/>
  <c r="H757" i="1"/>
  <c r="C744" i="1"/>
  <c r="E735" i="1"/>
  <c r="D701" i="1"/>
  <c r="D677" i="1"/>
  <c r="F670" i="1"/>
  <c r="J670" i="1" s="1"/>
  <c r="K670" i="1" s="1"/>
  <c r="L670" i="1" s="1"/>
  <c r="M670" i="1" s="1"/>
  <c r="D653" i="1"/>
  <c r="E651" i="1"/>
  <c r="C650" i="1"/>
  <c r="D648" i="1"/>
  <c r="F641" i="1"/>
  <c r="D637" i="1"/>
  <c r="E635" i="1"/>
  <c r="C634" i="1"/>
  <c r="D632" i="1"/>
  <c r="C610" i="1"/>
  <c r="I590" i="1"/>
  <c r="J586" i="1"/>
  <c r="K586" i="1" s="1"/>
  <c r="L586" i="1" s="1"/>
  <c r="M586" i="1" s="1"/>
  <c r="C580" i="1"/>
  <c r="C578" i="1"/>
  <c r="I574" i="1"/>
  <c r="C569" i="1"/>
  <c r="I566" i="1"/>
  <c r="F561" i="1"/>
  <c r="I558" i="1"/>
  <c r="E555" i="1"/>
  <c r="I988" i="1"/>
  <c r="I981" i="1"/>
  <c r="G976" i="1"/>
  <c r="H976" i="1" s="1"/>
  <c r="I971" i="1"/>
  <c r="F970" i="1"/>
  <c r="I956" i="1"/>
  <c r="G952" i="1"/>
  <c r="F949" i="1"/>
  <c r="G945" i="1"/>
  <c r="J945" i="1" s="1"/>
  <c r="K945" i="1" s="1"/>
  <c r="L945" i="1" s="1"/>
  <c r="M945" i="1" s="1"/>
  <c r="F943" i="1"/>
  <c r="G937" i="1"/>
  <c r="F920" i="1"/>
  <c r="F914" i="1"/>
  <c r="F904" i="1"/>
  <c r="F882" i="1"/>
  <c r="F872" i="1"/>
  <c r="F850" i="1"/>
  <c r="F840" i="1"/>
  <c r="F799" i="1"/>
  <c r="F786" i="1"/>
  <c r="F771" i="1"/>
  <c r="F762" i="1"/>
  <c r="J762" i="1" s="1"/>
  <c r="K762" i="1" s="1"/>
  <c r="L762" i="1" s="1"/>
  <c r="M762" i="1" s="1"/>
  <c r="G735" i="1"/>
  <c r="F701" i="1"/>
  <c r="F677" i="1"/>
  <c r="F673" i="1"/>
  <c r="D669" i="1"/>
  <c r="E667" i="1"/>
  <c r="C666" i="1"/>
  <c r="D664" i="1"/>
  <c r="E659" i="1"/>
  <c r="F653" i="1"/>
  <c r="F650" i="1"/>
  <c r="G648" i="1"/>
  <c r="F637" i="1"/>
  <c r="F634" i="1"/>
  <c r="G632" i="1"/>
  <c r="H632" i="1" s="1"/>
  <c r="G628" i="1"/>
  <c r="H628" i="1" s="1"/>
  <c r="C602" i="1"/>
  <c r="C601" i="1"/>
  <c r="C595" i="1"/>
  <c r="C590" i="1"/>
  <c r="C588" i="1"/>
  <c r="E580" i="1"/>
  <c r="C579" i="1"/>
  <c r="E578" i="1"/>
  <c r="E569" i="1"/>
  <c r="G555" i="1"/>
  <c r="H555" i="1" s="1"/>
  <c r="I976" i="1"/>
  <c r="G970" i="1"/>
  <c r="C962" i="1"/>
  <c r="G960" i="1"/>
  <c r="D955" i="1"/>
  <c r="I952" i="1"/>
  <c r="I945" i="1"/>
  <c r="G943" i="1"/>
  <c r="F924" i="1"/>
  <c r="C903" i="1"/>
  <c r="H901" i="1"/>
  <c r="C857" i="1"/>
  <c r="C839" i="1"/>
  <c r="F837" i="1"/>
  <c r="C831" i="1"/>
  <c r="C825" i="1"/>
  <c r="E816" i="1"/>
  <c r="D813" i="1"/>
  <c r="C807" i="1"/>
  <c r="F803" i="1"/>
  <c r="G795" i="1"/>
  <c r="D792" i="1"/>
  <c r="D790" i="1"/>
  <c r="I771" i="1"/>
  <c r="D759" i="1"/>
  <c r="D743" i="1"/>
  <c r="C742" i="1"/>
  <c r="I735" i="1"/>
  <c r="G708" i="1"/>
  <c r="D696" i="1"/>
  <c r="G692" i="1"/>
  <c r="D680" i="1"/>
  <c r="I673" i="1"/>
  <c r="E669" i="1"/>
  <c r="F667" i="1"/>
  <c r="D666" i="1"/>
  <c r="F664" i="1"/>
  <c r="F622" i="1"/>
  <c r="I615" i="1"/>
  <c r="D613" i="1"/>
  <c r="D605" i="1"/>
  <c r="E603" i="1"/>
  <c r="D602" i="1"/>
  <c r="D601" i="1"/>
  <c r="E598" i="1"/>
  <c r="D597" i="1"/>
  <c r="E595" i="1"/>
  <c r="E594" i="1"/>
  <c r="E591" i="1"/>
  <c r="D590" i="1"/>
  <c r="E588" i="1"/>
  <c r="E582" i="1"/>
  <c r="G580" i="1"/>
  <c r="H580" i="1" s="1"/>
  <c r="E579" i="1"/>
  <c r="F578" i="1"/>
  <c r="C577" i="1"/>
  <c r="I575" i="1"/>
  <c r="C574" i="1"/>
  <c r="G569" i="1"/>
  <c r="H569" i="1" s="1"/>
  <c r="E568" i="1"/>
  <c r="C566" i="1"/>
  <c r="C562" i="1"/>
  <c r="C558" i="1"/>
  <c r="J557" i="1"/>
  <c r="K557" i="1" s="1"/>
  <c r="L557" i="1" s="1"/>
  <c r="M557" i="1" s="1"/>
  <c r="H554" i="1"/>
  <c r="I985" i="1"/>
  <c r="E979" i="1"/>
  <c r="J974" i="1"/>
  <c r="K974" i="1" s="1"/>
  <c r="L974" i="1" s="1"/>
  <c r="M974" i="1" s="1"/>
  <c r="I969" i="1"/>
  <c r="D968" i="1"/>
  <c r="E963" i="1"/>
  <c r="C959" i="1"/>
  <c r="E955" i="1"/>
  <c r="D954" i="1"/>
  <c r="D877" i="1"/>
  <c r="D871" i="1"/>
  <c r="D857" i="1"/>
  <c r="D839" i="1"/>
  <c r="D831" i="1"/>
  <c r="D825" i="1"/>
  <c r="E792" i="1"/>
  <c r="C789" i="1"/>
  <c r="I772" i="1"/>
  <c r="G767" i="1"/>
  <c r="F761" i="1"/>
  <c r="E759" i="1"/>
  <c r="C757" i="1"/>
  <c r="D755" i="1"/>
  <c r="D747" i="1"/>
  <c r="C745" i="1"/>
  <c r="E743" i="1"/>
  <c r="D742" i="1"/>
  <c r="F696" i="1"/>
  <c r="F680" i="1"/>
  <c r="F669" i="1"/>
  <c r="F666" i="1"/>
  <c r="G664" i="1"/>
  <c r="C652" i="1"/>
  <c r="C642" i="1"/>
  <c r="C636" i="1"/>
  <c r="G622" i="1"/>
  <c r="E613" i="1"/>
  <c r="F609" i="1"/>
  <c r="E605" i="1"/>
  <c r="F603" i="1"/>
  <c r="E602" i="1"/>
  <c r="E601" i="1"/>
  <c r="F598" i="1"/>
  <c r="H598" i="1" s="1"/>
  <c r="F597" i="1"/>
  <c r="C596" i="1"/>
  <c r="F595" i="1"/>
  <c r="F594" i="1"/>
  <c r="J594" i="1" s="1"/>
  <c r="K594" i="1" s="1"/>
  <c r="L594" i="1" s="1"/>
  <c r="M594" i="1" s="1"/>
  <c r="G591" i="1"/>
  <c r="E590" i="1"/>
  <c r="C585" i="1"/>
  <c r="F582" i="1"/>
  <c r="H582" i="1" s="1"/>
  <c r="G581" i="1"/>
  <c r="F579" i="1"/>
  <c r="D574" i="1"/>
  <c r="J571" i="1"/>
  <c r="K571" i="1" s="1"/>
  <c r="L571" i="1" s="1"/>
  <c r="M571" i="1" s="1"/>
  <c r="H570" i="1"/>
  <c r="I569" i="1"/>
  <c r="E567" i="1"/>
  <c r="D566" i="1"/>
  <c r="D562" i="1"/>
  <c r="D558" i="1"/>
  <c r="D557" i="1"/>
  <c r="C881" i="1"/>
  <c r="C879" i="1"/>
  <c r="J869" i="1"/>
  <c r="K869" i="1" s="1"/>
  <c r="L869" i="1" s="1"/>
  <c r="M869" i="1" s="1"/>
  <c r="G859" i="1"/>
  <c r="J859" i="1" s="1"/>
  <c r="K859" i="1" s="1"/>
  <c r="L859" i="1" s="1"/>
  <c r="M859" i="1" s="1"/>
  <c r="F854" i="1"/>
  <c r="F831" i="1"/>
  <c r="J831" i="1" s="1"/>
  <c r="K831" i="1" s="1"/>
  <c r="L831" i="1" s="1"/>
  <c r="M831" i="1" s="1"/>
  <c r="C758" i="1"/>
  <c r="D757" i="1"/>
  <c r="C756" i="1"/>
  <c r="E755" i="1"/>
  <c r="E742" i="1"/>
  <c r="C741" i="1"/>
  <c r="D740" i="1"/>
  <c r="D739" i="1"/>
  <c r="E731" i="1"/>
  <c r="G696" i="1"/>
  <c r="J696" i="1" s="1"/>
  <c r="K696" i="1" s="1"/>
  <c r="L696" i="1" s="1"/>
  <c r="M696" i="1" s="1"/>
  <c r="G680" i="1"/>
  <c r="I631" i="1"/>
  <c r="F625" i="1"/>
  <c r="I609" i="1"/>
  <c r="G601" i="1"/>
  <c r="J601" i="1" s="1"/>
  <c r="K601" i="1" s="1"/>
  <c r="L601" i="1" s="1"/>
  <c r="M601" i="1" s="1"/>
  <c r="G600" i="1"/>
  <c r="G597" i="1"/>
  <c r="D596" i="1"/>
  <c r="G595" i="1"/>
  <c r="I581" i="1"/>
  <c r="I580" i="1"/>
  <c r="I579" i="1"/>
  <c r="F567" i="1"/>
  <c r="C563" i="1"/>
  <c r="E557" i="1"/>
  <c r="AG304" i="1"/>
  <c r="AG309" i="1"/>
  <c r="AG308" i="1"/>
  <c r="AG307" i="1"/>
  <c r="AG306" i="1"/>
  <c r="AG305" i="1"/>
  <c r="AI309" i="1"/>
  <c r="AI308" i="1"/>
  <c r="AI307" i="1"/>
  <c r="AI306" i="1"/>
  <c r="AI305" i="1"/>
  <c r="G1179" i="1"/>
  <c r="D1179" i="1"/>
  <c r="G1163" i="1"/>
  <c r="D1163" i="1"/>
  <c r="G1147" i="1"/>
  <c r="D1147" i="1"/>
  <c r="G1131" i="1"/>
  <c r="D1131" i="1"/>
  <c r="G1115" i="1"/>
  <c r="D1115" i="1"/>
  <c r="G1099" i="1"/>
  <c r="D1099" i="1"/>
  <c r="G1083" i="1"/>
  <c r="D1083" i="1"/>
  <c r="G1065" i="1"/>
  <c r="J1065" i="1" s="1"/>
  <c r="K1065" i="1" s="1"/>
  <c r="L1065" i="1" s="1"/>
  <c r="M1065" i="1" s="1"/>
  <c r="D1065" i="1"/>
  <c r="C1065" i="1"/>
  <c r="J1028" i="1"/>
  <c r="K1028" i="1" s="1"/>
  <c r="L1028" i="1" s="1"/>
  <c r="M1028" i="1" s="1"/>
  <c r="H1028" i="1"/>
  <c r="J972" i="1"/>
  <c r="K972" i="1" s="1"/>
  <c r="L972" i="1" s="1"/>
  <c r="M972" i="1" s="1"/>
  <c r="H972" i="1"/>
  <c r="F1360" i="1"/>
  <c r="C1362" i="1"/>
  <c r="G1360" i="1"/>
  <c r="C1358" i="1"/>
  <c r="G1356" i="1"/>
  <c r="J1356" i="1" s="1"/>
  <c r="K1356" i="1" s="1"/>
  <c r="L1356" i="1" s="1"/>
  <c r="M1356" i="1" s="1"/>
  <c r="G1352" i="1"/>
  <c r="H1352" i="1" s="1"/>
  <c r="C1342" i="1"/>
  <c r="G1336" i="1"/>
  <c r="H1336" i="1" s="1"/>
  <c r="C1334" i="1"/>
  <c r="G1328" i="1"/>
  <c r="J1328" i="1" s="1"/>
  <c r="K1328" i="1" s="1"/>
  <c r="L1328" i="1" s="1"/>
  <c r="M1328" i="1" s="1"/>
  <c r="G1324" i="1"/>
  <c r="H1324" i="1" s="1"/>
  <c r="C1314" i="1"/>
  <c r="C1302" i="1"/>
  <c r="D1362" i="1"/>
  <c r="D1354" i="1"/>
  <c r="D1350" i="1"/>
  <c r="D1346" i="1"/>
  <c r="E1362" i="1"/>
  <c r="C1361" i="1"/>
  <c r="I1360" i="1"/>
  <c r="E1358" i="1"/>
  <c r="C1357" i="1"/>
  <c r="I1356" i="1"/>
  <c r="E1354" i="1"/>
  <c r="C1353" i="1"/>
  <c r="I1352" i="1"/>
  <c r="E1350" i="1"/>
  <c r="C1349" i="1"/>
  <c r="I1348" i="1"/>
  <c r="E1346" i="1"/>
  <c r="C1345" i="1"/>
  <c r="I1344" i="1"/>
  <c r="E1342" i="1"/>
  <c r="C1341" i="1"/>
  <c r="I1340" i="1"/>
  <c r="E1338" i="1"/>
  <c r="C1337" i="1"/>
  <c r="I1336" i="1"/>
  <c r="E1334" i="1"/>
  <c r="C1333" i="1"/>
  <c r="I1332" i="1"/>
  <c r="E1330" i="1"/>
  <c r="C1329" i="1"/>
  <c r="I1328" i="1"/>
  <c r="E1326" i="1"/>
  <c r="C1325" i="1"/>
  <c r="I1324" i="1"/>
  <c r="E1322" i="1"/>
  <c r="C1321" i="1"/>
  <c r="I1320" i="1"/>
  <c r="E1318" i="1"/>
  <c r="C1317" i="1"/>
  <c r="I1316" i="1"/>
  <c r="E1314" i="1"/>
  <c r="C1313" i="1"/>
  <c r="I1312" i="1"/>
  <c r="E1310" i="1"/>
  <c r="C1309" i="1"/>
  <c r="I1308" i="1"/>
  <c r="E1306" i="1"/>
  <c r="C1305" i="1"/>
  <c r="I1304" i="1"/>
  <c r="E1302" i="1"/>
  <c r="C1301" i="1"/>
  <c r="I1300" i="1"/>
  <c r="E1298" i="1"/>
  <c r="C1297" i="1"/>
  <c r="I1296" i="1"/>
  <c r="E1294" i="1"/>
  <c r="C1293" i="1"/>
  <c r="I1292" i="1"/>
  <c r="E1290" i="1"/>
  <c r="C1289" i="1"/>
  <c r="I1288" i="1"/>
  <c r="E1286" i="1"/>
  <c r="C1285" i="1"/>
  <c r="I1284" i="1"/>
  <c r="E1282" i="1"/>
  <c r="C1281" i="1"/>
  <c r="I1280" i="1"/>
  <c r="G1279" i="1"/>
  <c r="I1277" i="1"/>
  <c r="E1276" i="1"/>
  <c r="C1273" i="1"/>
  <c r="I1272" i="1"/>
  <c r="E1271" i="1"/>
  <c r="C1268" i="1"/>
  <c r="G1264" i="1"/>
  <c r="H1264" i="1" s="1"/>
  <c r="D1261" i="1"/>
  <c r="F1259" i="1"/>
  <c r="D1256" i="1"/>
  <c r="I1255" i="1"/>
  <c r="C1251" i="1"/>
  <c r="E1249" i="1"/>
  <c r="G1247" i="1"/>
  <c r="H1247" i="1" s="1"/>
  <c r="I1245" i="1"/>
  <c r="E1244" i="1"/>
  <c r="C1241" i="1"/>
  <c r="I1240" i="1"/>
  <c r="E1239" i="1"/>
  <c r="C1236" i="1"/>
  <c r="G1231" i="1"/>
  <c r="G1229" i="1"/>
  <c r="J1229" i="1" s="1"/>
  <c r="K1229" i="1" s="1"/>
  <c r="L1229" i="1" s="1"/>
  <c r="M1229" i="1" s="1"/>
  <c r="J1228" i="1"/>
  <c r="K1228" i="1" s="1"/>
  <c r="L1228" i="1" s="1"/>
  <c r="M1228" i="1" s="1"/>
  <c r="F1227" i="1"/>
  <c r="F1225" i="1"/>
  <c r="E1223" i="1"/>
  <c r="E1221" i="1"/>
  <c r="C1219" i="1"/>
  <c r="C1217" i="1"/>
  <c r="J1210" i="1"/>
  <c r="K1210" i="1" s="1"/>
  <c r="L1210" i="1" s="1"/>
  <c r="M1210" i="1" s="1"/>
  <c r="G1199" i="1"/>
  <c r="G1197" i="1"/>
  <c r="J1196" i="1"/>
  <c r="K1196" i="1" s="1"/>
  <c r="L1196" i="1" s="1"/>
  <c r="M1196" i="1" s="1"/>
  <c r="F1195" i="1"/>
  <c r="F1193" i="1"/>
  <c r="E1191" i="1"/>
  <c r="E1189" i="1"/>
  <c r="C1187" i="1"/>
  <c r="C1185" i="1"/>
  <c r="J1178" i="1"/>
  <c r="K1178" i="1" s="1"/>
  <c r="L1178" i="1" s="1"/>
  <c r="M1178" i="1" s="1"/>
  <c r="E1169" i="1"/>
  <c r="E1153" i="1"/>
  <c r="E1137" i="1"/>
  <c r="J1129" i="1"/>
  <c r="K1129" i="1" s="1"/>
  <c r="L1129" i="1" s="1"/>
  <c r="M1129" i="1" s="1"/>
  <c r="E1121" i="1"/>
  <c r="J1114" i="1"/>
  <c r="K1114" i="1" s="1"/>
  <c r="L1114" i="1" s="1"/>
  <c r="M1114" i="1" s="1"/>
  <c r="J1113" i="1"/>
  <c r="K1113" i="1" s="1"/>
  <c r="L1113" i="1" s="1"/>
  <c r="M1113" i="1" s="1"/>
  <c r="E1105" i="1"/>
  <c r="J1098" i="1"/>
  <c r="K1098" i="1" s="1"/>
  <c r="L1098" i="1" s="1"/>
  <c r="M1098" i="1" s="1"/>
  <c r="J1097" i="1"/>
  <c r="K1097" i="1" s="1"/>
  <c r="L1097" i="1" s="1"/>
  <c r="M1097" i="1" s="1"/>
  <c r="E1089" i="1"/>
  <c r="J1082" i="1"/>
  <c r="K1082" i="1" s="1"/>
  <c r="L1082" i="1" s="1"/>
  <c r="M1082" i="1" s="1"/>
  <c r="E1073" i="1"/>
  <c r="J1060" i="1"/>
  <c r="K1060" i="1" s="1"/>
  <c r="L1060" i="1" s="1"/>
  <c r="M1060" i="1" s="1"/>
  <c r="J1054" i="1"/>
  <c r="K1054" i="1" s="1"/>
  <c r="L1054" i="1" s="1"/>
  <c r="M1054" i="1" s="1"/>
  <c r="D1173" i="1"/>
  <c r="C1173" i="1"/>
  <c r="D1157" i="1"/>
  <c r="C1157" i="1"/>
  <c r="D1141" i="1"/>
  <c r="C1141" i="1"/>
  <c r="D1125" i="1"/>
  <c r="C1125" i="1"/>
  <c r="D1109" i="1"/>
  <c r="C1109" i="1"/>
  <c r="D1093" i="1"/>
  <c r="C1093" i="1"/>
  <c r="D1077" i="1"/>
  <c r="C1077" i="1"/>
  <c r="C1059" i="1"/>
  <c r="G1059" i="1"/>
  <c r="D1059" i="1"/>
  <c r="G1183" i="1"/>
  <c r="D1183" i="1"/>
  <c r="G1167" i="1"/>
  <c r="D1167" i="1"/>
  <c r="G1151" i="1"/>
  <c r="D1151" i="1"/>
  <c r="G1135" i="1"/>
  <c r="D1135" i="1"/>
  <c r="G1119" i="1"/>
  <c r="D1119" i="1"/>
  <c r="G1103" i="1"/>
  <c r="D1103" i="1"/>
  <c r="G1087" i="1"/>
  <c r="D1087" i="1"/>
  <c r="G1071" i="1"/>
  <c r="D1071" i="1"/>
  <c r="H1004" i="1"/>
  <c r="G1358" i="1"/>
  <c r="J1358" i="1" s="1"/>
  <c r="K1358" i="1" s="1"/>
  <c r="L1358" i="1" s="1"/>
  <c r="M1358" i="1" s="1"/>
  <c r="C1348" i="1"/>
  <c r="C1344" i="1"/>
  <c r="C1340" i="1"/>
  <c r="C1332" i="1"/>
  <c r="C1316" i="1"/>
  <c r="G1314" i="1"/>
  <c r="J1314" i="1" s="1"/>
  <c r="K1314" i="1" s="1"/>
  <c r="L1314" i="1" s="1"/>
  <c r="M1314" i="1" s="1"/>
  <c r="G1306" i="1"/>
  <c r="C1296" i="1"/>
  <c r="G1294" i="1"/>
  <c r="C1292" i="1"/>
  <c r="G1290" i="1"/>
  <c r="C1284" i="1"/>
  <c r="G1282" i="1"/>
  <c r="C1280" i="1"/>
  <c r="C1243" i="1"/>
  <c r="C1211" i="1"/>
  <c r="C1209" i="1"/>
  <c r="E1173" i="1"/>
  <c r="E1157" i="1"/>
  <c r="E1141" i="1"/>
  <c r="E1125" i="1"/>
  <c r="E1109" i="1"/>
  <c r="E1093" i="1"/>
  <c r="E1077" i="1"/>
  <c r="E1059" i="1"/>
  <c r="D1177" i="1"/>
  <c r="C1177" i="1"/>
  <c r="D1161" i="1"/>
  <c r="C1161" i="1"/>
  <c r="D1145" i="1"/>
  <c r="C1145" i="1"/>
  <c r="D1129" i="1"/>
  <c r="C1129" i="1"/>
  <c r="D1113" i="1"/>
  <c r="C1113" i="1"/>
  <c r="D1097" i="1"/>
  <c r="C1097" i="1"/>
  <c r="D1081" i="1"/>
  <c r="C1081" i="1"/>
  <c r="C1067" i="1"/>
  <c r="G1067" i="1"/>
  <c r="D1067" i="1"/>
  <c r="G1061" i="1"/>
  <c r="H1061" i="1" s="1"/>
  <c r="D1061" i="1"/>
  <c r="C1061" i="1"/>
  <c r="G1362" i="1"/>
  <c r="C1356" i="1"/>
  <c r="G1354" i="1"/>
  <c r="C1352" i="1"/>
  <c r="G1350" i="1"/>
  <c r="G1346" i="1"/>
  <c r="J1346" i="1" s="1"/>
  <c r="K1346" i="1" s="1"/>
  <c r="L1346" i="1" s="1"/>
  <c r="M1346" i="1" s="1"/>
  <c r="G1338" i="1"/>
  <c r="G1334" i="1"/>
  <c r="G1330" i="1"/>
  <c r="C1328" i="1"/>
  <c r="G1326" i="1"/>
  <c r="J1326" i="1" s="1"/>
  <c r="K1326" i="1" s="1"/>
  <c r="L1326" i="1" s="1"/>
  <c r="M1326" i="1" s="1"/>
  <c r="C1324" i="1"/>
  <c r="C1300" i="1"/>
  <c r="G1298" i="1"/>
  <c r="J1298" i="1" s="1"/>
  <c r="K1298" i="1" s="1"/>
  <c r="L1298" i="1" s="1"/>
  <c r="M1298" i="1" s="1"/>
  <c r="C1275" i="1"/>
  <c r="C1265" i="1"/>
  <c r="C1260" i="1"/>
  <c r="F1361" i="1"/>
  <c r="D1360" i="1"/>
  <c r="F1357" i="1"/>
  <c r="D1356" i="1"/>
  <c r="F1353" i="1"/>
  <c r="D1352" i="1"/>
  <c r="F1349" i="1"/>
  <c r="D1348" i="1"/>
  <c r="F1345" i="1"/>
  <c r="D1344" i="1"/>
  <c r="F1341" i="1"/>
  <c r="D1340" i="1"/>
  <c r="F1337" i="1"/>
  <c r="D1336" i="1"/>
  <c r="F1333" i="1"/>
  <c r="D1332" i="1"/>
  <c r="F1329" i="1"/>
  <c r="D1328" i="1"/>
  <c r="F1325" i="1"/>
  <c r="D1324" i="1"/>
  <c r="F1321" i="1"/>
  <c r="D1320" i="1"/>
  <c r="F1317" i="1"/>
  <c r="D1316" i="1"/>
  <c r="F1313" i="1"/>
  <c r="D1312" i="1"/>
  <c r="F1309" i="1"/>
  <c r="D1308" i="1"/>
  <c r="F1305" i="1"/>
  <c r="D1304" i="1"/>
  <c r="F1301" i="1"/>
  <c r="D1300" i="1"/>
  <c r="F1297" i="1"/>
  <c r="D1296" i="1"/>
  <c r="F1293" i="1"/>
  <c r="D1292" i="1"/>
  <c r="F1289" i="1"/>
  <c r="D1288" i="1"/>
  <c r="F1285" i="1"/>
  <c r="D1284" i="1"/>
  <c r="F1281" i="1"/>
  <c r="D1280" i="1"/>
  <c r="C1277" i="1"/>
  <c r="I1276" i="1"/>
  <c r="E1275" i="1"/>
  <c r="F1273" i="1"/>
  <c r="C1272" i="1"/>
  <c r="G1268" i="1"/>
  <c r="J1268" i="1" s="1"/>
  <c r="K1268" i="1" s="1"/>
  <c r="L1268" i="1" s="1"/>
  <c r="M1268" i="1" s="1"/>
  <c r="D1265" i="1"/>
  <c r="F1263" i="1"/>
  <c r="G1261" i="1"/>
  <c r="H1261" i="1" s="1"/>
  <c r="D1260" i="1"/>
  <c r="I1259" i="1"/>
  <c r="C1255" i="1"/>
  <c r="G1251" i="1"/>
  <c r="J1251" i="1" s="1"/>
  <c r="K1251" i="1" s="1"/>
  <c r="L1251" i="1" s="1"/>
  <c r="M1251" i="1" s="1"/>
  <c r="I1249" i="1"/>
  <c r="E1248" i="1"/>
  <c r="J1246" i="1"/>
  <c r="K1246" i="1" s="1"/>
  <c r="L1246" i="1" s="1"/>
  <c r="M1246" i="1" s="1"/>
  <c r="C1245" i="1"/>
  <c r="I1244" i="1"/>
  <c r="E1243" i="1"/>
  <c r="F1241" i="1"/>
  <c r="C1240" i="1"/>
  <c r="G1236" i="1"/>
  <c r="J1236" i="1" s="1"/>
  <c r="K1236" i="1" s="1"/>
  <c r="L1236" i="1" s="1"/>
  <c r="M1236" i="1" s="1"/>
  <c r="I1223" i="1"/>
  <c r="I1221" i="1"/>
  <c r="G1219" i="1"/>
  <c r="G1217" i="1"/>
  <c r="H1217" i="1" s="1"/>
  <c r="J1216" i="1"/>
  <c r="K1216" i="1" s="1"/>
  <c r="L1216" i="1" s="1"/>
  <c r="M1216" i="1" s="1"/>
  <c r="F1215" i="1"/>
  <c r="F1213" i="1"/>
  <c r="E1211" i="1"/>
  <c r="E1209" i="1"/>
  <c r="C1207" i="1"/>
  <c r="C1205" i="1"/>
  <c r="J1198" i="1"/>
  <c r="K1198" i="1" s="1"/>
  <c r="L1198" i="1" s="1"/>
  <c r="M1198" i="1" s="1"/>
  <c r="I1191" i="1"/>
  <c r="I1189" i="1"/>
  <c r="G1187" i="1"/>
  <c r="H1187" i="1" s="1"/>
  <c r="G1185" i="1"/>
  <c r="C1183" i="1"/>
  <c r="F1179" i="1"/>
  <c r="F1173" i="1"/>
  <c r="J1168" i="1"/>
  <c r="K1168" i="1" s="1"/>
  <c r="L1168" i="1" s="1"/>
  <c r="M1168" i="1" s="1"/>
  <c r="C1167" i="1"/>
  <c r="F1163" i="1"/>
  <c r="F1157" i="1"/>
  <c r="C1151" i="1"/>
  <c r="F1147" i="1"/>
  <c r="F1141" i="1"/>
  <c r="J1136" i="1"/>
  <c r="K1136" i="1" s="1"/>
  <c r="L1136" i="1" s="1"/>
  <c r="M1136" i="1" s="1"/>
  <c r="C1135" i="1"/>
  <c r="F1131" i="1"/>
  <c r="F1125" i="1"/>
  <c r="C1119" i="1"/>
  <c r="F1115" i="1"/>
  <c r="F1109" i="1"/>
  <c r="C1103" i="1"/>
  <c r="F1099" i="1"/>
  <c r="F1093" i="1"/>
  <c r="C1087" i="1"/>
  <c r="F1083" i="1"/>
  <c r="F1077" i="1"/>
  <c r="C1071" i="1"/>
  <c r="I1065" i="1"/>
  <c r="F1059" i="1"/>
  <c r="G1171" i="1"/>
  <c r="D1171" i="1"/>
  <c r="G1155" i="1"/>
  <c r="D1155" i="1"/>
  <c r="G1139" i="1"/>
  <c r="J1139" i="1" s="1"/>
  <c r="K1139" i="1" s="1"/>
  <c r="L1139" i="1" s="1"/>
  <c r="M1139" i="1" s="1"/>
  <c r="D1139" i="1"/>
  <c r="G1123" i="1"/>
  <c r="J1123" i="1" s="1"/>
  <c r="K1123" i="1" s="1"/>
  <c r="L1123" i="1" s="1"/>
  <c r="M1123" i="1" s="1"/>
  <c r="D1123" i="1"/>
  <c r="G1107" i="1"/>
  <c r="J1107" i="1" s="1"/>
  <c r="K1107" i="1" s="1"/>
  <c r="L1107" i="1" s="1"/>
  <c r="M1107" i="1" s="1"/>
  <c r="D1107" i="1"/>
  <c r="G1091" i="1"/>
  <c r="D1091" i="1"/>
  <c r="G1075" i="1"/>
  <c r="D1075" i="1"/>
  <c r="H1036" i="1"/>
  <c r="J1020" i="1"/>
  <c r="K1020" i="1" s="1"/>
  <c r="L1020" i="1" s="1"/>
  <c r="M1020" i="1" s="1"/>
  <c r="J980" i="1"/>
  <c r="K980" i="1" s="1"/>
  <c r="L980" i="1" s="1"/>
  <c r="M980" i="1" s="1"/>
  <c r="H980" i="1"/>
  <c r="J964" i="1"/>
  <c r="K964" i="1" s="1"/>
  <c r="L964" i="1" s="1"/>
  <c r="M964" i="1" s="1"/>
  <c r="H964" i="1"/>
  <c r="C1360" i="1"/>
  <c r="G1342" i="1"/>
  <c r="C1336" i="1"/>
  <c r="G1322" i="1"/>
  <c r="C1320" i="1"/>
  <c r="G1318" i="1"/>
  <c r="J1318" i="1" s="1"/>
  <c r="K1318" i="1" s="1"/>
  <c r="L1318" i="1" s="1"/>
  <c r="M1318" i="1" s="1"/>
  <c r="C1312" i="1"/>
  <c r="G1310" i="1"/>
  <c r="C1308" i="1"/>
  <c r="C1304" i="1"/>
  <c r="G1302" i="1"/>
  <c r="J1302" i="1" s="1"/>
  <c r="K1302" i="1" s="1"/>
  <c r="L1302" i="1" s="1"/>
  <c r="M1302" i="1" s="1"/>
  <c r="C1288" i="1"/>
  <c r="G1286" i="1"/>
  <c r="H1276" i="1"/>
  <c r="I1358" i="1"/>
  <c r="E1356" i="1"/>
  <c r="I1354" i="1"/>
  <c r="E1352" i="1"/>
  <c r="I1350" i="1"/>
  <c r="E1348" i="1"/>
  <c r="I1346" i="1"/>
  <c r="E1344" i="1"/>
  <c r="I1342" i="1"/>
  <c r="E1340" i="1"/>
  <c r="I1338" i="1"/>
  <c r="E1336" i="1"/>
  <c r="I1334" i="1"/>
  <c r="E1332" i="1"/>
  <c r="I1330" i="1"/>
  <c r="E1328" i="1"/>
  <c r="I1326" i="1"/>
  <c r="E1324" i="1"/>
  <c r="I1322" i="1"/>
  <c r="E1320" i="1"/>
  <c r="I1318" i="1"/>
  <c r="E1316" i="1"/>
  <c r="I1314" i="1"/>
  <c r="E1312" i="1"/>
  <c r="I1310" i="1"/>
  <c r="E1308" i="1"/>
  <c r="I1306" i="1"/>
  <c r="E1304" i="1"/>
  <c r="I1302" i="1"/>
  <c r="E1300" i="1"/>
  <c r="I1298" i="1"/>
  <c r="E1296" i="1"/>
  <c r="I1294" i="1"/>
  <c r="E1292" i="1"/>
  <c r="I1290" i="1"/>
  <c r="E1288" i="1"/>
  <c r="I1286" i="1"/>
  <c r="E1284" i="1"/>
  <c r="I1282" i="1"/>
  <c r="E1280" i="1"/>
  <c r="D1277" i="1"/>
  <c r="F1275" i="1"/>
  <c r="D1272" i="1"/>
  <c r="I1271" i="1"/>
  <c r="H1266" i="1"/>
  <c r="E1265" i="1"/>
  <c r="I1261" i="1"/>
  <c r="E1260" i="1"/>
  <c r="I1256" i="1"/>
  <c r="E1255" i="1"/>
  <c r="D1245" i="1"/>
  <c r="F1243" i="1"/>
  <c r="D1240" i="1"/>
  <c r="I1239" i="1"/>
  <c r="I1219" i="1"/>
  <c r="I1217" i="1"/>
  <c r="F1211" i="1"/>
  <c r="F1209" i="1"/>
  <c r="E1207" i="1"/>
  <c r="E1205" i="1"/>
  <c r="H1200" i="1"/>
  <c r="I1187" i="1"/>
  <c r="I1185" i="1"/>
  <c r="E1183" i="1"/>
  <c r="G1173" i="1"/>
  <c r="E1167" i="1"/>
  <c r="H1160" i="1"/>
  <c r="G1157" i="1"/>
  <c r="J1154" i="1"/>
  <c r="K1154" i="1" s="1"/>
  <c r="L1154" i="1" s="1"/>
  <c r="M1154" i="1" s="1"/>
  <c r="E1151" i="1"/>
  <c r="G1141" i="1"/>
  <c r="J1138" i="1"/>
  <c r="K1138" i="1" s="1"/>
  <c r="L1138" i="1" s="1"/>
  <c r="M1138" i="1" s="1"/>
  <c r="E1135" i="1"/>
  <c r="H1128" i="1"/>
  <c r="G1125" i="1"/>
  <c r="J1122" i="1"/>
  <c r="K1122" i="1" s="1"/>
  <c r="L1122" i="1" s="1"/>
  <c r="M1122" i="1" s="1"/>
  <c r="E1119" i="1"/>
  <c r="G1109" i="1"/>
  <c r="J1106" i="1"/>
  <c r="K1106" i="1" s="1"/>
  <c r="L1106" i="1" s="1"/>
  <c r="M1106" i="1" s="1"/>
  <c r="E1103" i="1"/>
  <c r="H1096" i="1"/>
  <c r="G1093" i="1"/>
  <c r="E1087" i="1"/>
  <c r="H1080" i="1"/>
  <c r="G1077" i="1"/>
  <c r="E1071" i="1"/>
  <c r="I1059" i="1"/>
  <c r="J1026" i="1"/>
  <c r="K1026" i="1" s="1"/>
  <c r="L1026" i="1" s="1"/>
  <c r="M1026" i="1" s="1"/>
  <c r="D1181" i="1"/>
  <c r="C1181" i="1"/>
  <c r="D1165" i="1"/>
  <c r="C1165" i="1"/>
  <c r="D1149" i="1"/>
  <c r="C1149" i="1"/>
  <c r="D1133" i="1"/>
  <c r="C1133" i="1"/>
  <c r="D1117" i="1"/>
  <c r="C1117" i="1"/>
  <c r="D1101" i="1"/>
  <c r="C1101" i="1"/>
  <c r="D1085" i="1"/>
  <c r="C1085" i="1"/>
  <c r="D1069" i="1"/>
  <c r="C1069" i="1"/>
  <c r="F1340" i="1"/>
  <c r="F1332" i="1"/>
  <c r="F1320" i="1"/>
  <c r="F1316" i="1"/>
  <c r="F1312" i="1"/>
  <c r="F1308" i="1"/>
  <c r="F1304" i="1"/>
  <c r="F1300" i="1"/>
  <c r="F1296" i="1"/>
  <c r="F1292" i="1"/>
  <c r="F1288" i="1"/>
  <c r="F1284" i="1"/>
  <c r="F1280" i="1"/>
  <c r="G1275" i="1"/>
  <c r="F1265" i="1"/>
  <c r="G1260" i="1"/>
  <c r="J1260" i="1" s="1"/>
  <c r="K1260" i="1" s="1"/>
  <c r="L1260" i="1" s="1"/>
  <c r="M1260" i="1" s="1"/>
  <c r="F1255" i="1"/>
  <c r="E1245" i="1"/>
  <c r="G1243" i="1"/>
  <c r="E1240" i="1"/>
  <c r="G1211" i="1"/>
  <c r="G1209" i="1"/>
  <c r="J1208" i="1"/>
  <c r="K1208" i="1" s="1"/>
  <c r="L1208" i="1" s="1"/>
  <c r="M1208" i="1" s="1"/>
  <c r="F1207" i="1"/>
  <c r="F1205" i="1"/>
  <c r="F1183" i="1"/>
  <c r="I1173" i="1"/>
  <c r="J1172" i="1"/>
  <c r="K1172" i="1" s="1"/>
  <c r="L1172" i="1" s="1"/>
  <c r="M1172" i="1" s="1"/>
  <c r="F1167" i="1"/>
  <c r="I1157" i="1"/>
  <c r="F1151" i="1"/>
  <c r="I1141" i="1"/>
  <c r="F1135" i="1"/>
  <c r="I1125" i="1"/>
  <c r="J1124" i="1"/>
  <c r="K1124" i="1" s="1"/>
  <c r="L1124" i="1" s="1"/>
  <c r="M1124" i="1" s="1"/>
  <c r="F1119" i="1"/>
  <c r="I1109" i="1"/>
  <c r="J1108" i="1"/>
  <c r="K1108" i="1" s="1"/>
  <c r="L1108" i="1" s="1"/>
  <c r="M1108" i="1" s="1"/>
  <c r="F1103" i="1"/>
  <c r="I1093" i="1"/>
  <c r="J1092" i="1"/>
  <c r="K1092" i="1" s="1"/>
  <c r="L1092" i="1" s="1"/>
  <c r="M1092" i="1" s="1"/>
  <c r="F1087" i="1"/>
  <c r="I1077" i="1"/>
  <c r="J1076" i="1"/>
  <c r="K1076" i="1" s="1"/>
  <c r="L1076" i="1" s="1"/>
  <c r="M1076" i="1" s="1"/>
  <c r="F1071" i="1"/>
  <c r="J1064" i="1"/>
  <c r="K1064" i="1" s="1"/>
  <c r="L1064" i="1" s="1"/>
  <c r="M1064" i="1" s="1"/>
  <c r="G1175" i="1"/>
  <c r="D1175" i="1"/>
  <c r="G1159" i="1"/>
  <c r="D1159" i="1"/>
  <c r="G1143" i="1"/>
  <c r="D1143" i="1"/>
  <c r="G1127" i="1"/>
  <c r="D1127" i="1"/>
  <c r="G1111" i="1"/>
  <c r="D1111" i="1"/>
  <c r="G1095" i="1"/>
  <c r="H1095" i="1" s="1"/>
  <c r="D1095" i="1"/>
  <c r="G1079" i="1"/>
  <c r="H1079" i="1" s="1"/>
  <c r="D1079" i="1"/>
  <c r="C1063" i="1"/>
  <c r="G1063" i="1"/>
  <c r="J1063" i="1" s="1"/>
  <c r="K1063" i="1" s="1"/>
  <c r="L1063" i="1" s="1"/>
  <c r="M1063" i="1" s="1"/>
  <c r="D1063" i="1"/>
  <c r="G1053" i="1"/>
  <c r="F1053" i="1"/>
  <c r="D1053" i="1"/>
  <c r="C1053" i="1"/>
  <c r="J1000" i="1"/>
  <c r="K1000" i="1" s="1"/>
  <c r="L1000" i="1" s="1"/>
  <c r="M1000" i="1" s="1"/>
  <c r="H1000" i="1"/>
  <c r="J992" i="1"/>
  <c r="K992" i="1" s="1"/>
  <c r="L992" i="1" s="1"/>
  <c r="M992" i="1" s="1"/>
  <c r="H992" i="1"/>
  <c r="J968" i="1"/>
  <c r="K968" i="1" s="1"/>
  <c r="L968" i="1" s="1"/>
  <c r="M968" i="1" s="1"/>
  <c r="H968" i="1"/>
  <c r="J795" i="1"/>
  <c r="K795" i="1" s="1"/>
  <c r="L795" i="1" s="1"/>
  <c r="M795" i="1" s="1"/>
  <c r="H795" i="1"/>
  <c r="G1348" i="1"/>
  <c r="H1348" i="1" s="1"/>
  <c r="G1344" i="1"/>
  <c r="H1344" i="1" s="1"/>
  <c r="C1330" i="1"/>
  <c r="C1326" i="1"/>
  <c r="C1322" i="1"/>
  <c r="C1318" i="1"/>
  <c r="C1306" i="1"/>
  <c r="C1298" i="1"/>
  <c r="C1294" i="1"/>
  <c r="C1290" i="1"/>
  <c r="C1286" i="1"/>
  <c r="C1282" i="1"/>
  <c r="F1277" i="1"/>
  <c r="C1276" i="1"/>
  <c r="G1272" i="1"/>
  <c r="J1272" i="1" s="1"/>
  <c r="K1272" i="1" s="1"/>
  <c r="L1272" i="1" s="1"/>
  <c r="M1272" i="1" s="1"/>
  <c r="G1265" i="1"/>
  <c r="C1259" i="1"/>
  <c r="G1255" i="1"/>
  <c r="C1249" i="1"/>
  <c r="F1245" i="1"/>
  <c r="C1244" i="1"/>
  <c r="G1240" i="1"/>
  <c r="J1240" i="1" s="1"/>
  <c r="K1240" i="1" s="1"/>
  <c r="L1240" i="1" s="1"/>
  <c r="M1240" i="1" s="1"/>
  <c r="C1227" i="1"/>
  <c r="C1225" i="1"/>
  <c r="H1224" i="1"/>
  <c r="I1211" i="1"/>
  <c r="I1209" i="1"/>
  <c r="G1207" i="1"/>
  <c r="G1205" i="1"/>
  <c r="J1204" i="1"/>
  <c r="K1204" i="1" s="1"/>
  <c r="L1204" i="1" s="1"/>
  <c r="M1204" i="1" s="1"/>
  <c r="C1195" i="1"/>
  <c r="C1193" i="1"/>
  <c r="I1183" i="1"/>
  <c r="E1181" i="1"/>
  <c r="H1180" i="1"/>
  <c r="I1167" i="1"/>
  <c r="E1165" i="1"/>
  <c r="H1164" i="1"/>
  <c r="I1151" i="1"/>
  <c r="E1149" i="1"/>
  <c r="I1135" i="1"/>
  <c r="E1133" i="1"/>
  <c r="I1119" i="1"/>
  <c r="E1117" i="1"/>
  <c r="I1103" i="1"/>
  <c r="E1101" i="1"/>
  <c r="H1100" i="1"/>
  <c r="I1087" i="1"/>
  <c r="E1085" i="1"/>
  <c r="I1071" i="1"/>
  <c r="E1069" i="1"/>
  <c r="D1169" i="1"/>
  <c r="C1169" i="1"/>
  <c r="D1153" i="1"/>
  <c r="C1153" i="1"/>
  <c r="D1137" i="1"/>
  <c r="C1137" i="1"/>
  <c r="D1121" i="1"/>
  <c r="C1121" i="1"/>
  <c r="D1105" i="1"/>
  <c r="C1105" i="1"/>
  <c r="D1089" i="1"/>
  <c r="C1089" i="1"/>
  <c r="D1073" i="1"/>
  <c r="C1073" i="1"/>
  <c r="G1057" i="1"/>
  <c r="F1057" i="1"/>
  <c r="D1057" i="1"/>
  <c r="C1057" i="1"/>
  <c r="J899" i="1"/>
  <c r="K899" i="1" s="1"/>
  <c r="L899" i="1" s="1"/>
  <c r="M899" i="1" s="1"/>
  <c r="H899" i="1"/>
  <c r="J835" i="1"/>
  <c r="K835" i="1" s="1"/>
  <c r="L835" i="1" s="1"/>
  <c r="M835" i="1" s="1"/>
  <c r="H835" i="1"/>
  <c r="C1338" i="1"/>
  <c r="C1310" i="1"/>
  <c r="D1276" i="1"/>
  <c r="I1275" i="1"/>
  <c r="C1271" i="1"/>
  <c r="I1260" i="1"/>
  <c r="E1259" i="1"/>
  <c r="C1256" i="1"/>
  <c r="D1244" i="1"/>
  <c r="I1243" i="1"/>
  <c r="C1239" i="1"/>
  <c r="E1227" i="1"/>
  <c r="E1225" i="1"/>
  <c r="C1223" i="1"/>
  <c r="C1221" i="1"/>
  <c r="H1220" i="1"/>
  <c r="I1207" i="1"/>
  <c r="I1205" i="1"/>
  <c r="E1195" i="1"/>
  <c r="E1193" i="1"/>
  <c r="C1191" i="1"/>
  <c r="C1189" i="1"/>
  <c r="H1188" i="1"/>
  <c r="F1181" i="1"/>
  <c r="C1175" i="1"/>
  <c r="F1165" i="1"/>
  <c r="C1159" i="1"/>
  <c r="F1149" i="1"/>
  <c r="C1143" i="1"/>
  <c r="F1133" i="1"/>
  <c r="C1127" i="1"/>
  <c r="F1117" i="1"/>
  <c r="C1111" i="1"/>
  <c r="H1107" i="1"/>
  <c r="F1101" i="1"/>
  <c r="C1095" i="1"/>
  <c r="F1085" i="1"/>
  <c r="C1079" i="1"/>
  <c r="F1069" i="1"/>
  <c r="H1068" i="1"/>
  <c r="E1063" i="1"/>
  <c r="E1053" i="1"/>
  <c r="E949" i="1"/>
  <c r="I949" i="1"/>
  <c r="E897" i="1"/>
  <c r="I897" i="1"/>
  <c r="F897" i="1"/>
  <c r="D897" i="1"/>
  <c r="G878" i="1"/>
  <c r="J878" i="1" s="1"/>
  <c r="K878" i="1" s="1"/>
  <c r="L878" i="1" s="1"/>
  <c r="M878" i="1" s="1"/>
  <c r="C878" i="1"/>
  <c r="E878" i="1"/>
  <c r="D878" i="1"/>
  <c r="E877" i="1"/>
  <c r="I877" i="1"/>
  <c r="G877" i="1"/>
  <c r="J877" i="1" s="1"/>
  <c r="K877" i="1" s="1"/>
  <c r="L877" i="1" s="1"/>
  <c r="M877" i="1" s="1"/>
  <c r="C877" i="1"/>
  <c r="E857" i="1"/>
  <c r="I857" i="1"/>
  <c r="F857" i="1"/>
  <c r="I851" i="1"/>
  <c r="E851" i="1"/>
  <c r="D851" i="1"/>
  <c r="E833" i="1"/>
  <c r="I833" i="1"/>
  <c r="F833" i="1"/>
  <c r="D833" i="1"/>
  <c r="C816" i="1"/>
  <c r="G816" i="1"/>
  <c r="H816" i="1" s="1"/>
  <c r="I816" i="1"/>
  <c r="D816" i="1"/>
  <c r="G814" i="1"/>
  <c r="J814" i="1" s="1"/>
  <c r="K814" i="1" s="1"/>
  <c r="L814" i="1" s="1"/>
  <c r="M814" i="1" s="1"/>
  <c r="C814" i="1"/>
  <c r="E814" i="1"/>
  <c r="D814" i="1"/>
  <c r="E813" i="1"/>
  <c r="I813" i="1"/>
  <c r="G813" i="1"/>
  <c r="J813" i="1" s="1"/>
  <c r="K813" i="1" s="1"/>
  <c r="L813" i="1" s="1"/>
  <c r="M813" i="1" s="1"/>
  <c r="C813" i="1"/>
  <c r="E793" i="1"/>
  <c r="I793" i="1"/>
  <c r="F793" i="1"/>
  <c r="G790" i="1"/>
  <c r="J790" i="1" s="1"/>
  <c r="K790" i="1" s="1"/>
  <c r="L790" i="1" s="1"/>
  <c r="M790" i="1" s="1"/>
  <c r="C790" i="1"/>
  <c r="I790" i="1"/>
  <c r="E790" i="1"/>
  <c r="C788" i="1"/>
  <c r="G788" i="1"/>
  <c r="F788" i="1"/>
  <c r="E788" i="1"/>
  <c r="E776" i="1"/>
  <c r="F776" i="1"/>
  <c r="I776" i="1"/>
  <c r="D776" i="1"/>
  <c r="I750" i="1"/>
  <c r="C750" i="1"/>
  <c r="D750" i="1"/>
  <c r="E750" i="1"/>
  <c r="C747" i="1"/>
  <c r="E747" i="1"/>
  <c r="I747" i="1"/>
  <c r="F747" i="1"/>
  <c r="C719" i="1"/>
  <c r="G719" i="1"/>
  <c r="F719" i="1"/>
  <c r="E719" i="1"/>
  <c r="D719" i="1"/>
  <c r="G705" i="1"/>
  <c r="H705" i="1" s="1"/>
  <c r="C705" i="1"/>
  <c r="D705" i="1"/>
  <c r="E705" i="1"/>
  <c r="I705" i="1"/>
  <c r="I694" i="1"/>
  <c r="E694" i="1"/>
  <c r="D694" i="1"/>
  <c r="F694" i="1"/>
  <c r="G694" i="1"/>
  <c r="G689" i="1"/>
  <c r="C689" i="1"/>
  <c r="D689" i="1"/>
  <c r="E689" i="1"/>
  <c r="I689" i="1"/>
  <c r="F689" i="1"/>
  <c r="C675" i="1"/>
  <c r="G675" i="1"/>
  <c r="F675" i="1"/>
  <c r="D675" i="1"/>
  <c r="I675" i="1"/>
  <c r="D1055" i="1"/>
  <c r="D1051" i="1"/>
  <c r="D1047" i="1"/>
  <c r="D1043" i="1"/>
  <c r="D1039" i="1"/>
  <c r="D1035" i="1"/>
  <c r="D1031" i="1"/>
  <c r="D1027" i="1"/>
  <c r="D1023" i="1"/>
  <c r="D1019" i="1"/>
  <c r="D1015" i="1"/>
  <c r="D1011" i="1"/>
  <c r="D1007" i="1"/>
  <c r="D1003" i="1"/>
  <c r="D999" i="1"/>
  <c r="D995" i="1"/>
  <c r="D991" i="1"/>
  <c r="D987" i="1"/>
  <c r="D983" i="1"/>
  <c r="D979" i="1"/>
  <c r="D975" i="1"/>
  <c r="D971" i="1"/>
  <c r="D967" i="1"/>
  <c r="D963" i="1"/>
  <c r="F960" i="1"/>
  <c r="F958" i="1"/>
  <c r="G956" i="1"/>
  <c r="H956" i="1" s="1"/>
  <c r="C955" i="1"/>
  <c r="C953" i="1"/>
  <c r="D951" i="1"/>
  <c r="G948" i="1"/>
  <c r="D946" i="1"/>
  <c r="H945" i="1"/>
  <c r="D938" i="1"/>
  <c r="C931" i="1"/>
  <c r="E930" i="1"/>
  <c r="E924" i="1"/>
  <c r="D860" i="1"/>
  <c r="D796" i="1"/>
  <c r="C944" i="1"/>
  <c r="F944" i="1"/>
  <c r="I939" i="1"/>
  <c r="C939" i="1"/>
  <c r="C932" i="1"/>
  <c r="G932" i="1"/>
  <c r="E932" i="1"/>
  <c r="G926" i="1"/>
  <c r="C926" i="1"/>
  <c r="D926" i="1"/>
  <c r="C916" i="1"/>
  <c r="G916" i="1"/>
  <c r="E916" i="1"/>
  <c r="I915" i="1"/>
  <c r="E915" i="1"/>
  <c r="D915" i="1"/>
  <c r="C896" i="1"/>
  <c r="G896" i="1"/>
  <c r="I896" i="1"/>
  <c r="D896" i="1"/>
  <c r="C876" i="1"/>
  <c r="G876" i="1"/>
  <c r="F876" i="1"/>
  <c r="I875" i="1"/>
  <c r="E875" i="1"/>
  <c r="D875" i="1"/>
  <c r="C875" i="1"/>
  <c r="G870" i="1"/>
  <c r="C870" i="1"/>
  <c r="I870" i="1"/>
  <c r="E870" i="1"/>
  <c r="C868" i="1"/>
  <c r="G868" i="1"/>
  <c r="F868" i="1"/>
  <c r="E868" i="1"/>
  <c r="C832" i="1"/>
  <c r="G832" i="1"/>
  <c r="I832" i="1"/>
  <c r="D832" i="1"/>
  <c r="C812" i="1"/>
  <c r="G812" i="1"/>
  <c r="F812" i="1"/>
  <c r="I811" i="1"/>
  <c r="E811" i="1"/>
  <c r="D811" i="1"/>
  <c r="C811" i="1"/>
  <c r="I787" i="1"/>
  <c r="E787" i="1"/>
  <c r="D787" i="1"/>
  <c r="E768" i="1"/>
  <c r="C768" i="1"/>
  <c r="I768" i="1"/>
  <c r="D768" i="1"/>
  <c r="G753" i="1"/>
  <c r="F753" i="1"/>
  <c r="C753" i="1"/>
  <c r="D753" i="1"/>
  <c r="H750" i="1"/>
  <c r="J750" i="1"/>
  <c r="K750" i="1" s="1"/>
  <c r="L750" i="1" s="1"/>
  <c r="M750" i="1" s="1"/>
  <c r="I746" i="1"/>
  <c r="D746" i="1"/>
  <c r="E746" i="1"/>
  <c r="G746" i="1"/>
  <c r="G733" i="1"/>
  <c r="C733" i="1"/>
  <c r="I733" i="1"/>
  <c r="D733" i="1"/>
  <c r="F733" i="1"/>
  <c r="C679" i="1"/>
  <c r="G679" i="1"/>
  <c r="E679" i="1"/>
  <c r="D679" i="1"/>
  <c r="F679" i="1"/>
  <c r="I679" i="1"/>
  <c r="G942" i="1"/>
  <c r="F942" i="1"/>
  <c r="I927" i="1"/>
  <c r="E927" i="1"/>
  <c r="G918" i="1"/>
  <c r="C918" i="1"/>
  <c r="I918" i="1"/>
  <c r="E918" i="1"/>
  <c r="E913" i="1"/>
  <c r="I913" i="1"/>
  <c r="F913" i="1"/>
  <c r="D913" i="1"/>
  <c r="G894" i="1"/>
  <c r="C894" i="1"/>
  <c r="E894" i="1"/>
  <c r="D894" i="1"/>
  <c r="E893" i="1"/>
  <c r="I893" i="1"/>
  <c r="G893" i="1"/>
  <c r="C893" i="1"/>
  <c r="E873" i="1"/>
  <c r="I873" i="1"/>
  <c r="F873" i="1"/>
  <c r="I867" i="1"/>
  <c r="E867" i="1"/>
  <c r="D867" i="1"/>
  <c r="E849" i="1"/>
  <c r="I849" i="1"/>
  <c r="F849" i="1"/>
  <c r="D849" i="1"/>
  <c r="G830" i="1"/>
  <c r="C830" i="1"/>
  <c r="E830" i="1"/>
  <c r="D830" i="1"/>
  <c r="E829" i="1"/>
  <c r="I829" i="1"/>
  <c r="G829" i="1"/>
  <c r="C829" i="1"/>
  <c r="E809" i="1"/>
  <c r="I809" i="1"/>
  <c r="F809" i="1"/>
  <c r="G806" i="1"/>
  <c r="C806" i="1"/>
  <c r="I806" i="1"/>
  <c r="E806" i="1"/>
  <c r="C804" i="1"/>
  <c r="G804" i="1"/>
  <c r="F804" i="1"/>
  <c r="E804" i="1"/>
  <c r="C775" i="1"/>
  <c r="F775" i="1"/>
  <c r="G775" i="1"/>
  <c r="G721" i="1"/>
  <c r="C721" i="1"/>
  <c r="D721" i="1"/>
  <c r="E721" i="1"/>
  <c r="I721" i="1"/>
  <c r="I710" i="1"/>
  <c r="E710" i="1"/>
  <c r="D710" i="1"/>
  <c r="F710" i="1"/>
  <c r="G710" i="1"/>
  <c r="E704" i="1"/>
  <c r="I704" i="1"/>
  <c r="G704" i="1"/>
  <c r="C704" i="1"/>
  <c r="F704" i="1"/>
  <c r="C947" i="1"/>
  <c r="D944" i="1"/>
  <c r="D939" i="1"/>
  <c r="D936" i="1"/>
  <c r="D932" i="1"/>
  <c r="E926" i="1"/>
  <c r="D916" i="1"/>
  <c r="C915" i="1"/>
  <c r="E896" i="1"/>
  <c r="D876" i="1"/>
  <c r="F875" i="1"/>
  <c r="D870" i="1"/>
  <c r="D868" i="1"/>
  <c r="E832" i="1"/>
  <c r="D812" i="1"/>
  <c r="F811" i="1"/>
  <c r="C787" i="1"/>
  <c r="F768" i="1"/>
  <c r="E753" i="1"/>
  <c r="C746" i="1"/>
  <c r="E733" i="1"/>
  <c r="G950" i="1"/>
  <c r="J950" i="1" s="1"/>
  <c r="K950" i="1" s="1"/>
  <c r="L950" i="1" s="1"/>
  <c r="M950" i="1" s="1"/>
  <c r="D950" i="1"/>
  <c r="C912" i="1"/>
  <c r="G912" i="1"/>
  <c r="H912" i="1" s="1"/>
  <c r="I912" i="1"/>
  <c r="D912" i="1"/>
  <c r="C892" i="1"/>
  <c r="G892" i="1"/>
  <c r="F892" i="1"/>
  <c r="I891" i="1"/>
  <c r="E891" i="1"/>
  <c r="D891" i="1"/>
  <c r="C891" i="1"/>
  <c r="G886" i="1"/>
  <c r="J886" i="1" s="1"/>
  <c r="K886" i="1" s="1"/>
  <c r="L886" i="1" s="1"/>
  <c r="M886" i="1" s="1"/>
  <c r="C886" i="1"/>
  <c r="I886" i="1"/>
  <c r="E886" i="1"/>
  <c r="C884" i="1"/>
  <c r="G884" i="1"/>
  <c r="F884" i="1"/>
  <c r="E884" i="1"/>
  <c r="C848" i="1"/>
  <c r="G848" i="1"/>
  <c r="H848" i="1" s="1"/>
  <c r="I848" i="1"/>
  <c r="D848" i="1"/>
  <c r="C828" i="1"/>
  <c r="G828" i="1"/>
  <c r="F828" i="1"/>
  <c r="I827" i="1"/>
  <c r="E827" i="1"/>
  <c r="D827" i="1"/>
  <c r="C827" i="1"/>
  <c r="I803" i="1"/>
  <c r="E803" i="1"/>
  <c r="D803" i="1"/>
  <c r="E785" i="1"/>
  <c r="I785" i="1"/>
  <c r="F785" i="1"/>
  <c r="D785" i="1"/>
  <c r="C767" i="1"/>
  <c r="D767" i="1"/>
  <c r="F767" i="1"/>
  <c r="E764" i="1"/>
  <c r="D764" i="1"/>
  <c r="I764" i="1"/>
  <c r="G764" i="1"/>
  <c r="F764" i="1"/>
  <c r="G749" i="1"/>
  <c r="J749" i="1" s="1"/>
  <c r="K749" i="1" s="1"/>
  <c r="L749" i="1" s="1"/>
  <c r="M749" i="1" s="1"/>
  <c r="D749" i="1"/>
  <c r="I749" i="1"/>
  <c r="C749" i="1"/>
  <c r="I738" i="1"/>
  <c r="F738" i="1"/>
  <c r="C738" i="1"/>
  <c r="G738" i="1"/>
  <c r="E738" i="1"/>
  <c r="H732" i="1"/>
  <c r="J732" i="1"/>
  <c r="K732" i="1" s="1"/>
  <c r="L732" i="1" s="1"/>
  <c r="M732" i="1" s="1"/>
  <c r="E688" i="1"/>
  <c r="I688" i="1"/>
  <c r="G688" i="1"/>
  <c r="C688" i="1"/>
  <c r="F688" i="1"/>
  <c r="D688" i="1"/>
  <c r="G1055" i="1"/>
  <c r="G1051" i="1"/>
  <c r="C1049" i="1"/>
  <c r="G1047" i="1"/>
  <c r="C1045" i="1"/>
  <c r="G1043" i="1"/>
  <c r="C1041" i="1"/>
  <c r="G1039" i="1"/>
  <c r="C1037" i="1"/>
  <c r="G1035" i="1"/>
  <c r="C1033" i="1"/>
  <c r="G1031" i="1"/>
  <c r="H1031" i="1" s="1"/>
  <c r="C1029" i="1"/>
  <c r="G1027" i="1"/>
  <c r="C1025" i="1"/>
  <c r="G1023" i="1"/>
  <c r="J1023" i="1" s="1"/>
  <c r="K1023" i="1" s="1"/>
  <c r="L1023" i="1" s="1"/>
  <c r="M1023" i="1" s="1"/>
  <c r="C1021" i="1"/>
  <c r="G1019" i="1"/>
  <c r="J1019" i="1" s="1"/>
  <c r="K1019" i="1" s="1"/>
  <c r="L1019" i="1" s="1"/>
  <c r="M1019" i="1" s="1"/>
  <c r="C1017" i="1"/>
  <c r="G1015" i="1"/>
  <c r="J1015" i="1" s="1"/>
  <c r="K1015" i="1" s="1"/>
  <c r="L1015" i="1" s="1"/>
  <c r="M1015" i="1" s="1"/>
  <c r="C1013" i="1"/>
  <c r="G1011" i="1"/>
  <c r="J1011" i="1" s="1"/>
  <c r="K1011" i="1" s="1"/>
  <c r="L1011" i="1" s="1"/>
  <c r="M1011" i="1" s="1"/>
  <c r="C1009" i="1"/>
  <c r="G1007" i="1"/>
  <c r="C1005" i="1"/>
  <c r="G1003" i="1"/>
  <c r="J1003" i="1" s="1"/>
  <c r="K1003" i="1" s="1"/>
  <c r="L1003" i="1" s="1"/>
  <c r="M1003" i="1" s="1"/>
  <c r="C1001" i="1"/>
  <c r="G999" i="1"/>
  <c r="C997" i="1"/>
  <c r="G995" i="1"/>
  <c r="C993" i="1"/>
  <c r="G991" i="1"/>
  <c r="J991" i="1" s="1"/>
  <c r="K991" i="1" s="1"/>
  <c r="L991" i="1" s="1"/>
  <c r="M991" i="1" s="1"/>
  <c r="C989" i="1"/>
  <c r="G987" i="1"/>
  <c r="H987" i="1" s="1"/>
  <c r="C985" i="1"/>
  <c r="G983" i="1"/>
  <c r="C981" i="1"/>
  <c r="G979" i="1"/>
  <c r="H979" i="1" s="1"/>
  <c r="C977" i="1"/>
  <c r="G975" i="1"/>
  <c r="C973" i="1"/>
  <c r="G971" i="1"/>
  <c r="H971" i="1" s="1"/>
  <c r="C969" i="1"/>
  <c r="G967" i="1"/>
  <c r="H967" i="1" s="1"/>
  <c r="C965" i="1"/>
  <c r="G963" i="1"/>
  <c r="H963" i="1" s="1"/>
  <c r="C961" i="1"/>
  <c r="I960" i="1"/>
  <c r="F955" i="1"/>
  <c r="G953" i="1"/>
  <c r="G951" i="1"/>
  <c r="J951" i="1" s="1"/>
  <c r="K951" i="1" s="1"/>
  <c r="L951" i="1" s="1"/>
  <c r="M951" i="1" s="1"/>
  <c r="D947" i="1"/>
  <c r="E944" i="1"/>
  <c r="C942" i="1"/>
  <c r="E939" i="1"/>
  <c r="I938" i="1"/>
  <c r="E936" i="1"/>
  <c r="F932" i="1"/>
  <c r="C927" i="1"/>
  <c r="F926" i="1"/>
  <c r="D918" i="1"/>
  <c r="F916" i="1"/>
  <c r="F915" i="1"/>
  <c r="C913" i="1"/>
  <c r="F896" i="1"/>
  <c r="F894" i="1"/>
  <c r="D893" i="1"/>
  <c r="H879" i="1"/>
  <c r="E876" i="1"/>
  <c r="G875" i="1"/>
  <c r="C873" i="1"/>
  <c r="F870" i="1"/>
  <c r="C867" i="1"/>
  <c r="J853" i="1"/>
  <c r="K853" i="1" s="1"/>
  <c r="L853" i="1" s="1"/>
  <c r="M853" i="1" s="1"/>
  <c r="C849" i="1"/>
  <c r="F832" i="1"/>
  <c r="F830" i="1"/>
  <c r="D829" i="1"/>
  <c r="E812" i="1"/>
  <c r="G811" i="1"/>
  <c r="C809" i="1"/>
  <c r="D806" i="1"/>
  <c r="D804" i="1"/>
  <c r="F787" i="1"/>
  <c r="D775" i="1"/>
  <c r="G768" i="1"/>
  <c r="I753" i="1"/>
  <c r="F746" i="1"/>
  <c r="F721" i="1"/>
  <c r="C710" i="1"/>
  <c r="D704" i="1"/>
  <c r="C940" i="1"/>
  <c r="G940" i="1"/>
  <c r="J940" i="1" s="1"/>
  <c r="K940" i="1" s="1"/>
  <c r="L940" i="1" s="1"/>
  <c r="M940" i="1" s="1"/>
  <c r="E937" i="1"/>
  <c r="C937" i="1"/>
  <c r="G934" i="1"/>
  <c r="J934" i="1" s="1"/>
  <c r="K934" i="1" s="1"/>
  <c r="L934" i="1" s="1"/>
  <c r="M934" i="1" s="1"/>
  <c r="C934" i="1"/>
  <c r="I934" i="1"/>
  <c r="C928" i="1"/>
  <c r="G928" i="1"/>
  <c r="E921" i="1"/>
  <c r="I921" i="1"/>
  <c r="F921" i="1"/>
  <c r="G910" i="1"/>
  <c r="H910" i="1" s="1"/>
  <c r="C910" i="1"/>
  <c r="E910" i="1"/>
  <c r="D910" i="1"/>
  <c r="E909" i="1"/>
  <c r="I909" i="1"/>
  <c r="G909" i="1"/>
  <c r="J909" i="1" s="1"/>
  <c r="K909" i="1" s="1"/>
  <c r="L909" i="1" s="1"/>
  <c r="M909" i="1" s="1"/>
  <c r="C909" i="1"/>
  <c r="E889" i="1"/>
  <c r="I889" i="1"/>
  <c r="F889" i="1"/>
  <c r="I883" i="1"/>
  <c r="E883" i="1"/>
  <c r="D883" i="1"/>
  <c r="E865" i="1"/>
  <c r="I865" i="1"/>
  <c r="F865" i="1"/>
  <c r="D865" i="1"/>
  <c r="G846" i="1"/>
  <c r="C846" i="1"/>
  <c r="E846" i="1"/>
  <c r="D846" i="1"/>
  <c r="E845" i="1"/>
  <c r="I845" i="1"/>
  <c r="G845" i="1"/>
  <c r="C845" i="1"/>
  <c r="E825" i="1"/>
  <c r="I825" i="1"/>
  <c r="F825" i="1"/>
  <c r="G822" i="1"/>
  <c r="C822" i="1"/>
  <c r="I822" i="1"/>
  <c r="E822" i="1"/>
  <c r="C820" i="1"/>
  <c r="G820" i="1"/>
  <c r="F820" i="1"/>
  <c r="E820" i="1"/>
  <c r="C784" i="1"/>
  <c r="G784" i="1"/>
  <c r="H784" i="1" s="1"/>
  <c r="I784" i="1"/>
  <c r="D784" i="1"/>
  <c r="G782" i="1"/>
  <c r="C782" i="1"/>
  <c r="E782" i="1"/>
  <c r="D782" i="1"/>
  <c r="C763" i="1"/>
  <c r="I763" i="1"/>
  <c r="E763" i="1"/>
  <c r="D763" i="1"/>
  <c r="G761" i="1"/>
  <c r="J761" i="1" s="1"/>
  <c r="K761" i="1" s="1"/>
  <c r="L761" i="1" s="1"/>
  <c r="M761" i="1" s="1"/>
  <c r="E761" i="1"/>
  <c r="D761" i="1"/>
  <c r="C761" i="1"/>
  <c r="I726" i="1"/>
  <c r="E726" i="1"/>
  <c r="D726" i="1"/>
  <c r="F726" i="1"/>
  <c r="G726" i="1"/>
  <c r="E720" i="1"/>
  <c r="I720" i="1"/>
  <c r="G720" i="1"/>
  <c r="C720" i="1"/>
  <c r="F720" i="1"/>
  <c r="D1049" i="1"/>
  <c r="D1045" i="1"/>
  <c r="D1041" i="1"/>
  <c r="D1037" i="1"/>
  <c r="D1033" i="1"/>
  <c r="D1029" i="1"/>
  <c r="D1025" i="1"/>
  <c r="D1021" i="1"/>
  <c r="D1017" i="1"/>
  <c r="D1013" i="1"/>
  <c r="D1009" i="1"/>
  <c r="D1005" i="1"/>
  <c r="D1001" i="1"/>
  <c r="D997" i="1"/>
  <c r="D993" i="1"/>
  <c r="D989" i="1"/>
  <c r="D985" i="1"/>
  <c r="D981" i="1"/>
  <c r="D977" i="1"/>
  <c r="D973" i="1"/>
  <c r="D969" i="1"/>
  <c r="D965" i="1"/>
  <c r="D961" i="1"/>
  <c r="G955" i="1"/>
  <c r="C954" i="1"/>
  <c r="D952" i="1"/>
  <c r="C950" i="1"/>
  <c r="E947" i="1"/>
  <c r="C945" i="1"/>
  <c r="G944" i="1"/>
  <c r="D942" i="1"/>
  <c r="F939" i="1"/>
  <c r="J938" i="1"/>
  <c r="K938" i="1" s="1"/>
  <c r="L938" i="1" s="1"/>
  <c r="M938" i="1" s="1"/>
  <c r="F936" i="1"/>
  <c r="D927" i="1"/>
  <c r="F918" i="1"/>
  <c r="G915" i="1"/>
  <c r="G913" i="1"/>
  <c r="E912" i="1"/>
  <c r="F893" i="1"/>
  <c r="D892" i="1"/>
  <c r="F891" i="1"/>
  <c r="D886" i="1"/>
  <c r="D884" i="1"/>
  <c r="D873" i="1"/>
  <c r="I868" i="1"/>
  <c r="F867" i="1"/>
  <c r="G849" i="1"/>
  <c r="E848" i="1"/>
  <c r="F829" i="1"/>
  <c r="D828" i="1"/>
  <c r="F827" i="1"/>
  <c r="D809" i="1"/>
  <c r="F806" i="1"/>
  <c r="C803" i="1"/>
  <c r="G787" i="1"/>
  <c r="C785" i="1"/>
  <c r="E775" i="1"/>
  <c r="E767" i="1"/>
  <c r="C764" i="1"/>
  <c r="E749" i="1"/>
  <c r="D738" i="1"/>
  <c r="C948" i="1"/>
  <c r="E948" i="1"/>
  <c r="E929" i="1"/>
  <c r="I929" i="1"/>
  <c r="D929" i="1"/>
  <c r="I923" i="1"/>
  <c r="E923" i="1"/>
  <c r="C923" i="1"/>
  <c r="C908" i="1"/>
  <c r="G908" i="1"/>
  <c r="F908" i="1"/>
  <c r="I907" i="1"/>
  <c r="E907" i="1"/>
  <c r="D907" i="1"/>
  <c r="C907" i="1"/>
  <c r="G902" i="1"/>
  <c r="C902" i="1"/>
  <c r="I902" i="1"/>
  <c r="E902" i="1"/>
  <c r="C900" i="1"/>
  <c r="G900" i="1"/>
  <c r="F900" i="1"/>
  <c r="E900" i="1"/>
  <c r="C864" i="1"/>
  <c r="G864" i="1"/>
  <c r="I864" i="1"/>
  <c r="D864" i="1"/>
  <c r="C844" i="1"/>
  <c r="G844" i="1"/>
  <c r="F844" i="1"/>
  <c r="I843" i="1"/>
  <c r="E843" i="1"/>
  <c r="D843" i="1"/>
  <c r="C843" i="1"/>
  <c r="G838" i="1"/>
  <c r="C838" i="1"/>
  <c r="I838" i="1"/>
  <c r="E838" i="1"/>
  <c r="C836" i="1"/>
  <c r="G836" i="1"/>
  <c r="F836" i="1"/>
  <c r="E836" i="1"/>
  <c r="I819" i="1"/>
  <c r="E819" i="1"/>
  <c r="D819" i="1"/>
  <c r="J803" i="1"/>
  <c r="K803" i="1" s="1"/>
  <c r="L803" i="1" s="1"/>
  <c r="M803" i="1" s="1"/>
  <c r="H803" i="1"/>
  <c r="E801" i="1"/>
  <c r="I801" i="1"/>
  <c r="F801" i="1"/>
  <c r="D801" i="1"/>
  <c r="E780" i="1"/>
  <c r="I780" i="1"/>
  <c r="D780" i="1"/>
  <c r="F780" i="1"/>
  <c r="I778" i="1"/>
  <c r="E778" i="1"/>
  <c r="F778" i="1"/>
  <c r="D778" i="1"/>
  <c r="J763" i="1"/>
  <c r="K763" i="1" s="1"/>
  <c r="L763" i="1" s="1"/>
  <c r="M763" i="1" s="1"/>
  <c r="H763" i="1"/>
  <c r="C751" i="1"/>
  <c r="G751" i="1"/>
  <c r="D751" i="1"/>
  <c r="E751" i="1"/>
  <c r="F947" i="1"/>
  <c r="G939" i="1"/>
  <c r="G936" i="1"/>
  <c r="I932" i="1"/>
  <c r="I926" i="1"/>
  <c r="I916" i="1"/>
  <c r="H895" i="1"/>
  <c r="I876" i="1"/>
  <c r="H831" i="1"/>
  <c r="I812" i="1"/>
  <c r="G946" i="1"/>
  <c r="J946" i="1" s="1"/>
  <c r="K946" i="1" s="1"/>
  <c r="L946" i="1" s="1"/>
  <c r="M946" i="1" s="1"/>
  <c r="E946" i="1"/>
  <c r="I935" i="1"/>
  <c r="D935" i="1"/>
  <c r="G930" i="1"/>
  <c r="C930" i="1"/>
  <c r="C924" i="1"/>
  <c r="G924" i="1"/>
  <c r="E905" i="1"/>
  <c r="I905" i="1"/>
  <c r="F905" i="1"/>
  <c r="I899" i="1"/>
  <c r="E899" i="1"/>
  <c r="D899" i="1"/>
  <c r="J883" i="1"/>
  <c r="K883" i="1" s="1"/>
  <c r="L883" i="1" s="1"/>
  <c r="M883" i="1" s="1"/>
  <c r="H883" i="1"/>
  <c r="E881" i="1"/>
  <c r="I881" i="1"/>
  <c r="F881" i="1"/>
  <c r="D881" i="1"/>
  <c r="G862" i="1"/>
  <c r="C862" i="1"/>
  <c r="E862" i="1"/>
  <c r="D862" i="1"/>
  <c r="E861" i="1"/>
  <c r="I861" i="1"/>
  <c r="G861" i="1"/>
  <c r="H861" i="1" s="1"/>
  <c r="C861" i="1"/>
  <c r="E841" i="1"/>
  <c r="I841" i="1"/>
  <c r="F841" i="1"/>
  <c r="I835" i="1"/>
  <c r="E835" i="1"/>
  <c r="D835" i="1"/>
  <c r="C800" i="1"/>
  <c r="G800" i="1"/>
  <c r="J800" i="1" s="1"/>
  <c r="K800" i="1" s="1"/>
  <c r="L800" i="1" s="1"/>
  <c r="M800" i="1" s="1"/>
  <c r="I800" i="1"/>
  <c r="D800" i="1"/>
  <c r="G798" i="1"/>
  <c r="C798" i="1"/>
  <c r="E798" i="1"/>
  <c r="D798" i="1"/>
  <c r="E797" i="1"/>
  <c r="I797" i="1"/>
  <c r="G797" i="1"/>
  <c r="J797" i="1" s="1"/>
  <c r="K797" i="1" s="1"/>
  <c r="L797" i="1" s="1"/>
  <c r="M797" i="1" s="1"/>
  <c r="C797" i="1"/>
  <c r="G777" i="1"/>
  <c r="J777" i="1" s="1"/>
  <c r="K777" i="1" s="1"/>
  <c r="L777" i="1" s="1"/>
  <c r="M777" i="1" s="1"/>
  <c r="E777" i="1"/>
  <c r="I777" i="1"/>
  <c r="C777" i="1"/>
  <c r="I770" i="1"/>
  <c r="C770" i="1"/>
  <c r="G770" i="1"/>
  <c r="F770" i="1"/>
  <c r="E770" i="1"/>
  <c r="E760" i="1"/>
  <c r="F760" i="1"/>
  <c r="G760" i="1"/>
  <c r="D760" i="1"/>
  <c r="E748" i="1"/>
  <c r="C748" i="1"/>
  <c r="I748" i="1"/>
  <c r="D748" i="1"/>
  <c r="F748" i="1"/>
  <c r="E736" i="1"/>
  <c r="G736" i="1"/>
  <c r="C736" i="1"/>
  <c r="F736" i="1"/>
  <c r="I736" i="1"/>
  <c r="C703" i="1"/>
  <c r="G703" i="1"/>
  <c r="F703" i="1"/>
  <c r="E703" i="1"/>
  <c r="D703" i="1"/>
  <c r="F1049" i="1"/>
  <c r="F1045" i="1"/>
  <c r="F1041" i="1"/>
  <c r="F1037" i="1"/>
  <c r="F1033" i="1"/>
  <c r="F1029" i="1"/>
  <c r="F1025" i="1"/>
  <c r="F1021" i="1"/>
  <c r="F1017" i="1"/>
  <c r="F1013" i="1"/>
  <c r="F1009" i="1"/>
  <c r="F1005" i="1"/>
  <c r="F1001" i="1"/>
  <c r="F997" i="1"/>
  <c r="F993" i="1"/>
  <c r="F989" i="1"/>
  <c r="F985" i="1"/>
  <c r="F981" i="1"/>
  <c r="F977" i="1"/>
  <c r="F973" i="1"/>
  <c r="F969" i="1"/>
  <c r="F965" i="1"/>
  <c r="F961" i="1"/>
  <c r="D960" i="1"/>
  <c r="H959" i="1"/>
  <c r="D948" i="1"/>
  <c r="G947" i="1"/>
  <c r="I944" i="1"/>
  <c r="I936" i="1"/>
  <c r="C929" i="1"/>
  <c r="G927" i="1"/>
  <c r="J927" i="1" s="1"/>
  <c r="K927" i="1" s="1"/>
  <c r="L927" i="1" s="1"/>
  <c r="M927" i="1" s="1"/>
  <c r="D923" i="1"/>
  <c r="D908" i="1"/>
  <c r="F907" i="1"/>
  <c r="D902" i="1"/>
  <c r="D900" i="1"/>
  <c r="E864" i="1"/>
  <c r="D844" i="1"/>
  <c r="F843" i="1"/>
  <c r="D838" i="1"/>
  <c r="D836" i="1"/>
  <c r="H821" i="1"/>
  <c r="C819" i="1"/>
  <c r="C801" i="1"/>
  <c r="C780" i="1"/>
  <c r="C778" i="1"/>
  <c r="I775" i="1"/>
  <c r="F751" i="1"/>
  <c r="I931" i="1"/>
  <c r="E931" i="1"/>
  <c r="E925" i="1"/>
  <c r="I925" i="1"/>
  <c r="G925" i="1"/>
  <c r="H925" i="1" s="1"/>
  <c r="C880" i="1"/>
  <c r="G880" i="1"/>
  <c r="I880" i="1"/>
  <c r="D880" i="1"/>
  <c r="C860" i="1"/>
  <c r="G860" i="1"/>
  <c r="F860" i="1"/>
  <c r="I859" i="1"/>
  <c r="E859" i="1"/>
  <c r="D859" i="1"/>
  <c r="C859" i="1"/>
  <c r="G854" i="1"/>
  <c r="C854" i="1"/>
  <c r="I854" i="1"/>
  <c r="E854" i="1"/>
  <c r="C852" i="1"/>
  <c r="G852" i="1"/>
  <c r="F852" i="1"/>
  <c r="E852" i="1"/>
  <c r="E817" i="1"/>
  <c r="I817" i="1"/>
  <c r="F817" i="1"/>
  <c r="D817" i="1"/>
  <c r="C796" i="1"/>
  <c r="G796" i="1"/>
  <c r="F796" i="1"/>
  <c r="I795" i="1"/>
  <c r="E795" i="1"/>
  <c r="D795" i="1"/>
  <c r="C795" i="1"/>
  <c r="E960" i="1"/>
  <c r="C951" i="1"/>
  <c r="F948" i="1"/>
  <c r="C946" i="1"/>
  <c r="I942" i="1"/>
  <c r="C938" i="1"/>
  <c r="C935" i="1"/>
  <c r="D930" i="1"/>
  <c r="F929" i="1"/>
  <c r="D924" i="1"/>
  <c r="F923" i="1"/>
  <c r="E908" i="1"/>
  <c r="G907" i="1"/>
  <c r="C905" i="1"/>
  <c r="F902" i="1"/>
  <c r="C899" i="1"/>
  <c r="J885" i="1"/>
  <c r="K885" i="1" s="1"/>
  <c r="L885" i="1" s="1"/>
  <c r="M885" i="1" s="1"/>
  <c r="F864" i="1"/>
  <c r="F862" i="1"/>
  <c r="D861" i="1"/>
  <c r="E844" i="1"/>
  <c r="G843" i="1"/>
  <c r="C841" i="1"/>
  <c r="F838" i="1"/>
  <c r="C835" i="1"/>
  <c r="F819" i="1"/>
  <c r="G801" i="1"/>
  <c r="E800" i="1"/>
  <c r="F798" i="1"/>
  <c r="D797" i="1"/>
  <c r="G780" i="1"/>
  <c r="G778" i="1"/>
  <c r="D777" i="1"/>
  <c r="D770" i="1"/>
  <c r="I751" i="1"/>
  <c r="G922" i="1"/>
  <c r="C922" i="1"/>
  <c r="I919" i="1"/>
  <c r="E919" i="1"/>
  <c r="G906" i="1"/>
  <c r="C906" i="1"/>
  <c r="I903" i="1"/>
  <c r="E903" i="1"/>
  <c r="G890" i="1"/>
  <c r="C890" i="1"/>
  <c r="I887" i="1"/>
  <c r="E887" i="1"/>
  <c r="G874" i="1"/>
  <c r="C874" i="1"/>
  <c r="I871" i="1"/>
  <c r="E871" i="1"/>
  <c r="G858" i="1"/>
  <c r="C858" i="1"/>
  <c r="I855" i="1"/>
  <c r="E855" i="1"/>
  <c r="G842" i="1"/>
  <c r="C842" i="1"/>
  <c r="I839" i="1"/>
  <c r="E839" i="1"/>
  <c r="G826" i="1"/>
  <c r="C826" i="1"/>
  <c r="I823" i="1"/>
  <c r="E823" i="1"/>
  <c r="G810" i="1"/>
  <c r="C810" i="1"/>
  <c r="I807" i="1"/>
  <c r="E807" i="1"/>
  <c r="G794" i="1"/>
  <c r="C794" i="1"/>
  <c r="I791" i="1"/>
  <c r="E791" i="1"/>
  <c r="G781" i="1"/>
  <c r="D781" i="1"/>
  <c r="I781" i="1"/>
  <c r="G769" i="1"/>
  <c r="C769" i="1"/>
  <c r="C759" i="1"/>
  <c r="F759" i="1"/>
  <c r="C723" i="1"/>
  <c r="G723" i="1"/>
  <c r="H723" i="1" s="1"/>
  <c r="D723" i="1"/>
  <c r="I723" i="1"/>
  <c r="C707" i="1"/>
  <c r="G707" i="1"/>
  <c r="J707" i="1" s="1"/>
  <c r="K707" i="1" s="1"/>
  <c r="L707" i="1" s="1"/>
  <c r="M707" i="1" s="1"/>
  <c r="D707" i="1"/>
  <c r="I707" i="1"/>
  <c r="C691" i="1"/>
  <c r="G691" i="1"/>
  <c r="J691" i="1" s="1"/>
  <c r="K691" i="1" s="1"/>
  <c r="L691" i="1" s="1"/>
  <c r="M691" i="1" s="1"/>
  <c r="D691" i="1"/>
  <c r="I691" i="1"/>
  <c r="E668" i="1"/>
  <c r="I668" i="1"/>
  <c r="F668" i="1"/>
  <c r="D668" i="1"/>
  <c r="E636" i="1"/>
  <c r="I636" i="1"/>
  <c r="F636" i="1"/>
  <c r="D636" i="1"/>
  <c r="E672" i="1"/>
  <c r="I672" i="1"/>
  <c r="G672" i="1"/>
  <c r="F672" i="1"/>
  <c r="C672" i="1"/>
  <c r="I646" i="1"/>
  <c r="E646" i="1"/>
  <c r="G646" i="1"/>
  <c r="D646" i="1"/>
  <c r="C646" i="1"/>
  <c r="C639" i="1"/>
  <c r="G639" i="1"/>
  <c r="I639" i="1"/>
  <c r="F639" i="1"/>
  <c r="E639" i="1"/>
  <c r="J587" i="1"/>
  <c r="K587" i="1" s="1"/>
  <c r="L587" i="1" s="1"/>
  <c r="M587" i="1" s="1"/>
  <c r="H587" i="1"/>
  <c r="H565" i="1"/>
  <c r="C687" i="1"/>
  <c r="G687" i="1"/>
  <c r="F687" i="1"/>
  <c r="C663" i="1"/>
  <c r="G663" i="1"/>
  <c r="E663" i="1"/>
  <c r="D663" i="1"/>
  <c r="F663" i="1"/>
  <c r="E660" i="1"/>
  <c r="I660" i="1"/>
  <c r="D660" i="1"/>
  <c r="C660" i="1"/>
  <c r="F660" i="1"/>
  <c r="G649" i="1"/>
  <c r="C649" i="1"/>
  <c r="I649" i="1"/>
  <c r="E649" i="1"/>
  <c r="D649" i="1"/>
  <c r="D672" i="1"/>
  <c r="F646" i="1"/>
  <c r="D639" i="1"/>
  <c r="E933" i="1"/>
  <c r="I933" i="1"/>
  <c r="C920" i="1"/>
  <c r="G920" i="1"/>
  <c r="J920" i="1" s="1"/>
  <c r="K920" i="1" s="1"/>
  <c r="L920" i="1" s="1"/>
  <c r="M920" i="1" s="1"/>
  <c r="E917" i="1"/>
  <c r="I917" i="1"/>
  <c r="C904" i="1"/>
  <c r="G904" i="1"/>
  <c r="E901" i="1"/>
  <c r="I901" i="1"/>
  <c r="C888" i="1"/>
  <c r="G888" i="1"/>
  <c r="J888" i="1" s="1"/>
  <c r="K888" i="1" s="1"/>
  <c r="L888" i="1" s="1"/>
  <c r="M888" i="1" s="1"/>
  <c r="E885" i="1"/>
  <c r="I885" i="1"/>
  <c r="C872" i="1"/>
  <c r="G872" i="1"/>
  <c r="E869" i="1"/>
  <c r="I869" i="1"/>
  <c r="C856" i="1"/>
  <c r="G856" i="1"/>
  <c r="J856" i="1" s="1"/>
  <c r="K856" i="1" s="1"/>
  <c r="L856" i="1" s="1"/>
  <c r="M856" i="1" s="1"/>
  <c r="E853" i="1"/>
  <c r="I853" i="1"/>
  <c r="C840" i="1"/>
  <c r="G840" i="1"/>
  <c r="E837" i="1"/>
  <c r="I837" i="1"/>
  <c r="C824" i="1"/>
  <c r="G824" i="1"/>
  <c r="J824" i="1" s="1"/>
  <c r="K824" i="1" s="1"/>
  <c r="L824" i="1" s="1"/>
  <c r="M824" i="1" s="1"/>
  <c r="E821" i="1"/>
  <c r="I821" i="1"/>
  <c r="C808" i="1"/>
  <c r="G808" i="1"/>
  <c r="E805" i="1"/>
  <c r="I805" i="1"/>
  <c r="C792" i="1"/>
  <c r="G792" i="1"/>
  <c r="J792" i="1" s="1"/>
  <c r="K792" i="1" s="1"/>
  <c r="L792" i="1" s="1"/>
  <c r="M792" i="1" s="1"/>
  <c r="E789" i="1"/>
  <c r="I789" i="1"/>
  <c r="G765" i="1"/>
  <c r="J765" i="1" s="1"/>
  <c r="K765" i="1" s="1"/>
  <c r="L765" i="1" s="1"/>
  <c r="M765" i="1" s="1"/>
  <c r="I765" i="1"/>
  <c r="D765" i="1"/>
  <c r="G729" i="1"/>
  <c r="H729" i="1" s="1"/>
  <c r="C729" i="1"/>
  <c r="I729" i="1"/>
  <c r="E729" i="1"/>
  <c r="I718" i="1"/>
  <c r="E718" i="1"/>
  <c r="C718" i="1"/>
  <c r="D718" i="1"/>
  <c r="E716" i="1"/>
  <c r="I716" i="1"/>
  <c r="F716" i="1"/>
  <c r="G713" i="1"/>
  <c r="H713" i="1" s="1"/>
  <c r="C713" i="1"/>
  <c r="I713" i="1"/>
  <c r="E713" i="1"/>
  <c r="I702" i="1"/>
  <c r="E702" i="1"/>
  <c r="C702" i="1"/>
  <c r="D702" i="1"/>
  <c r="E700" i="1"/>
  <c r="I700" i="1"/>
  <c r="F700" i="1"/>
  <c r="G697" i="1"/>
  <c r="C697" i="1"/>
  <c r="I697" i="1"/>
  <c r="E697" i="1"/>
  <c r="I686" i="1"/>
  <c r="E686" i="1"/>
  <c r="C686" i="1"/>
  <c r="D686" i="1"/>
  <c r="E684" i="1"/>
  <c r="I684" i="1"/>
  <c r="F684" i="1"/>
  <c r="G681" i="1"/>
  <c r="H681" i="1" s="1"/>
  <c r="C681" i="1"/>
  <c r="I681" i="1"/>
  <c r="E681" i="1"/>
  <c r="E676" i="1"/>
  <c r="I676" i="1"/>
  <c r="D676" i="1"/>
  <c r="C676" i="1"/>
  <c r="F676" i="1"/>
  <c r="C671" i="1"/>
  <c r="G671" i="1"/>
  <c r="I671" i="1"/>
  <c r="F671" i="1"/>
  <c r="F922" i="1"/>
  <c r="F919" i="1"/>
  <c r="F906" i="1"/>
  <c r="F903" i="1"/>
  <c r="F890" i="1"/>
  <c r="F887" i="1"/>
  <c r="F874" i="1"/>
  <c r="F871" i="1"/>
  <c r="F858" i="1"/>
  <c r="F855" i="1"/>
  <c r="F842" i="1"/>
  <c r="F839" i="1"/>
  <c r="F826" i="1"/>
  <c r="F823" i="1"/>
  <c r="F810" i="1"/>
  <c r="F807" i="1"/>
  <c r="F794" i="1"/>
  <c r="F791" i="1"/>
  <c r="F781" i="1"/>
  <c r="F769" i="1"/>
  <c r="G759" i="1"/>
  <c r="D687" i="1"/>
  <c r="G660" i="1"/>
  <c r="F649" i="1"/>
  <c r="J632" i="1"/>
  <c r="K632" i="1" s="1"/>
  <c r="L632" i="1" s="1"/>
  <c r="M632" i="1" s="1"/>
  <c r="G914" i="1"/>
  <c r="C914" i="1"/>
  <c r="I911" i="1"/>
  <c r="E911" i="1"/>
  <c r="G898" i="1"/>
  <c r="J898" i="1" s="1"/>
  <c r="K898" i="1" s="1"/>
  <c r="L898" i="1" s="1"/>
  <c r="M898" i="1" s="1"/>
  <c r="C898" i="1"/>
  <c r="I895" i="1"/>
  <c r="E895" i="1"/>
  <c r="G882" i="1"/>
  <c r="C882" i="1"/>
  <c r="I879" i="1"/>
  <c r="E879" i="1"/>
  <c r="G866" i="1"/>
  <c r="H866" i="1" s="1"/>
  <c r="C866" i="1"/>
  <c r="I863" i="1"/>
  <c r="E863" i="1"/>
  <c r="G850" i="1"/>
  <c r="C850" i="1"/>
  <c r="I847" i="1"/>
  <c r="E847" i="1"/>
  <c r="G834" i="1"/>
  <c r="H834" i="1" s="1"/>
  <c r="C834" i="1"/>
  <c r="I831" i="1"/>
  <c r="E831" i="1"/>
  <c r="G818" i="1"/>
  <c r="C818" i="1"/>
  <c r="I815" i="1"/>
  <c r="E815" i="1"/>
  <c r="G802" i="1"/>
  <c r="C802" i="1"/>
  <c r="I799" i="1"/>
  <c r="E799" i="1"/>
  <c r="G786" i="1"/>
  <c r="J786" i="1" s="1"/>
  <c r="K786" i="1" s="1"/>
  <c r="L786" i="1" s="1"/>
  <c r="M786" i="1" s="1"/>
  <c r="C786" i="1"/>
  <c r="I783" i="1"/>
  <c r="E783" i="1"/>
  <c r="C779" i="1"/>
  <c r="E779" i="1"/>
  <c r="I779" i="1"/>
  <c r="I766" i="1"/>
  <c r="D766" i="1"/>
  <c r="I762" i="1"/>
  <c r="E762" i="1"/>
  <c r="G745" i="1"/>
  <c r="I745" i="1"/>
  <c r="E745" i="1"/>
  <c r="E744" i="1"/>
  <c r="D744" i="1"/>
  <c r="F744" i="1"/>
  <c r="C743" i="1"/>
  <c r="I743" i="1"/>
  <c r="F743" i="1"/>
  <c r="I734" i="1"/>
  <c r="G734" i="1"/>
  <c r="D734" i="1"/>
  <c r="E732" i="1"/>
  <c r="D732" i="1"/>
  <c r="I732" i="1"/>
  <c r="C727" i="1"/>
  <c r="G727" i="1"/>
  <c r="E727" i="1"/>
  <c r="F727" i="1"/>
  <c r="C711" i="1"/>
  <c r="G711" i="1"/>
  <c r="E711" i="1"/>
  <c r="F711" i="1"/>
  <c r="C695" i="1"/>
  <c r="G695" i="1"/>
  <c r="E695" i="1"/>
  <c r="F695" i="1"/>
  <c r="E652" i="1"/>
  <c r="I652" i="1"/>
  <c r="F652" i="1"/>
  <c r="D652" i="1"/>
  <c r="G823" i="1"/>
  <c r="G807" i="1"/>
  <c r="G791" i="1"/>
  <c r="I769" i="1"/>
  <c r="J718" i="1"/>
  <c r="K718" i="1" s="1"/>
  <c r="L718" i="1" s="1"/>
  <c r="M718" i="1" s="1"/>
  <c r="J702" i="1"/>
  <c r="K702" i="1" s="1"/>
  <c r="L702" i="1" s="1"/>
  <c r="M702" i="1" s="1"/>
  <c r="E687" i="1"/>
  <c r="G676" i="1"/>
  <c r="D671" i="1"/>
  <c r="I663" i="1"/>
  <c r="I662" i="1"/>
  <c r="E662" i="1"/>
  <c r="G662" i="1"/>
  <c r="J662" i="1" s="1"/>
  <c r="K662" i="1" s="1"/>
  <c r="L662" i="1" s="1"/>
  <c r="M662" i="1" s="1"/>
  <c r="D662" i="1"/>
  <c r="C662" i="1"/>
  <c r="C655" i="1"/>
  <c r="G655" i="1"/>
  <c r="I655" i="1"/>
  <c r="F655" i="1"/>
  <c r="E655" i="1"/>
  <c r="J638" i="1"/>
  <c r="K638" i="1" s="1"/>
  <c r="L638" i="1" s="1"/>
  <c r="M638" i="1" s="1"/>
  <c r="H638" i="1"/>
  <c r="G665" i="1"/>
  <c r="C665" i="1"/>
  <c r="I665" i="1"/>
  <c r="E665" i="1"/>
  <c r="D665" i="1"/>
  <c r="C647" i="1"/>
  <c r="G647" i="1"/>
  <c r="E647" i="1"/>
  <c r="D647" i="1"/>
  <c r="F647" i="1"/>
  <c r="E644" i="1"/>
  <c r="I644" i="1"/>
  <c r="D644" i="1"/>
  <c r="C644" i="1"/>
  <c r="F644" i="1"/>
  <c r="G633" i="1"/>
  <c r="C633" i="1"/>
  <c r="I633" i="1"/>
  <c r="E633" i="1"/>
  <c r="D633" i="1"/>
  <c r="I630" i="1"/>
  <c r="E630" i="1"/>
  <c r="G630" i="1"/>
  <c r="F630" i="1"/>
  <c r="D630" i="1"/>
  <c r="C630" i="1"/>
  <c r="E724" i="1"/>
  <c r="I724" i="1"/>
  <c r="D724" i="1"/>
  <c r="F724" i="1"/>
  <c r="E708" i="1"/>
  <c r="I708" i="1"/>
  <c r="D708" i="1"/>
  <c r="F708" i="1"/>
  <c r="E692" i="1"/>
  <c r="I692" i="1"/>
  <c r="D692" i="1"/>
  <c r="F692" i="1"/>
  <c r="I678" i="1"/>
  <c r="E678" i="1"/>
  <c r="G678" i="1"/>
  <c r="D678" i="1"/>
  <c r="F665" i="1"/>
  <c r="G644" i="1"/>
  <c r="F633" i="1"/>
  <c r="G725" i="1"/>
  <c r="C725" i="1"/>
  <c r="I722" i="1"/>
  <c r="E722" i="1"/>
  <c r="G709" i="1"/>
  <c r="J709" i="1" s="1"/>
  <c r="K709" i="1" s="1"/>
  <c r="L709" i="1" s="1"/>
  <c r="M709" i="1" s="1"/>
  <c r="C709" i="1"/>
  <c r="I706" i="1"/>
  <c r="E706" i="1"/>
  <c r="G693" i="1"/>
  <c r="J693" i="1" s="1"/>
  <c r="K693" i="1" s="1"/>
  <c r="L693" i="1" s="1"/>
  <c r="M693" i="1" s="1"/>
  <c r="C693" i="1"/>
  <c r="I690" i="1"/>
  <c r="E690" i="1"/>
  <c r="G677" i="1"/>
  <c r="C677" i="1"/>
  <c r="I674" i="1"/>
  <c r="E674" i="1"/>
  <c r="G661" i="1"/>
  <c r="J661" i="1" s="1"/>
  <c r="K661" i="1" s="1"/>
  <c r="L661" i="1" s="1"/>
  <c r="M661" i="1" s="1"/>
  <c r="C661" i="1"/>
  <c r="I658" i="1"/>
  <c r="E658" i="1"/>
  <c r="G645" i="1"/>
  <c r="H645" i="1" s="1"/>
  <c r="C645" i="1"/>
  <c r="I642" i="1"/>
  <c r="E642" i="1"/>
  <c r="G629" i="1"/>
  <c r="J629" i="1" s="1"/>
  <c r="K629" i="1" s="1"/>
  <c r="L629" i="1" s="1"/>
  <c r="M629" i="1" s="1"/>
  <c r="C629" i="1"/>
  <c r="I626" i="1"/>
  <c r="E626" i="1"/>
  <c r="G613" i="1"/>
  <c r="H613" i="1" s="1"/>
  <c r="C613" i="1"/>
  <c r="I610" i="1"/>
  <c r="E610" i="1"/>
  <c r="F592" i="1"/>
  <c r="E592" i="1"/>
  <c r="F588" i="1"/>
  <c r="D588" i="1"/>
  <c r="I588" i="1"/>
  <c r="C573" i="1"/>
  <c r="G573" i="1"/>
  <c r="J573" i="1" s="1"/>
  <c r="K573" i="1" s="1"/>
  <c r="L573" i="1" s="1"/>
  <c r="M573" i="1" s="1"/>
  <c r="F556" i="1"/>
  <c r="D556" i="1"/>
  <c r="I556" i="1"/>
  <c r="C754" i="1"/>
  <c r="C752" i="1"/>
  <c r="C737" i="1"/>
  <c r="D735" i="1"/>
  <c r="D731" i="1"/>
  <c r="D715" i="1"/>
  <c r="D699" i="1"/>
  <c r="D683" i="1"/>
  <c r="D667" i="1"/>
  <c r="D651" i="1"/>
  <c r="D635" i="1"/>
  <c r="D619" i="1"/>
  <c r="F612" i="1"/>
  <c r="D603" i="1"/>
  <c r="C597" i="1"/>
  <c r="C591" i="1"/>
  <c r="F581" i="1"/>
  <c r="C623" i="1"/>
  <c r="G623" i="1"/>
  <c r="E620" i="1"/>
  <c r="I620" i="1"/>
  <c r="C607" i="1"/>
  <c r="G607" i="1"/>
  <c r="E604" i="1"/>
  <c r="I604" i="1"/>
  <c r="I577" i="1"/>
  <c r="D577" i="1"/>
  <c r="G617" i="1"/>
  <c r="C617" i="1"/>
  <c r="I614" i="1"/>
  <c r="E614" i="1"/>
  <c r="H597" i="1"/>
  <c r="J597" i="1"/>
  <c r="K597" i="1" s="1"/>
  <c r="L597" i="1" s="1"/>
  <c r="M597" i="1" s="1"/>
  <c r="G589" i="1"/>
  <c r="C589" i="1"/>
  <c r="D623" i="1"/>
  <c r="C659" i="1"/>
  <c r="G659" i="1"/>
  <c r="E656" i="1"/>
  <c r="I656" i="1"/>
  <c r="C643" i="1"/>
  <c r="G643" i="1"/>
  <c r="E640" i="1"/>
  <c r="I640" i="1"/>
  <c r="C627" i="1"/>
  <c r="G627" i="1"/>
  <c r="E624" i="1"/>
  <c r="I624" i="1"/>
  <c r="C611" i="1"/>
  <c r="G611" i="1"/>
  <c r="E608" i="1"/>
  <c r="I608" i="1"/>
  <c r="D593" i="1"/>
  <c r="I593" i="1"/>
  <c r="D583" i="1"/>
  <c r="C583" i="1"/>
  <c r="F568" i="1"/>
  <c r="C568" i="1"/>
  <c r="J566" i="1"/>
  <c r="K566" i="1" s="1"/>
  <c r="L566" i="1" s="1"/>
  <c r="M566" i="1" s="1"/>
  <c r="H566" i="1"/>
  <c r="E623" i="1"/>
  <c r="D620" i="1"/>
  <c r="D617" i="1"/>
  <c r="C614" i="1"/>
  <c r="E607" i="1"/>
  <c r="H606" i="1"/>
  <c r="D604" i="1"/>
  <c r="D589" i="1"/>
  <c r="E577" i="1"/>
  <c r="J569" i="1"/>
  <c r="K569" i="1" s="1"/>
  <c r="L569" i="1" s="1"/>
  <c r="M569" i="1" s="1"/>
  <c r="I730" i="1"/>
  <c r="E730" i="1"/>
  <c r="G717" i="1"/>
  <c r="J717" i="1" s="1"/>
  <c r="K717" i="1" s="1"/>
  <c r="L717" i="1" s="1"/>
  <c r="M717" i="1" s="1"/>
  <c r="C717" i="1"/>
  <c r="I714" i="1"/>
  <c r="E714" i="1"/>
  <c r="G701" i="1"/>
  <c r="C701" i="1"/>
  <c r="I698" i="1"/>
  <c r="E698" i="1"/>
  <c r="G685" i="1"/>
  <c r="J685" i="1" s="1"/>
  <c r="K685" i="1" s="1"/>
  <c r="L685" i="1" s="1"/>
  <c r="M685" i="1" s="1"/>
  <c r="C685" i="1"/>
  <c r="I682" i="1"/>
  <c r="E682" i="1"/>
  <c r="G669" i="1"/>
  <c r="J669" i="1" s="1"/>
  <c r="K669" i="1" s="1"/>
  <c r="L669" i="1" s="1"/>
  <c r="M669" i="1" s="1"/>
  <c r="C669" i="1"/>
  <c r="I666" i="1"/>
  <c r="E666" i="1"/>
  <c r="G653" i="1"/>
  <c r="C653" i="1"/>
  <c r="I650" i="1"/>
  <c r="E650" i="1"/>
  <c r="G637" i="1"/>
  <c r="C637" i="1"/>
  <c r="I634" i="1"/>
  <c r="E634" i="1"/>
  <c r="G621" i="1"/>
  <c r="J621" i="1" s="1"/>
  <c r="K621" i="1" s="1"/>
  <c r="L621" i="1" s="1"/>
  <c r="M621" i="1" s="1"/>
  <c r="C621" i="1"/>
  <c r="I618" i="1"/>
  <c r="E618" i="1"/>
  <c r="G605" i="1"/>
  <c r="J605" i="1" s="1"/>
  <c r="K605" i="1" s="1"/>
  <c r="L605" i="1" s="1"/>
  <c r="M605" i="1" s="1"/>
  <c r="C605" i="1"/>
  <c r="F584" i="1"/>
  <c r="C584" i="1"/>
  <c r="J582" i="1"/>
  <c r="K582" i="1" s="1"/>
  <c r="L582" i="1" s="1"/>
  <c r="M582" i="1" s="1"/>
  <c r="D571" i="1"/>
  <c r="E571" i="1"/>
  <c r="I571" i="1"/>
  <c r="F773" i="1"/>
  <c r="G771" i="1"/>
  <c r="F758" i="1"/>
  <c r="G756" i="1"/>
  <c r="J756" i="1" s="1"/>
  <c r="K756" i="1" s="1"/>
  <c r="L756" i="1" s="1"/>
  <c r="M756" i="1" s="1"/>
  <c r="G754" i="1"/>
  <c r="F741" i="1"/>
  <c r="G739" i="1"/>
  <c r="H739" i="1" s="1"/>
  <c r="G722" i="1"/>
  <c r="G706" i="1"/>
  <c r="G690" i="1"/>
  <c r="G674" i="1"/>
  <c r="H674" i="1" s="1"/>
  <c r="D659" i="1"/>
  <c r="G658" i="1"/>
  <c r="H658" i="1" s="1"/>
  <c r="C656" i="1"/>
  <c r="D643" i="1"/>
  <c r="G642" i="1"/>
  <c r="H642" i="1" s="1"/>
  <c r="C640" i="1"/>
  <c r="D627" i="1"/>
  <c r="G626" i="1"/>
  <c r="H626" i="1" s="1"/>
  <c r="C624" i="1"/>
  <c r="F623" i="1"/>
  <c r="F620" i="1"/>
  <c r="E617" i="1"/>
  <c r="H616" i="1"/>
  <c r="D614" i="1"/>
  <c r="D611" i="1"/>
  <c r="G610" i="1"/>
  <c r="H610" i="1" s="1"/>
  <c r="C608" i="1"/>
  <c r="F607" i="1"/>
  <c r="F604" i="1"/>
  <c r="I597" i="1"/>
  <c r="C593" i="1"/>
  <c r="E589" i="1"/>
  <c r="E583" i="1"/>
  <c r="F577" i="1"/>
  <c r="I573" i="1"/>
  <c r="D568" i="1"/>
  <c r="H567" i="1"/>
  <c r="H557" i="1"/>
  <c r="J555" i="1"/>
  <c r="K555" i="1" s="1"/>
  <c r="L555" i="1" s="1"/>
  <c r="M555" i="1" s="1"/>
  <c r="C631" i="1"/>
  <c r="G631" i="1"/>
  <c r="H631" i="1" s="1"/>
  <c r="E628" i="1"/>
  <c r="I628" i="1"/>
  <c r="C615" i="1"/>
  <c r="G615" i="1"/>
  <c r="H615" i="1" s="1"/>
  <c r="E612" i="1"/>
  <c r="I612" i="1"/>
  <c r="D599" i="1"/>
  <c r="C599" i="1"/>
  <c r="D575" i="1"/>
  <c r="F575" i="1"/>
  <c r="F560" i="1"/>
  <c r="D560" i="1"/>
  <c r="E560" i="1"/>
  <c r="D559" i="1"/>
  <c r="I559" i="1"/>
  <c r="F559" i="1"/>
  <c r="G620" i="1"/>
  <c r="F617" i="1"/>
  <c r="F614" i="1"/>
  <c r="F589" i="1"/>
  <c r="G673" i="1"/>
  <c r="H673" i="1" s="1"/>
  <c r="C673" i="1"/>
  <c r="I670" i="1"/>
  <c r="E670" i="1"/>
  <c r="G657" i="1"/>
  <c r="H657" i="1" s="1"/>
  <c r="C657" i="1"/>
  <c r="I654" i="1"/>
  <c r="E654" i="1"/>
  <c r="G641" i="1"/>
  <c r="C641" i="1"/>
  <c r="I638" i="1"/>
  <c r="E638" i="1"/>
  <c r="G625" i="1"/>
  <c r="H625" i="1" s="1"/>
  <c r="C625" i="1"/>
  <c r="I622" i="1"/>
  <c r="E622" i="1"/>
  <c r="G609" i="1"/>
  <c r="H609" i="1" s="1"/>
  <c r="C609" i="1"/>
  <c r="I606" i="1"/>
  <c r="E606" i="1"/>
  <c r="F600" i="1"/>
  <c r="C600" i="1"/>
  <c r="J598" i="1"/>
  <c r="K598" i="1" s="1"/>
  <c r="L598" i="1" s="1"/>
  <c r="M598" i="1" s="1"/>
  <c r="D587" i="1"/>
  <c r="I587" i="1"/>
  <c r="E587" i="1"/>
  <c r="F576" i="1"/>
  <c r="E576" i="1"/>
  <c r="F572" i="1"/>
  <c r="I572" i="1"/>
  <c r="D572" i="1"/>
  <c r="D565" i="1"/>
  <c r="E565" i="1"/>
  <c r="G561" i="1"/>
  <c r="D561" i="1"/>
  <c r="I561" i="1"/>
  <c r="F659" i="1"/>
  <c r="F656" i="1"/>
  <c r="F643" i="1"/>
  <c r="F640" i="1"/>
  <c r="D631" i="1"/>
  <c r="C628" i="1"/>
  <c r="F627" i="1"/>
  <c r="F624" i="1"/>
  <c r="I623" i="1"/>
  <c r="D615" i="1"/>
  <c r="G614" i="1"/>
  <c r="C612" i="1"/>
  <c r="F611" i="1"/>
  <c r="F608" i="1"/>
  <c r="I607" i="1"/>
  <c r="E599" i="1"/>
  <c r="F593" i="1"/>
  <c r="I589" i="1"/>
  <c r="G583" i="1"/>
  <c r="J583" i="1" s="1"/>
  <c r="K583" i="1" s="1"/>
  <c r="L583" i="1" s="1"/>
  <c r="M583" i="1" s="1"/>
  <c r="C581" i="1"/>
  <c r="C575" i="1"/>
  <c r="C560" i="1"/>
  <c r="C559" i="1"/>
  <c r="C731" i="1"/>
  <c r="G731" i="1"/>
  <c r="E728" i="1"/>
  <c r="I728" i="1"/>
  <c r="C715" i="1"/>
  <c r="G715" i="1"/>
  <c r="J715" i="1" s="1"/>
  <c r="K715" i="1" s="1"/>
  <c r="L715" i="1" s="1"/>
  <c r="M715" i="1" s="1"/>
  <c r="E712" i="1"/>
  <c r="I712" i="1"/>
  <c r="C699" i="1"/>
  <c r="G699" i="1"/>
  <c r="J699" i="1" s="1"/>
  <c r="K699" i="1" s="1"/>
  <c r="L699" i="1" s="1"/>
  <c r="M699" i="1" s="1"/>
  <c r="E696" i="1"/>
  <c r="I696" i="1"/>
  <c r="C683" i="1"/>
  <c r="G683" i="1"/>
  <c r="J683" i="1" s="1"/>
  <c r="K683" i="1" s="1"/>
  <c r="L683" i="1" s="1"/>
  <c r="M683" i="1" s="1"/>
  <c r="E680" i="1"/>
  <c r="I680" i="1"/>
  <c r="C667" i="1"/>
  <c r="G667" i="1"/>
  <c r="E664" i="1"/>
  <c r="I664" i="1"/>
  <c r="C651" i="1"/>
  <c r="G651" i="1"/>
  <c r="H651" i="1" s="1"/>
  <c r="E648" i="1"/>
  <c r="I648" i="1"/>
  <c r="C635" i="1"/>
  <c r="G635" i="1"/>
  <c r="J635" i="1" s="1"/>
  <c r="K635" i="1" s="1"/>
  <c r="L635" i="1" s="1"/>
  <c r="M635" i="1" s="1"/>
  <c r="E632" i="1"/>
  <c r="I632" i="1"/>
  <c r="C619" i="1"/>
  <c r="G619" i="1"/>
  <c r="J619" i="1" s="1"/>
  <c r="K619" i="1" s="1"/>
  <c r="L619" i="1" s="1"/>
  <c r="M619" i="1" s="1"/>
  <c r="E616" i="1"/>
  <c r="I616" i="1"/>
  <c r="C603" i="1"/>
  <c r="G603" i="1"/>
  <c r="D591" i="1"/>
  <c r="F591" i="1"/>
  <c r="D673" i="1"/>
  <c r="C670" i="1"/>
  <c r="D657" i="1"/>
  <c r="G656" i="1"/>
  <c r="C654" i="1"/>
  <c r="D641" i="1"/>
  <c r="G640" i="1"/>
  <c r="C638" i="1"/>
  <c r="E631" i="1"/>
  <c r="D628" i="1"/>
  <c r="D625" i="1"/>
  <c r="G624" i="1"/>
  <c r="C622" i="1"/>
  <c r="I617" i="1"/>
  <c r="E615" i="1"/>
  <c r="D612" i="1"/>
  <c r="D609" i="1"/>
  <c r="G608" i="1"/>
  <c r="C606" i="1"/>
  <c r="D600" i="1"/>
  <c r="F599" i="1"/>
  <c r="G593" i="1"/>
  <c r="C587" i="1"/>
  <c r="I583" i="1"/>
  <c r="D581" i="1"/>
  <c r="C576" i="1"/>
  <c r="E575" i="1"/>
  <c r="C572" i="1"/>
  <c r="I568" i="1"/>
  <c r="C565" i="1"/>
  <c r="C561" i="1"/>
  <c r="G560" i="1"/>
  <c r="E559" i="1"/>
  <c r="H585" i="1"/>
  <c r="C567" i="1"/>
  <c r="C557" i="1"/>
  <c r="C555" i="1"/>
  <c r="C553" i="1"/>
  <c r="G596" i="1"/>
  <c r="G579" i="1"/>
  <c r="J574" i="1"/>
  <c r="K574" i="1" s="1"/>
  <c r="L574" i="1" s="1"/>
  <c r="M574" i="1" s="1"/>
  <c r="G564" i="1"/>
  <c r="I555" i="1"/>
  <c r="I553" i="1"/>
  <c r="AG221" i="1"/>
  <c r="AG220" i="1"/>
  <c r="AG219" i="1"/>
  <c r="AG218" i="1"/>
  <c r="AG217" i="1"/>
  <c r="AG216" i="1"/>
  <c r="AG215" i="1"/>
  <c r="AG214" i="1"/>
  <c r="AI221" i="1"/>
  <c r="AI219" i="1"/>
  <c r="AI218" i="1"/>
  <c r="AI217" i="1"/>
  <c r="AI216" i="1"/>
  <c r="AI215" i="1"/>
  <c r="AI214" i="1"/>
  <c r="AG303" i="1"/>
  <c r="AG302" i="1"/>
  <c r="AI312" i="1"/>
  <c r="AI311" i="1"/>
  <c r="AI310" i="1"/>
  <c r="AI304" i="1"/>
  <c r="AI303" i="1"/>
  <c r="AI302" i="1"/>
  <c r="D97" i="1"/>
  <c r="D121" i="1"/>
  <c r="D100" i="1"/>
  <c r="D172" i="1"/>
  <c r="D153" i="1"/>
  <c r="D159" i="1"/>
  <c r="D119" i="1"/>
  <c r="D210" i="1"/>
  <c r="D202" i="1"/>
  <c r="D194" i="1"/>
  <c r="D183" i="1"/>
  <c r="D146" i="1"/>
  <c r="D95" i="1"/>
  <c r="D90" i="1"/>
  <c r="D189" i="1"/>
  <c r="D186" i="1"/>
  <c r="D181" i="1"/>
  <c r="D178" i="1"/>
  <c r="D173" i="1"/>
  <c r="D170" i="1"/>
  <c r="D165" i="1"/>
  <c r="D154" i="1"/>
  <c r="D149" i="1"/>
  <c r="D141" i="1"/>
  <c r="D133" i="1"/>
  <c r="D130" i="1"/>
  <c r="D125" i="1"/>
  <c r="D122" i="1"/>
  <c r="D114" i="1"/>
  <c r="D109" i="1"/>
  <c r="D98" i="1"/>
  <c r="D93" i="1"/>
  <c r="D74" i="1"/>
  <c r="D66" i="1"/>
  <c r="D58" i="1"/>
  <c r="D29" i="1"/>
  <c r="D26" i="1"/>
  <c r="D21" i="1"/>
  <c r="D18" i="1"/>
  <c r="D5" i="1"/>
  <c r="D213" i="1"/>
  <c r="D208" i="1"/>
  <c r="D205" i="1"/>
  <c r="D200" i="1"/>
  <c r="D192" i="1"/>
  <c r="D184" i="1"/>
  <c r="D176" i="1"/>
  <c r="D168" i="1"/>
  <c r="D160" i="1"/>
  <c r="D157" i="1"/>
  <c r="D152" i="1"/>
  <c r="D144" i="1"/>
  <c r="D136" i="1"/>
  <c r="D128" i="1"/>
  <c r="D117" i="1"/>
  <c r="D112" i="1"/>
  <c r="D104" i="1"/>
  <c r="D80" i="1"/>
  <c r="D77" i="1"/>
  <c r="D72" i="1"/>
  <c r="D69" i="1"/>
  <c r="D64" i="1"/>
  <c r="D61" i="1"/>
  <c r="D56" i="1"/>
  <c r="D48" i="1"/>
  <c r="D45" i="1"/>
  <c r="D40" i="1"/>
  <c r="D37" i="1"/>
  <c r="D32" i="1"/>
  <c r="D16" i="1"/>
  <c r="D13" i="1"/>
  <c r="D211" i="1"/>
  <c r="D203" i="1"/>
  <c r="D187" i="1"/>
  <c r="D120" i="1"/>
  <c r="D115" i="1"/>
  <c r="D59" i="1"/>
  <c r="D214" i="1"/>
  <c r="D206" i="1"/>
  <c r="D195" i="1"/>
  <c r="D190" i="1"/>
  <c r="D179" i="1"/>
  <c r="D198" i="1"/>
  <c r="D182" i="1"/>
  <c r="D174" i="1"/>
  <c r="D166" i="1"/>
  <c r="D158" i="1"/>
  <c r="D150" i="1"/>
  <c r="D142" i="1"/>
  <c r="D134" i="1"/>
  <c r="D126" i="1"/>
  <c r="D118" i="1"/>
  <c r="D110" i="1"/>
  <c r="D102" i="1"/>
  <c r="D94" i="1"/>
  <c r="D86" i="1"/>
  <c r="D78" i="1"/>
  <c r="D70" i="1"/>
  <c r="D62" i="1"/>
  <c r="D54" i="1"/>
  <c r="D46" i="1"/>
  <c r="D38" i="1"/>
  <c r="D30" i="1"/>
  <c r="D22" i="1"/>
  <c r="D14" i="1"/>
  <c r="D6" i="1"/>
  <c r="D71" i="1"/>
  <c r="D63" i="1"/>
  <c r="D55" i="1"/>
  <c r="D47" i="1"/>
  <c r="D39" i="1"/>
  <c r="D31" i="1"/>
  <c r="D23" i="1"/>
  <c r="D15" i="1"/>
  <c r="D7" i="1"/>
  <c r="D175" i="1"/>
  <c r="D191" i="1"/>
  <c r="D127" i="1"/>
  <c r="D106" i="1"/>
  <c r="D50" i="1"/>
  <c r="D42" i="1"/>
  <c r="D34" i="1"/>
  <c r="D10" i="1"/>
  <c r="D87" i="1"/>
  <c r="D162" i="1"/>
  <c r="D143" i="1"/>
  <c r="D138" i="1"/>
  <c r="D111" i="1"/>
  <c r="D82" i="1"/>
  <c r="D197" i="1"/>
  <c r="D215" i="1"/>
  <c r="D207" i="1"/>
  <c r="D151" i="1"/>
  <c r="D103" i="1"/>
  <c r="D79" i="1"/>
  <c r="D199" i="1"/>
  <c r="D135" i="1"/>
  <c r="D167" i="1"/>
  <c r="D101" i="1"/>
  <c r="D85" i="1"/>
  <c r="D53" i="1"/>
  <c r="D96" i="1"/>
  <c r="D88" i="1"/>
  <c r="D24" i="1"/>
  <c r="D8" i="1"/>
  <c r="D171" i="1"/>
  <c r="D163" i="1"/>
  <c r="D155" i="1"/>
  <c r="D147" i="1"/>
  <c r="D139" i="1"/>
  <c r="D131" i="1"/>
  <c r="D123" i="1"/>
  <c r="D107" i="1"/>
  <c r="D99" i="1"/>
  <c r="D91" i="1"/>
  <c r="D83" i="1"/>
  <c r="D75" i="1"/>
  <c r="D67" i="1"/>
  <c r="D51" i="1"/>
  <c r="D43" i="1"/>
  <c r="D35" i="1"/>
  <c r="D27" i="1"/>
  <c r="D19" i="1"/>
  <c r="D11" i="1"/>
  <c r="D229" i="1"/>
  <c r="F478" i="1" l="1"/>
  <c r="H478" i="1" s="1"/>
  <c r="I478" i="1" s="1"/>
  <c r="U478" i="1" s="1"/>
  <c r="F490" i="1"/>
  <c r="F482" i="1"/>
  <c r="H482" i="1" s="1"/>
  <c r="I482" i="1"/>
  <c r="U482" i="1" s="1"/>
  <c r="F489" i="1"/>
  <c r="X485" i="1"/>
  <c r="W485" i="1"/>
  <c r="V485" i="1"/>
  <c r="E468" i="1"/>
  <c r="F468" i="1" s="1"/>
  <c r="D482" i="1"/>
  <c r="J484" i="1"/>
  <c r="K484" i="1" s="1"/>
  <c r="L484" i="1" s="1"/>
  <c r="M484" i="1" s="1"/>
  <c r="D489" i="1"/>
  <c r="J480" i="1"/>
  <c r="K480" i="1" s="1"/>
  <c r="L480" i="1" s="1"/>
  <c r="M480" i="1" s="1"/>
  <c r="D490" i="1"/>
  <c r="D467" i="1"/>
  <c r="D478" i="1"/>
  <c r="Q489" i="1"/>
  <c r="J482" i="1"/>
  <c r="K482" i="1" s="1"/>
  <c r="L482" i="1" s="1"/>
  <c r="M482" i="1" s="1"/>
  <c r="Q491" i="1"/>
  <c r="U491" i="1" s="1"/>
  <c r="E486" i="1"/>
  <c r="H457" i="1"/>
  <c r="Q488" i="1"/>
  <c r="U488" i="1" s="1"/>
  <c r="Q482" i="1"/>
  <c r="H935" i="1"/>
  <c r="H539" i="1"/>
  <c r="H1102" i="1"/>
  <c r="J1161" i="1"/>
  <c r="K1161" i="1" s="1"/>
  <c r="L1161" i="1" s="1"/>
  <c r="M1161" i="1" s="1"/>
  <c r="J1189" i="1"/>
  <c r="K1189" i="1" s="1"/>
  <c r="L1189" i="1" s="1"/>
  <c r="M1189" i="1" s="1"/>
  <c r="J845" i="1"/>
  <c r="K845" i="1" s="1"/>
  <c r="L845" i="1" s="1"/>
  <c r="M845" i="1" s="1"/>
  <c r="H1018" i="1"/>
  <c r="H1142" i="1"/>
  <c r="J1218" i="1"/>
  <c r="K1218" i="1" s="1"/>
  <c r="L1218" i="1" s="1"/>
  <c r="M1218" i="1" s="1"/>
  <c r="J1073" i="1"/>
  <c r="K1073" i="1" s="1"/>
  <c r="L1073" i="1" s="1"/>
  <c r="M1073" i="1" s="1"/>
  <c r="J766" i="1"/>
  <c r="K766" i="1" s="1"/>
  <c r="L766" i="1" s="1"/>
  <c r="M766" i="1" s="1"/>
  <c r="J728" i="1"/>
  <c r="K728" i="1" s="1"/>
  <c r="L728" i="1" s="1"/>
  <c r="M728" i="1" s="1"/>
  <c r="J1177" i="1"/>
  <c r="K1177" i="1" s="1"/>
  <c r="L1177" i="1" s="1"/>
  <c r="M1177" i="1" s="1"/>
  <c r="H1171" i="1"/>
  <c r="E443" i="1"/>
  <c r="F443" i="1" s="1"/>
  <c r="H443" i="1" s="1"/>
  <c r="I443" i="1" s="1"/>
  <c r="Q479" i="1"/>
  <c r="Q481" i="1"/>
  <c r="E477" i="1"/>
  <c r="F477" i="1" s="1"/>
  <c r="H477" i="1" s="1"/>
  <c r="I477" i="1" s="1"/>
  <c r="Q437" i="1"/>
  <c r="F476" i="1"/>
  <c r="H476" i="1" s="1"/>
  <c r="I476" i="1" s="1"/>
  <c r="U476" i="1" s="1"/>
  <c r="D476" i="1"/>
  <c r="Q464" i="1"/>
  <c r="Q477" i="1"/>
  <c r="F474" i="1"/>
  <c r="J474" i="1" s="1"/>
  <c r="K474" i="1" s="1"/>
  <c r="L474" i="1" s="1"/>
  <c r="M474" i="1" s="1"/>
  <c r="D474" i="1"/>
  <c r="Q475" i="1"/>
  <c r="U475" i="1" s="1"/>
  <c r="E460" i="1"/>
  <c r="F460" i="1" s="1"/>
  <c r="J460" i="1" s="1"/>
  <c r="K460" i="1" s="1"/>
  <c r="L460" i="1" s="1"/>
  <c r="M460" i="1" s="1"/>
  <c r="D473" i="1"/>
  <c r="F473" i="1"/>
  <c r="Q453" i="1"/>
  <c r="J472" i="1"/>
  <c r="K472" i="1" s="1"/>
  <c r="L472" i="1" s="1"/>
  <c r="M472" i="1" s="1"/>
  <c r="D466" i="1"/>
  <c r="Q473" i="1"/>
  <c r="Q457" i="1"/>
  <c r="E429" i="1"/>
  <c r="F429" i="1" s="1"/>
  <c r="J429" i="1" s="1"/>
  <c r="K429" i="1" s="1"/>
  <c r="L429" i="1" s="1"/>
  <c r="M429" i="1" s="1"/>
  <c r="D416" i="1"/>
  <c r="F458" i="1"/>
  <c r="D462" i="1"/>
  <c r="D458" i="1"/>
  <c r="E410" i="1"/>
  <c r="F410" i="1" s="1"/>
  <c r="Q413" i="1"/>
  <c r="J425" i="1"/>
  <c r="K425" i="1" s="1"/>
  <c r="L425" i="1" s="1"/>
  <c r="M425" i="1" s="1"/>
  <c r="E449" i="1"/>
  <c r="Q450" i="1"/>
  <c r="Q451" i="1"/>
  <c r="Q449" i="1"/>
  <c r="Q412" i="1"/>
  <c r="J453" i="1"/>
  <c r="K453" i="1" s="1"/>
  <c r="L453" i="1" s="1"/>
  <c r="M453" i="1" s="1"/>
  <c r="J422" i="1"/>
  <c r="K422" i="1" s="1"/>
  <c r="L422" i="1" s="1"/>
  <c r="M422" i="1" s="1"/>
  <c r="Q466" i="1"/>
  <c r="F466" i="1"/>
  <c r="F469" i="1"/>
  <c r="F450" i="1"/>
  <c r="H450" i="1" s="1"/>
  <c r="I450" i="1" s="1"/>
  <c r="U450" i="1" s="1"/>
  <c r="F454" i="1"/>
  <c r="H454" i="1" s="1"/>
  <c r="I454" i="1" s="1"/>
  <c r="U454" i="1" s="1"/>
  <c r="F452" i="1"/>
  <c r="J452" i="1" s="1"/>
  <c r="K452" i="1" s="1"/>
  <c r="L452" i="1" s="1"/>
  <c r="M452" i="1" s="1"/>
  <c r="F465" i="1"/>
  <c r="J461" i="1"/>
  <c r="K461" i="1" s="1"/>
  <c r="L461" i="1" s="1"/>
  <c r="M461" i="1" s="1"/>
  <c r="H461" i="1"/>
  <c r="I461" i="1" s="1"/>
  <c r="F462" i="1"/>
  <c r="J462" i="1" s="1"/>
  <c r="K462" i="1" s="1"/>
  <c r="L462" i="1" s="1"/>
  <c r="M462" i="1" s="1"/>
  <c r="D454" i="1"/>
  <c r="D465" i="1"/>
  <c r="Q414" i="1"/>
  <c r="E448" i="1"/>
  <c r="Q458" i="1"/>
  <c r="D469" i="1"/>
  <c r="D452" i="1"/>
  <c r="D450" i="1"/>
  <c r="Q465" i="1"/>
  <c r="Q463" i="1"/>
  <c r="D426" i="1"/>
  <c r="Q425" i="1"/>
  <c r="Q467" i="1"/>
  <c r="Q471" i="1"/>
  <c r="I457" i="1"/>
  <c r="U457" i="1" s="1"/>
  <c r="D421" i="1"/>
  <c r="E470" i="1"/>
  <c r="Q459" i="1"/>
  <c r="Q461" i="1"/>
  <c r="F446" i="1"/>
  <c r="H446" i="1" s="1"/>
  <c r="I446" i="1" s="1"/>
  <c r="U446" i="1" s="1"/>
  <c r="H416" i="1"/>
  <c r="J416" i="1"/>
  <c r="K416" i="1" s="1"/>
  <c r="L416" i="1" s="1"/>
  <c r="M416" i="1" s="1"/>
  <c r="F444" i="1"/>
  <c r="J444" i="1" s="1"/>
  <c r="K444" i="1" s="1"/>
  <c r="L444" i="1" s="1"/>
  <c r="M444" i="1" s="1"/>
  <c r="J440" i="1"/>
  <c r="K440" i="1" s="1"/>
  <c r="L440" i="1" s="1"/>
  <c r="M440" i="1" s="1"/>
  <c r="D446" i="1"/>
  <c r="E407" i="1"/>
  <c r="F407" i="1" s="1"/>
  <c r="Q406" i="1"/>
  <c r="E417" i="1"/>
  <c r="F417" i="1" s="1"/>
  <c r="J417" i="1" s="1"/>
  <c r="K417" i="1" s="1"/>
  <c r="L417" i="1" s="1"/>
  <c r="M417" i="1" s="1"/>
  <c r="Q439" i="1"/>
  <c r="D419" i="1"/>
  <c r="E424" i="1"/>
  <c r="F424" i="1" s="1"/>
  <c r="J424" i="1" s="1"/>
  <c r="K424" i="1" s="1"/>
  <c r="L424" i="1" s="1"/>
  <c r="M424" i="1" s="1"/>
  <c r="D444" i="1"/>
  <c r="E430" i="1"/>
  <c r="Q422" i="1"/>
  <c r="D420" i="1"/>
  <c r="Q445" i="1"/>
  <c r="Q447" i="1"/>
  <c r="H433" i="1"/>
  <c r="I433" i="1" s="1"/>
  <c r="U433" i="1" s="1"/>
  <c r="J433" i="1"/>
  <c r="K433" i="1" s="1"/>
  <c r="L433" i="1" s="1"/>
  <c r="M433" i="1" s="1"/>
  <c r="F419" i="1"/>
  <c r="F437" i="1"/>
  <c r="J437" i="1" s="1"/>
  <c r="K437" i="1" s="1"/>
  <c r="L437" i="1" s="1"/>
  <c r="M437" i="1" s="1"/>
  <c r="F434" i="1"/>
  <c r="F420" i="1"/>
  <c r="J420" i="1" s="1"/>
  <c r="K420" i="1" s="1"/>
  <c r="L420" i="1" s="1"/>
  <c r="M420" i="1" s="1"/>
  <c r="F441" i="1"/>
  <c r="J441" i="1" s="1"/>
  <c r="K441" i="1" s="1"/>
  <c r="L441" i="1" s="1"/>
  <c r="M441" i="1" s="1"/>
  <c r="F438" i="1"/>
  <c r="F442" i="1"/>
  <c r="J442" i="1" s="1"/>
  <c r="K442" i="1" s="1"/>
  <c r="L442" i="1" s="1"/>
  <c r="M442" i="1" s="1"/>
  <c r="F409" i="1"/>
  <c r="F426" i="1"/>
  <c r="F418" i="1"/>
  <c r="H418" i="1" s="1"/>
  <c r="I418" i="1" s="1"/>
  <c r="U418" i="1" s="1"/>
  <c r="F412" i="1"/>
  <c r="J412" i="1" s="1"/>
  <c r="K412" i="1" s="1"/>
  <c r="L412" i="1" s="1"/>
  <c r="M412" i="1" s="1"/>
  <c r="F421" i="1"/>
  <c r="H441" i="1"/>
  <c r="I441" i="1" s="1"/>
  <c r="U441" i="1" s="1"/>
  <c r="F428" i="1"/>
  <c r="H428" i="1" s="1"/>
  <c r="I428" i="1" s="1"/>
  <c r="D438" i="1"/>
  <c r="F439" i="1"/>
  <c r="H439" i="1" s="1"/>
  <c r="I439" i="1" s="1"/>
  <c r="U439" i="1" s="1"/>
  <c r="F427" i="1"/>
  <c r="H427" i="1" s="1"/>
  <c r="I427" i="1" s="1"/>
  <c r="U427" i="1" s="1"/>
  <c r="F435" i="1"/>
  <c r="J435" i="1" s="1"/>
  <c r="K435" i="1" s="1"/>
  <c r="L435" i="1" s="1"/>
  <c r="M435" i="1" s="1"/>
  <c r="E415" i="1"/>
  <c r="F414" i="1"/>
  <c r="J414" i="1" s="1"/>
  <c r="K414" i="1" s="1"/>
  <c r="L414" i="1" s="1"/>
  <c r="M414" i="1" s="1"/>
  <c r="D409" i="1"/>
  <c r="H453" i="1"/>
  <c r="I453" i="1" s="1"/>
  <c r="U453" i="1" s="1"/>
  <c r="D418" i="1"/>
  <c r="Q427" i="1"/>
  <c r="Q433" i="1"/>
  <c r="Q428" i="1"/>
  <c r="D434" i="1"/>
  <c r="D442" i="1"/>
  <c r="D437" i="1"/>
  <c r="Q420" i="1"/>
  <c r="Q421" i="1"/>
  <c r="Q431" i="1"/>
  <c r="E436" i="1"/>
  <c r="F423" i="1"/>
  <c r="E411" i="1"/>
  <c r="F411" i="1" s="1"/>
  <c r="D441" i="1"/>
  <c r="D412" i="1"/>
  <c r="I416" i="1"/>
  <c r="U416" i="1" s="1"/>
  <c r="Q435" i="1"/>
  <c r="Q419" i="1"/>
  <c r="Q443" i="1"/>
  <c r="Q429" i="1"/>
  <c r="H422" i="1"/>
  <c r="I422" i="1" s="1"/>
  <c r="U422" i="1" s="1"/>
  <c r="E413" i="1"/>
  <c r="Q416" i="1"/>
  <c r="Q442" i="1"/>
  <c r="Q415" i="1"/>
  <c r="E408" i="1"/>
  <c r="Q409" i="1"/>
  <c r="Q411" i="1"/>
  <c r="E404" i="1"/>
  <c r="F404" i="1" s="1"/>
  <c r="J404" i="1" s="1"/>
  <c r="K404" i="1" s="1"/>
  <c r="L404" i="1" s="1"/>
  <c r="M404" i="1" s="1"/>
  <c r="D401" i="1"/>
  <c r="Q388" i="1"/>
  <c r="Q387" i="1"/>
  <c r="Q381" i="1"/>
  <c r="Q395" i="1"/>
  <c r="E403" i="1"/>
  <c r="F403" i="1" s="1"/>
  <c r="F401" i="1"/>
  <c r="Q380" i="1"/>
  <c r="Q398" i="1"/>
  <c r="J398" i="1"/>
  <c r="K398" i="1" s="1"/>
  <c r="L398" i="1" s="1"/>
  <c r="M398" i="1" s="1"/>
  <c r="H397" i="1"/>
  <c r="I397" i="1" s="1"/>
  <c r="Q378" i="1"/>
  <c r="J397" i="1"/>
  <c r="K397" i="1" s="1"/>
  <c r="L397" i="1" s="1"/>
  <c r="M397" i="1" s="1"/>
  <c r="Q396" i="1"/>
  <c r="Q369" i="1"/>
  <c r="J391" i="1"/>
  <c r="K391" i="1" s="1"/>
  <c r="L391" i="1" s="1"/>
  <c r="M391" i="1" s="1"/>
  <c r="J393" i="1"/>
  <c r="K393" i="1" s="1"/>
  <c r="L393" i="1" s="1"/>
  <c r="M393" i="1" s="1"/>
  <c r="Q399" i="1"/>
  <c r="Q390" i="1"/>
  <c r="Q368" i="1"/>
  <c r="Q389" i="1"/>
  <c r="D387" i="1"/>
  <c r="Q361" i="1"/>
  <c r="D369" i="1"/>
  <c r="D366" i="1"/>
  <c r="Q364" i="1"/>
  <c r="Q362" i="1"/>
  <c r="H367" i="1"/>
  <c r="I367" i="1" s="1"/>
  <c r="D361" i="1"/>
  <c r="Q356" i="1"/>
  <c r="D360" i="1"/>
  <c r="H398" i="1"/>
  <c r="I398" i="1" s="1"/>
  <c r="J405" i="1"/>
  <c r="K405" i="1" s="1"/>
  <c r="L405" i="1" s="1"/>
  <c r="M405" i="1" s="1"/>
  <c r="D359" i="1"/>
  <c r="Q359" i="1"/>
  <c r="E365" i="1"/>
  <c r="F365" i="1" s="1"/>
  <c r="H365" i="1" s="1"/>
  <c r="I365" i="1" s="1"/>
  <c r="U365" i="1" s="1"/>
  <c r="D357" i="1"/>
  <c r="D362" i="1"/>
  <c r="D354" i="1"/>
  <c r="E389" i="1"/>
  <c r="F389" i="1" s="1"/>
  <c r="H389" i="1" s="1"/>
  <c r="I389" i="1" s="1"/>
  <c r="E390" i="1"/>
  <c r="F390" i="1" s="1"/>
  <c r="D363" i="1"/>
  <c r="D355" i="1"/>
  <c r="Q376" i="1"/>
  <c r="D358" i="1"/>
  <c r="D383" i="1"/>
  <c r="E384" i="1"/>
  <c r="F384" i="1" s="1"/>
  <c r="H384" i="1" s="1"/>
  <c r="I384" i="1" s="1"/>
  <c r="U384" i="1" s="1"/>
  <c r="D356" i="1"/>
  <c r="Q372" i="1"/>
  <c r="Q358" i="1"/>
  <c r="U316" i="1"/>
  <c r="V316" i="1" s="1"/>
  <c r="F364" i="1"/>
  <c r="J364" i="1" s="1"/>
  <c r="K364" i="1" s="1"/>
  <c r="L364" i="1" s="1"/>
  <c r="M364" i="1" s="1"/>
  <c r="F360" i="1"/>
  <c r="J360" i="1" s="1"/>
  <c r="K360" i="1" s="1"/>
  <c r="L360" i="1" s="1"/>
  <c r="M360" i="1" s="1"/>
  <c r="F366" i="1"/>
  <c r="H366" i="1" s="1"/>
  <c r="I366" i="1" s="1"/>
  <c r="U366" i="1" s="1"/>
  <c r="F399" i="1"/>
  <c r="F363" i="1"/>
  <c r="H363" i="1" s="1"/>
  <c r="I363" i="1" s="1"/>
  <c r="U363" i="1" s="1"/>
  <c r="F355" i="1"/>
  <c r="H355" i="1" s="1"/>
  <c r="I355" i="1" s="1"/>
  <c r="U355" i="1" s="1"/>
  <c r="F392" i="1"/>
  <c r="F358" i="1"/>
  <c r="H358" i="1" s="1"/>
  <c r="I358" i="1" s="1"/>
  <c r="F394" i="1"/>
  <c r="F383" i="1"/>
  <c r="H383" i="1" s="1"/>
  <c r="I383" i="1" s="1"/>
  <c r="W400" i="1"/>
  <c r="X400" i="1"/>
  <c r="F361" i="1"/>
  <c r="J361" i="1" s="1"/>
  <c r="K361" i="1" s="1"/>
  <c r="L361" i="1" s="1"/>
  <c r="M361" i="1" s="1"/>
  <c r="F356" i="1"/>
  <c r="H356" i="1" s="1"/>
  <c r="I356" i="1" s="1"/>
  <c r="F359" i="1"/>
  <c r="J359" i="1" s="1"/>
  <c r="K359" i="1" s="1"/>
  <c r="L359" i="1" s="1"/>
  <c r="M359" i="1" s="1"/>
  <c r="F362" i="1"/>
  <c r="H362" i="1" s="1"/>
  <c r="I362" i="1" s="1"/>
  <c r="U362" i="1" s="1"/>
  <c r="F354" i="1"/>
  <c r="J354" i="1" s="1"/>
  <c r="K354" i="1" s="1"/>
  <c r="L354" i="1" s="1"/>
  <c r="M354" i="1" s="1"/>
  <c r="F402" i="1"/>
  <c r="F357" i="1"/>
  <c r="J357" i="1" s="1"/>
  <c r="K357" i="1" s="1"/>
  <c r="L357" i="1" s="1"/>
  <c r="M357" i="1" s="1"/>
  <c r="F386" i="1"/>
  <c r="J386" i="1" s="1"/>
  <c r="K386" i="1" s="1"/>
  <c r="L386" i="1" s="1"/>
  <c r="M386" i="1" s="1"/>
  <c r="Q407" i="1"/>
  <c r="E395" i="1"/>
  <c r="F371" i="1"/>
  <c r="H371" i="1" s="1"/>
  <c r="I371" i="1" s="1"/>
  <c r="U371" i="1" s="1"/>
  <c r="H405" i="1"/>
  <c r="I405" i="1" s="1"/>
  <c r="F382" i="1"/>
  <c r="H382" i="1" s="1"/>
  <c r="I382" i="1" s="1"/>
  <c r="U382" i="1" s="1"/>
  <c r="D400" i="1"/>
  <c r="V400" i="1" s="1"/>
  <c r="H380" i="1"/>
  <c r="I380" i="1" s="1"/>
  <c r="H372" i="1"/>
  <c r="I372" i="1" s="1"/>
  <c r="F376" i="1"/>
  <c r="H376" i="1" s="1"/>
  <c r="I376" i="1" s="1"/>
  <c r="F374" i="1"/>
  <c r="H374" i="1" s="1"/>
  <c r="I374" i="1" s="1"/>
  <c r="U374" i="1" s="1"/>
  <c r="J381" i="1"/>
  <c r="K381" i="1" s="1"/>
  <c r="L381" i="1" s="1"/>
  <c r="M381" i="1" s="1"/>
  <c r="J373" i="1"/>
  <c r="K373" i="1" s="1"/>
  <c r="L373" i="1" s="1"/>
  <c r="M373" i="1" s="1"/>
  <c r="H391" i="1"/>
  <c r="I391" i="1" s="1"/>
  <c r="U391" i="1" s="1"/>
  <c r="F379" i="1"/>
  <c r="J379" i="1" s="1"/>
  <c r="K379" i="1" s="1"/>
  <c r="L379" i="1" s="1"/>
  <c r="M379" i="1" s="1"/>
  <c r="E353" i="1"/>
  <c r="F353" i="1" s="1"/>
  <c r="H353" i="1" s="1"/>
  <c r="I353" i="1" s="1"/>
  <c r="E385" i="1"/>
  <c r="D364" i="1"/>
  <c r="D392" i="1"/>
  <c r="Q367" i="1"/>
  <c r="E406" i="1"/>
  <c r="H375" i="1"/>
  <c r="I375" i="1" s="1"/>
  <c r="U375" i="1" s="1"/>
  <c r="H393" i="1"/>
  <c r="I393" i="1" s="1"/>
  <c r="U393" i="1" s="1"/>
  <c r="Q397" i="1"/>
  <c r="D396" i="1"/>
  <c r="E396" i="1"/>
  <c r="H368" i="1"/>
  <c r="I368" i="1" s="1"/>
  <c r="Q385" i="1"/>
  <c r="H377" i="1"/>
  <c r="I377" i="1" s="1"/>
  <c r="U377" i="1" s="1"/>
  <c r="H369" i="1"/>
  <c r="I369" i="1" s="1"/>
  <c r="U369" i="1" s="1"/>
  <c r="Q360" i="1"/>
  <c r="Q403" i="1"/>
  <c r="H387" i="1"/>
  <c r="I387" i="1" s="1"/>
  <c r="U387" i="1" s="1"/>
  <c r="J378" i="1"/>
  <c r="K378" i="1" s="1"/>
  <c r="L378" i="1" s="1"/>
  <c r="M378" i="1" s="1"/>
  <c r="H370" i="1"/>
  <c r="I370" i="1" s="1"/>
  <c r="J367" i="1"/>
  <c r="K367" i="1" s="1"/>
  <c r="L367" i="1" s="1"/>
  <c r="M367" i="1" s="1"/>
  <c r="Q370" i="1"/>
  <c r="Q357" i="1"/>
  <c r="Q404" i="1"/>
  <c r="Q383" i="1"/>
  <c r="Q405" i="1"/>
  <c r="D351" i="1"/>
  <c r="Q354" i="1"/>
  <c r="Q324" i="1"/>
  <c r="J315" i="1"/>
  <c r="K315" i="1" s="1"/>
  <c r="L315" i="1" s="1"/>
  <c r="M315" i="1" s="1"/>
  <c r="U315" i="1"/>
  <c r="V315" i="1" s="1"/>
  <c r="J316" i="1"/>
  <c r="K316" i="1" s="1"/>
  <c r="L316" i="1" s="1"/>
  <c r="M316" i="1" s="1"/>
  <c r="J734" i="1"/>
  <c r="K734" i="1" s="1"/>
  <c r="L734" i="1" s="1"/>
  <c r="M734" i="1" s="1"/>
  <c r="H941" i="1"/>
  <c r="H670" i="1"/>
  <c r="J1007" i="1"/>
  <c r="K1007" i="1" s="1"/>
  <c r="L1007" i="1" s="1"/>
  <c r="M1007" i="1" s="1"/>
  <c r="J1039" i="1"/>
  <c r="K1039" i="1" s="1"/>
  <c r="L1039" i="1" s="1"/>
  <c r="M1039" i="1" s="1"/>
  <c r="J984" i="1"/>
  <c r="K984" i="1" s="1"/>
  <c r="L984" i="1" s="1"/>
  <c r="M984" i="1" s="1"/>
  <c r="J1090" i="1"/>
  <c r="K1090" i="1" s="1"/>
  <c r="L1090" i="1" s="1"/>
  <c r="M1090" i="1" s="1"/>
  <c r="J1226" i="1"/>
  <c r="K1226" i="1" s="1"/>
  <c r="L1226" i="1" s="1"/>
  <c r="M1226" i="1" s="1"/>
  <c r="H1286" i="1"/>
  <c r="J1018" i="1"/>
  <c r="K1018" i="1" s="1"/>
  <c r="L1018" i="1" s="1"/>
  <c r="M1018" i="1" s="1"/>
  <c r="H1269" i="1"/>
  <c r="H648" i="1"/>
  <c r="H558" i="1"/>
  <c r="H1294" i="1"/>
  <c r="H933" i="1"/>
  <c r="J1206" i="1"/>
  <c r="K1206" i="1" s="1"/>
  <c r="L1206" i="1" s="1"/>
  <c r="M1206" i="1" s="1"/>
  <c r="J1166" i="1"/>
  <c r="K1166" i="1" s="1"/>
  <c r="L1166" i="1" s="1"/>
  <c r="M1166" i="1" s="1"/>
  <c r="H1158" i="1"/>
  <c r="H1116" i="1"/>
  <c r="J1143" i="1"/>
  <c r="K1143" i="1" s="1"/>
  <c r="L1143" i="1" s="1"/>
  <c r="M1143" i="1" s="1"/>
  <c r="J1334" i="1"/>
  <c r="K1334" i="1" s="1"/>
  <c r="L1334" i="1" s="1"/>
  <c r="M1334" i="1" s="1"/>
  <c r="H538" i="1"/>
  <c r="J774" i="1"/>
  <c r="K774" i="1" s="1"/>
  <c r="L774" i="1" s="1"/>
  <c r="M774" i="1" s="1"/>
  <c r="H953" i="1"/>
  <c r="H1035" i="1"/>
  <c r="J1032" i="1"/>
  <c r="K1032" i="1" s="1"/>
  <c r="L1032" i="1" s="1"/>
  <c r="M1032" i="1" s="1"/>
  <c r="J1153" i="1"/>
  <c r="K1153" i="1" s="1"/>
  <c r="L1153" i="1" s="1"/>
  <c r="M1153" i="1" s="1"/>
  <c r="H1185" i="1"/>
  <c r="J1330" i="1"/>
  <c r="K1330" i="1" s="1"/>
  <c r="L1330" i="1" s="1"/>
  <c r="M1330" i="1" s="1"/>
  <c r="H1040" i="1"/>
  <c r="J1274" i="1"/>
  <c r="K1274" i="1" s="1"/>
  <c r="L1274" i="1" s="1"/>
  <c r="M1274" i="1" s="1"/>
  <c r="H754" i="1"/>
  <c r="J678" i="1"/>
  <c r="K678" i="1" s="1"/>
  <c r="L678" i="1" s="1"/>
  <c r="M678" i="1" s="1"/>
  <c r="J882" i="1"/>
  <c r="K882" i="1" s="1"/>
  <c r="L882" i="1" s="1"/>
  <c r="M882" i="1" s="1"/>
  <c r="J924" i="1"/>
  <c r="K924" i="1" s="1"/>
  <c r="L924" i="1" s="1"/>
  <c r="M924" i="1" s="1"/>
  <c r="H1008" i="1"/>
  <c r="J1120" i="1"/>
  <c r="K1120" i="1" s="1"/>
  <c r="L1120" i="1" s="1"/>
  <c r="M1120" i="1" s="1"/>
  <c r="J1152" i="1"/>
  <c r="K1152" i="1" s="1"/>
  <c r="L1152" i="1" s="1"/>
  <c r="M1152" i="1" s="1"/>
  <c r="J1184" i="1"/>
  <c r="K1184" i="1" s="1"/>
  <c r="L1184" i="1" s="1"/>
  <c r="M1184" i="1" s="1"/>
  <c r="J1130" i="1"/>
  <c r="K1130" i="1" s="1"/>
  <c r="L1130" i="1" s="1"/>
  <c r="M1130" i="1" s="1"/>
  <c r="H1249" i="1"/>
  <c r="J714" i="1"/>
  <c r="K714" i="1" s="1"/>
  <c r="L714" i="1" s="1"/>
  <c r="M714" i="1" s="1"/>
  <c r="H654" i="1"/>
  <c r="J742" i="1"/>
  <c r="K742" i="1" s="1"/>
  <c r="L742" i="1" s="1"/>
  <c r="M742" i="1" s="1"/>
  <c r="H782" i="1"/>
  <c r="H1323" i="1"/>
  <c r="J1145" i="1"/>
  <c r="K1145" i="1" s="1"/>
  <c r="L1145" i="1" s="1"/>
  <c r="M1145" i="1" s="1"/>
  <c r="H1291" i="1"/>
  <c r="J999" i="1"/>
  <c r="K999" i="1" s="1"/>
  <c r="L999" i="1" s="1"/>
  <c r="M999" i="1" s="1"/>
  <c r="H1176" i="1"/>
  <c r="H1354" i="1"/>
  <c r="J680" i="1"/>
  <c r="K680" i="1" s="1"/>
  <c r="L680" i="1" s="1"/>
  <c r="M680" i="1" s="1"/>
  <c r="H1239" i="1"/>
  <c r="H492" i="1"/>
  <c r="H641" i="1"/>
  <c r="H594" i="1"/>
  <c r="H728" i="1"/>
  <c r="H928" i="1"/>
  <c r="H983" i="1"/>
  <c r="H877" i="1"/>
  <c r="H1238" i="1"/>
  <c r="J1140" i="1"/>
  <c r="K1140" i="1" s="1"/>
  <c r="L1140" i="1" s="1"/>
  <c r="M1140" i="1" s="1"/>
  <c r="J1066" i="1"/>
  <c r="K1066" i="1" s="1"/>
  <c r="L1066" i="1" s="1"/>
  <c r="M1066" i="1" s="1"/>
  <c r="J1199" i="1"/>
  <c r="K1199" i="1" s="1"/>
  <c r="L1199" i="1" s="1"/>
  <c r="M1199" i="1" s="1"/>
  <c r="H943" i="1"/>
  <c r="J1242" i="1"/>
  <c r="K1242" i="1" s="1"/>
  <c r="L1242" i="1" s="1"/>
  <c r="M1242" i="1" s="1"/>
  <c r="J493" i="1"/>
  <c r="K493" i="1" s="1"/>
  <c r="L493" i="1" s="1"/>
  <c r="M493" i="1" s="1"/>
  <c r="J579" i="1"/>
  <c r="K579" i="1" s="1"/>
  <c r="L579" i="1" s="1"/>
  <c r="M579" i="1" s="1"/>
  <c r="J561" i="1"/>
  <c r="K561" i="1" s="1"/>
  <c r="L561" i="1" s="1"/>
  <c r="M561" i="1" s="1"/>
  <c r="J782" i="1"/>
  <c r="K782" i="1" s="1"/>
  <c r="L782" i="1" s="1"/>
  <c r="M782" i="1" s="1"/>
  <c r="H1047" i="1"/>
  <c r="J701" i="1"/>
  <c r="K701" i="1" s="1"/>
  <c r="L701" i="1" s="1"/>
  <c r="M701" i="1" s="1"/>
  <c r="J697" i="1"/>
  <c r="K697" i="1" s="1"/>
  <c r="L697" i="1" s="1"/>
  <c r="M697" i="1" s="1"/>
  <c r="H846" i="1"/>
  <c r="H1159" i="1"/>
  <c r="J1074" i="1"/>
  <c r="K1074" i="1" s="1"/>
  <c r="L1074" i="1" s="1"/>
  <c r="M1074" i="1" s="1"/>
  <c r="H996" i="1"/>
  <c r="J937" i="1"/>
  <c r="K937" i="1" s="1"/>
  <c r="L937" i="1" s="1"/>
  <c r="M937" i="1" s="1"/>
  <c r="J982" i="1"/>
  <c r="K982" i="1" s="1"/>
  <c r="L982" i="1" s="1"/>
  <c r="M982" i="1" s="1"/>
  <c r="H1022" i="1"/>
  <c r="J1315" i="1"/>
  <c r="K1315" i="1" s="1"/>
  <c r="L1315" i="1" s="1"/>
  <c r="M1315" i="1" s="1"/>
  <c r="H725" i="1"/>
  <c r="J628" i="1"/>
  <c r="K628" i="1" s="1"/>
  <c r="L628" i="1" s="1"/>
  <c r="M628" i="1" s="1"/>
  <c r="H818" i="1"/>
  <c r="J850" i="1"/>
  <c r="K850" i="1" s="1"/>
  <c r="L850" i="1" s="1"/>
  <c r="M850" i="1" s="1"/>
  <c r="H790" i="1"/>
  <c r="J1027" i="1"/>
  <c r="K1027" i="1" s="1"/>
  <c r="L1027" i="1" s="1"/>
  <c r="M1027" i="1" s="1"/>
  <c r="H1148" i="1"/>
  <c r="J1170" i="1"/>
  <c r="K1170" i="1" s="1"/>
  <c r="L1170" i="1" s="1"/>
  <c r="M1170" i="1" s="1"/>
  <c r="H1362" i="1"/>
  <c r="J988" i="1"/>
  <c r="K988" i="1" s="1"/>
  <c r="L988" i="1" s="1"/>
  <c r="M988" i="1" s="1"/>
  <c r="H1270" i="1"/>
  <c r="H1073" i="1"/>
  <c r="H1105" i="1"/>
  <c r="J1034" i="1"/>
  <c r="K1034" i="1" s="1"/>
  <c r="L1034" i="1" s="1"/>
  <c r="M1034" i="1" s="1"/>
  <c r="H481" i="1"/>
  <c r="I481" i="1" s="1"/>
  <c r="J590" i="1"/>
  <c r="K590" i="1" s="1"/>
  <c r="L590" i="1" s="1"/>
  <c r="M590" i="1" s="1"/>
  <c r="J1061" i="1"/>
  <c r="K1061" i="1" s="1"/>
  <c r="L1061" i="1" s="1"/>
  <c r="M1061" i="1" s="1"/>
  <c r="J558" i="1"/>
  <c r="K558" i="1" s="1"/>
  <c r="L558" i="1" s="1"/>
  <c r="M558" i="1" s="1"/>
  <c r="J931" i="1"/>
  <c r="K931" i="1" s="1"/>
  <c r="L931" i="1" s="1"/>
  <c r="M931" i="1" s="1"/>
  <c r="J928" i="1"/>
  <c r="K928" i="1" s="1"/>
  <c r="L928" i="1" s="1"/>
  <c r="M928" i="1" s="1"/>
  <c r="J1217" i="1"/>
  <c r="K1217" i="1" s="1"/>
  <c r="L1217" i="1" s="1"/>
  <c r="M1217" i="1" s="1"/>
  <c r="H1232" i="1"/>
  <c r="J1171" i="1"/>
  <c r="K1171" i="1" s="1"/>
  <c r="L1171" i="1" s="1"/>
  <c r="M1171" i="1" s="1"/>
  <c r="J1306" i="1"/>
  <c r="K1306" i="1" s="1"/>
  <c r="L1306" i="1" s="1"/>
  <c r="M1306" i="1" s="1"/>
  <c r="J1191" i="1"/>
  <c r="K1191" i="1" s="1"/>
  <c r="L1191" i="1" s="1"/>
  <c r="M1191" i="1" s="1"/>
  <c r="J1144" i="1"/>
  <c r="K1144" i="1" s="1"/>
  <c r="L1144" i="1" s="1"/>
  <c r="M1144" i="1" s="1"/>
  <c r="J1253" i="1"/>
  <c r="K1253" i="1" s="1"/>
  <c r="L1253" i="1" s="1"/>
  <c r="M1253" i="1" s="1"/>
  <c r="H1030" i="1"/>
  <c r="J585" i="1"/>
  <c r="K585" i="1" s="1"/>
  <c r="L585" i="1" s="1"/>
  <c r="M585" i="1" s="1"/>
  <c r="H752" i="1"/>
  <c r="J1050" i="1"/>
  <c r="K1050" i="1" s="1"/>
  <c r="L1050" i="1" s="1"/>
  <c r="M1050" i="1" s="1"/>
  <c r="J1307" i="1"/>
  <c r="K1307" i="1" s="1"/>
  <c r="L1307" i="1" s="1"/>
  <c r="M1307" i="1" s="1"/>
  <c r="J1339" i="1"/>
  <c r="K1339" i="1" s="1"/>
  <c r="L1339" i="1" s="1"/>
  <c r="M1339" i="1" s="1"/>
  <c r="J1186" i="1"/>
  <c r="K1186" i="1" s="1"/>
  <c r="L1186" i="1" s="1"/>
  <c r="M1186" i="1" s="1"/>
  <c r="J653" i="1"/>
  <c r="K653" i="1" s="1"/>
  <c r="L653" i="1" s="1"/>
  <c r="M653" i="1" s="1"/>
  <c r="H745" i="1"/>
  <c r="J1055" i="1"/>
  <c r="K1055" i="1" s="1"/>
  <c r="L1055" i="1" s="1"/>
  <c r="M1055" i="1" s="1"/>
  <c r="H1127" i="1"/>
  <c r="J1042" i="1"/>
  <c r="K1042" i="1" s="1"/>
  <c r="L1042" i="1" s="1"/>
  <c r="M1042" i="1" s="1"/>
  <c r="J1091" i="1"/>
  <c r="K1091" i="1" s="1"/>
  <c r="L1091" i="1" s="1"/>
  <c r="M1091" i="1" s="1"/>
  <c r="J1294" i="1"/>
  <c r="K1294" i="1" s="1"/>
  <c r="L1294" i="1" s="1"/>
  <c r="M1294" i="1" s="1"/>
  <c r="H1283" i="1"/>
  <c r="H766" i="1"/>
  <c r="H484" i="1"/>
  <c r="I484" i="1" s="1"/>
  <c r="U484" i="1" s="1"/>
  <c r="H497" i="1"/>
  <c r="H677" i="1"/>
  <c r="H734" i="1"/>
  <c r="J802" i="1"/>
  <c r="K802" i="1" s="1"/>
  <c r="L802" i="1" s="1"/>
  <c r="M802" i="1" s="1"/>
  <c r="H1051" i="1"/>
  <c r="J1016" i="1"/>
  <c r="K1016" i="1" s="1"/>
  <c r="L1016" i="1" s="1"/>
  <c r="M1016" i="1" s="1"/>
  <c r="J1278" i="1"/>
  <c r="K1278" i="1" s="1"/>
  <c r="L1278" i="1" s="1"/>
  <c r="M1278" i="1" s="1"/>
  <c r="J712" i="1"/>
  <c r="K712" i="1" s="1"/>
  <c r="L712" i="1" s="1"/>
  <c r="M712" i="1" s="1"/>
  <c r="J654" i="1"/>
  <c r="K654" i="1" s="1"/>
  <c r="L654" i="1" s="1"/>
  <c r="M654" i="1" s="1"/>
  <c r="J705" i="1"/>
  <c r="K705" i="1" s="1"/>
  <c r="L705" i="1" s="1"/>
  <c r="M705" i="1" s="1"/>
  <c r="J847" i="1"/>
  <c r="K847" i="1" s="1"/>
  <c r="L847" i="1" s="1"/>
  <c r="M847" i="1" s="1"/>
  <c r="J1089" i="1"/>
  <c r="K1089" i="1" s="1"/>
  <c r="L1089" i="1" s="1"/>
  <c r="M1089" i="1" s="1"/>
  <c r="H1112" i="1"/>
  <c r="J1258" i="1"/>
  <c r="K1258" i="1" s="1"/>
  <c r="L1258" i="1" s="1"/>
  <c r="M1258" i="1" s="1"/>
  <c r="H1219" i="1"/>
  <c r="H1330" i="1"/>
  <c r="J1162" i="1"/>
  <c r="K1162" i="1" s="1"/>
  <c r="L1162" i="1" s="1"/>
  <c r="M1162" i="1" s="1"/>
  <c r="H789" i="1"/>
  <c r="H1106" i="1"/>
  <c r="H1078" i="1"/>
  <c r="H1231" i="1"/>
  <c r="H1046" i="1"/>
  <c r="J1081" i="1"/>
  <c r="K1081" i="1" s="1"/>
  <c r="L1081" i="1" s="1"/>
  <c r="M1081" i="1" s="1"/>
  <c r="H1257" i="1"/>
  <c r="J637" i="1"/>
  <c r="K637" i="1" s="1"/>
  <c r="L637" i="1" s="1"/>
  <c r="M637" i="1" s="1"/>
  <c r="J851" i="1"/>
  <c r="K851" i="1" s="1"/>
  <c r="L851" i="1" s="1"/>
  <c r="M851" i="1" s="1"/>
  <c r="H1192" i="1"/>
  <c r="J1048" i="1"/>
  <c r="K1048" i="1" s="1"/>
  <c r="L1048" i="1" s="1"/>
  <c r="M1048" i="1" s="1"/>
  <c r="J1156" i="1"/>
  <c r="K1156" i="1" s="1"/>
  <c r="L1156" i="1" s="1"/>
  <c r="M1156" i="1" s="1"/>
  <c r="H1310" i="1"/>
  <c r="H1298" i="1"/>
  <c r="H1065" i="1"/>
  <c r="J1012" i="1"/>
  <c r="K1012" i="1" s="1"/>
  <c r="L1012" i="1" s="1"/>
  <c r="M1012" i="1" s="1"/>
  <c r="H859" i="1"/>
  <c r="H1058" i="1"/>
  <c r="H1248" i="1"/>
  <c r="H425" i="1"/>
  <c r="I425" i="1" s="1"/>
  <c r="U425" i="1" s="1"/>
  <c r="J975" i="1"/>
  <c r="K975" i="1" s="1"/>
  <c r="L975" i="1" s="1"/>
  <c r="M975" i="1" s="1"/>
  <c r="J1169" i="1"/>
  <c r="K1169" i="1" s="1"/>
  <c r="L1169" i="1" s="1"/>
  <c r="M1169" i="1" s="1"/>
  <c r="J1223" i="1"/>
  <c r="K1223" i="1" s="1"/>
  <c r="L1223" i="1" s="1"/>
  <c r="M1223" i="1" s="1"/>
  <c r="H1067" i="1"/>
  <c r="H1279" i="1"/>
  <c r="H1186" i="1"/>
  <c r="H1299" i="1"/>
  <c r="J686" i="1"/>
  <c r="K686" i="1" s="1"/>
  <c r="L686" i="1" s="1"/>
  <c r="M686" i="1" s="1"/>
  <c r="J912" i="1"/>
  <c r="K912" i="1" s="1"/>
  <c r="L912" i="1" s="1"/>
  <c r="M912" i="1" s="1"/>
  <c r="J613" i="1"/>
  <c r="K613" i="1" s="1"/>
  <c r="L613" i="1" s="1"/>
  <c r="M613" i="1" s="1"/>
  <c r="J880" i="1"/>
  <c r="K880" i="1" s="1"/>
  <c r="L880" i="1" s="1"/>
  <c r="M880" i="1" s="1"/>
  <c r="H761" i="1"/>
  <c r="H749" i="1"/>
  <c r="J822" i="1"/>
  <c r="K822" i="1" s="1"/>
  <c r="L822" i="1" s="1"/>
  <c r="M822" i="1" s="1"/>
  <c r="J816" i="1"/>
  <c r="K816" i="1" s="1"/>
  <c r="L816" i="1" s="1"/>
  <c r="M816" i="1" s="1"/>
  <c r="J1056" i="1"/>
  <c r="K1056" i="1" s="1"/>
  <c r="L1056" i="1" s="1"/>
  <c r="M1056" i="1" s="1"/>
  <c r="J1105" i="1"/>
  <c r="K1105" i="1" s="1"/>
  <c r="L1105" i="1" s="1"/>
  <c r="M1105" i="1" s="1"/>
  <c r="H1253" i="1"/>
  <c r="J1342" i="1"/>
  <c r="K1342" i="1" s="1"/>
  <c r="L1342" i="1" s="1"/>
  <c r="M1342" i="1" s="1"/>
  <c r="H1271" i="1"/>
  <c r="H1350" i="1"/>
  <c r="J1290" i="1"/>
  <c r="K1290" i="1" s="1"/>
  <c r="L1290" i="1" s="1"/>
  <c r="M1290" i="1" s="1"/>
  <c r="J1146" i="1"/>
  <c r="K1146" i="1" s="1"/>
  <c r="L1146" i="1" s="1"/>
  <c r="M1146" i="1" s="1"/>
  <c r="J1044" i="1"/>
  <c r="K1044" i="1" s="1"/>
  <c r="L1044" i="1" s="1"/>
  <c r="M1044" i="1" s="1"/>
  <c r="J952" i="1"/>
  <c r="K952" i="1" s="1"/>
  <c r="L952" i="1" s="1"/>
  <c r="M952" i="1" s="1"/>
  <c r="H1197" i="1"/>
  <c r="J1250" i="1"/>
  <c r="K1250" i="1" s="1"/>
  <c r="L1250" i="1" s="1"/>
  <c r="M1250" i="1" s="1"/>
  <c r="H930" i="1"/>
  <c r="J1175" i="1"/>
  <c r="K1175" i="1" s="1"/>
  <c r="L1175" i="1" s="1"/>
  <c r="M1175" i="1" s="1"/>
  <c r="H553" i="1"/>
  <c r="H1084" i="1"/>
  <c r="J1088" i="1"/>
  <c r="K1088" i="1" s="1"/>
  <c r="L1088" i="1" s="1"/>
  <c r="M1088" i="1" s="1"/>
  <c r="J1230" i="1"/>
  <c r="K1230" i="1" s="1"/>
  <c r="L1230" i="1" s="1"/>
  <c r="M1230" i="1" s="1"/>
  <c r="J1338" i="1"/>
  <c r="K1338" i="1" s="1"/>
  <c r="L1338" i="1" s="1"/>
  <c r="M1338" i="1" s="1"/>
  <c r="H1182" i="1"/>
  <c r="H1315" i="1"/>
  <c r="H1256" i="1"/>
  <c r="H1221" i="1"/>
  <c r="H544" i="1"/>
  <c r="H1254" i="1"/>
  <c r="H1155" i="1"/>
  <c r="J546" i="1"/>
  <c r="K546" i="1" s="1"/>
  <c r="L546" i="1" s="1"/>
  <c r="M546" i="1" s="1"/>
  <c r="H546" i="1"/>
  <c r="J848" i="1"/>
  <c r="K848" i="1" s="1"/>
  <c r="L848" i="1" s="1"/>
  <c r="M848" i="1" s="1"/>
  <c r="H1123" i="1"/>
  <c r="J1111" i="1"/>
  <c r="K1111" i="1" s="1"/>
  <c r="L1111" i="1" s="1"/>
  <c r="M1111" i="1" s="1"/>
  <c r="J1155" i="1"/>
  <c r="K1155" i="1" s="1"/>
  <c r="L1155" i="1" s="1"/>
  <c r="M1155" i="1" s="1"/>
  <c r="H1237" i="1"/>
  <c r="J508" i="1"/>
  <c r="K508" i="1" s="1"/>
  <c r="L508" i="1" s="1"/>
  <c r="M508" i="1" s="1"/>
  <c r="H573" i="1"/>
  <c r="H712" i="1"/>
  <c r="J911" i="1"/>
  <c r="K911" i="1" s="1"/>
  <c r="L911" i="1" s="1"/>
  <c r="M911" i="1" s="1"/>
  <c r="J1072" i="1"/>
  <c r="K1072" i="1" s="1"/>
  <c r="L1072" i="1" s="1"/>
  <c r="M1072" i="1" s="1"/>
  <c r="J1104" i="1"/>
  <c r="K1104" i="1" s="1"/>
  <c r="L1104" i="1" s="1"/>
  <c r="M1104" i="1" s="1"/>
  <c r="H622" i="1"/>
  <c r="H863" i="1"/>
  <c r="H1242" i="1"/>
  <c r="H1274" i="1"/>
  <c r="H1006" i="1"/>
  <c r="H1218" i="1"/>
  <c r="J1323" i="1"/>
  <c r="K1323" i="1" s="1"/>
  <c r="L1323" i="1" s="1"/>
  <c r="M1323" i="1" s="1"/>
  <c r="H506" i="1"/>
  <c r="H1113" i="1"/>
  <c r="J445" i="1"/>
  <c r="K445" i="1" s="1"/>
  <c r="L445" i="1" s="1"/>
  <c r="M445" i="1" s="1"/>
  <c r="H445" i="1"/>
  <c r="I445" i="1" s="1"/>
  <c r="H691" i="1"/>
  <c r="J1067" i="1"/>
  <c r="K1067" i="1" s="1"/>
  <c r="L1067" i="1" s="1"/>
  <c r="M1067" i="1" s="1"/>
  <c r="J1075" i="1"/>
  <c r="K1075" i="1" s="1"/>
  <c r="L1075" i="1" s="1"/>
  <c r="M1075" i="1" s="1"/>
  <c r="J1282" i="1"/>
  <c r="K1282" i="1" s="1"/>
  <c r="L1282" i="1" s="1"/>
  <c r="M1282" i="1" s="1"/>
  <c r="J1024" i="1"/>
  <c r="K1024" i="1" s="1"/>
  <c r="L1024" i="1" s="1"/>
  <c r="M1024" i="1" s="1"/>
  <c r="J1231" i="1"/>
  <c r="K1231" i="1" s="1"/>
  <c r="L1231" i="1" s="1"/>
  <c r="M1231" i="1" s="1"/>
  <c r="H742" i="1"/>
  <c r="H1191" i="1"/>
  <c r="J1062" i="1"/>
  <c r="K1062" i="1" s="1"/>
  <c r="L1062" i="1" s="1"/>
  <c r="M1062" i="1" s="1"/>
  <c r="H1331" i="1"/>
  <c r="H528" i="1"/>
  <c r="H474" i="1"/>
  <c r="I474" i="1" s="1"/>
  <c r="U474" i="1" s="1"/>
  <c r="H709" i="1"/>
  <c r="J976" i="1"/>
  <c r="K976" i="1" s="1"/>
  <c r="L976" i="1" s="1"/>
  <c r="M976" i="1" s="1"/>
  <c r="H1052" i="1"/>
  <c r="J477" i="1"/>
  <c r="K477" i="1" s="1"/>
  <c r="L477" i="1" s="1"/>
  <c r="M477" i="1" s="1"/>
  <c r="J645" i="1"/>
  <c r="K645" i="1" s="1"/>
  <c r="L645" i="1" s="1"/>
  <c r="M645" i="1" s="1"/>
  <c r="J1137" i="1"/>
  <c r="K1137" i="1" s="1"/>
  <c r="L1137" i="1" s="1"/>
  <c r="M1137" i="1" s="1"/>
  <c r="H998" i="1"/>
  <c r="H1174" i="1"/>
  <c r="J1194" i="1"/>
  <c r="K1194" i="1" s="1"/>
  <c r="L1194" i="1" s="1"/>
  <c r="M1194" i="1" s="1"/>
  <c r="H378" i="1"/>
  <c r="I378" i="1" s="1"/>
  <c r="U378" i="1" s="1"/>
  <c r="J543" i="1"/>
  <c r="K543" i="1" s="1"/>
  <c r="L543" i="1" s="1"/>
  <c r="M543" i="1" s="1"/>
  <c r="H543" i="1"/>
  <c r="J1197" i="1"/>
  <c r="K1197" i="1" s="1"/>
  <c r="L1197" i="1" s="1"/>
  <c r="M1197" i="1" s="1"/>
  <c r="H970" i="1"/>
  <c r="H1094" i="1"/>
  <c r="H480" i="1"/>
  <c r="I480" i="1" s="1"/>
  <c r="U480" i="1" s="1"/>
  <c r="J527" i="1"/>
  <c r="K527" i="1" s="1"/>
  <c r="L527" i="1" s="1"/>
  <c r="M527" i="1" s="1"/>
  <c r="H662" i="1"/>
  <c r="J914" i="1"/>
  <c r="K914" i="1" s="1"/>
  <c r="L914" i="1" s="1"/>
  <c r="M914" i="1" s="1"/>
  <c r="J854" i="1"/>
  <c r="K854" i="1" s="1"/>
  <c r="L854" i="1" s="1"/>
  <c r="M854" i="1" s="1"/>
  <c r="H886" i="1"/>
  <c r="J1185" i="1"/>
  <c r="K1185" i="1" s="1"/>
  <c r="L1185" i="1" s="1"/>
  <c r="M1185" i="1" s="1"/>
  <c r="J986" i="1"/>
  <c r="K986" i="1" s="1"/>
  <c r="L986" i="1" s="1"/>
  <c r="M986" i="1" s="1"/>
  <c r="J935" i="1"/>
  <c r="K935" i="1" s="1"/>
  <c r="L935" i="1" s="1"/>
  <c r="M935" i="1" s="1"/>
  <c r="J1022" i="1"/>
  <c r="K1022" i="1" s="1"/>
  <c r="L1022" i="1" s="1"/>
  <c r="M1022" i="1" s="1"/>
  <c r="J553" i="1"/>
  <c r="K553" i="1" s="1"/>
  <c r="L553" i="1" s="1"/>
  <c r="M553" i="1" s="1"/>
  <c r="Q332" i="1"/>
  <c r="D347" i="1"/>
  <c r="Q328" i="1"/>
  <c r="Q334" i="1"/>
  <c r="D349" i="1"/>
  <c r="D341" i="1"/>
  <c r="Q330" i="1"/>
  <c r="Q329" i="1"/>
  <c r="Q321" i="1"/>
  <c r="D345" i="1"/>
  <c r="Q333" i="1"/>
  <c r="Q325" i="1"/>
  <c r="D343" i="1"/>
  <c r="Q326" i="1"/>
  <c r="Q335" i="1"/>
  <c r="Q303" i="1"/>
  <c r="Q301" i="1"/>
  <c r="Q353" i="1"/>
  <c r="Q336" i="1"/>
  <c r="Q327" i="1"/>
  <c r="F350" i="1"/>
  <c r="H350" i="1" s="1"/>
  <c r="I350" i="1" s="1"/>
  <c r="U350" i="1" s="1"/>
  <c r="F351" i="1"/>
  <c r="J351" i="1" s="1"/>
  <c r="K351" i="1" s="1"/>
  <c r="L351" i="1" s="1"/>
  <c r="M351" i="1" s="1"/>
  <c r="F343" i="1"/>
  <c r="H343" i="1" s="1"/>
  <c r="I343" i="1" s="1"/>
  <c r="U343" i="1" s="1"/>
  <c r="F345" i="1"/>
  <c r="J345" i="1" s="1"/>
  <c r="K345" i="1" s="1"/>
  <c r="L345" i="1" s="1"/>
  <c r="M345" i="1" s="1"/>
  <c r="D352" i="1"/>
  <c r="D350" i="1"/>
  <c r="D348" i="1"/>
  <c r="D346" i="1"/>
  <c r="D344" i="1"/>
  <c r="D342" i="1"/>
  <c r="D340" i="1"/>
  <c r="D332" i="1"/>
  <c r="D319" i="1"/>
  <c r="D338" i="1"/>
  <c r="E330" i="1"/>
  <c r="F330" i="1" s="1"/>
  <c r="D323" i="1"/>
  <c r="D326" i="1"/>
  <c r="D339" i="1"/>
  <c r="D324" i="1"/>
  <c r="F323" i="1"/>
  <c r="H323" i="1" s="1"/>
  <c r="I323" i="1" s="1"/>
  <c r="U323" i="1" s="1"/>
  <c r="F339" i="1"/>
  <c r="J339" i="1" s="1"/>
  <c r="K339" i="1" s="1"/>
  <c r="L339" i="1" s="1"/>
  <c r="M339" i="1" s="1"/>
  <c r="F327" i="1"/>
  <c r="F326" i="1"/>
  <c r="J326" i="1" s="1"/>
  <c r="K326" i="1" s="1"/>
  <c r="L326" i="1" s="1"/>
  <c r="M326" i="1" s="1"/>
  <c r="F328" i="1"/>
  <c r="J328" i="1" s="1"/>
  <c r="K328" i="1" s="1"/>
  <c r="L328" i="1" s="1"/>
  <c r="M328" i="1" s="1"/>
  <c r="F333" i="1"/>
  <c r="F335" i="1"/>
  <c r="F332" i="1"/>
  <c r="J332" i="1" s="1"/>
  <c r="K332" i="1" s="1"/>
  <c r="L332" i="1" s="1"/>
  <c r="M332" i="1" s="1"/>
  <c r="E334" i="1"/>
  <c r="D333" i="1"/>
  <c r="E329" i="1"/>
  <c r="E336" i="1"/>
  <c r="E325" i="1"/>
  <c r="D327" i="1"/>
  <c r="D328" i="1"/>
  <c r="E337" i="1"/>
  <c r="E331" i="1"/>
  <c r="D331" i="1"/>
  <c r="D335" i="1"/>
  <c r="F322" i="1"/>
  <c r="H322" i="1" s="1"/>
  <c r="I322" i="1" s="1"/>
  <c r="U322" i="1" s="1"/>
  <c r="D314" i="1"/>
  <c r="D322" i="1"/>
  <c r="D317" i="1"/>
  <c r="D321" i="1"/>
  <c r="E312" i="1"/>
  <c r="F312" i="1" s="1"/>
  <c r="H312" i="1" s="1"/>
  <c r="I312" i="1" s="1"/>
  <c r="U312" i="1" s="1"/>
  <c r="F319" i="1"/>
  <c r="J319" i="1" s="1"/>
  <c r="K319" i="1" s="1"/>
  <c r="L319" i="1" s="1"/>
  <c r="M319" i="1" s="1"/>
  <c r="F321" i="1"/>
  <c r="J321" i="1" s="1"/>
  <c r="K321" i="1" s="1"/>
  <c r="L321" i="1" s="1"/>
  <c r="M321" i="1" s="1"/>
  <c r="E318" i="1"/>
  <c r="E320" i="1"/>
  <c r="F317" i="1"/>
  <c r="H317" i="1" s="1"/>
  <c r="I317" i="1" s="1"/>
  <c r="U317" i="1" s="1"/>
  <c r="E307" i="1"/>
  <c r="F307" i="1" s="1"/>
  <c r="J307" i="1" s="1"/>
  <c r="K307" i="1" s="1"/>
  <c r="L307" i="1" s="1"/>
  <c r="M307" i="1" s="1"/>
  <c r="E313" i="1"/>
  <c r="F313" i="1" s="1"/>
  <c r="J313" i="1" s="1"/>
  <c r="K313" i="1" s="1"/>
  <c r="L313" i="1" s="1"/>
  <c r="M313" i="1" s="1"/>
  <c r="E310" i="1"/>
  <c r="F310" i="1" s="1"/>
  <c r="H310" i="1" s="1"/>
  <c r="I310" i="1" s="1"/>
  <c r="U310" i="1" s="1"/>
  <c r="J303" i="1"/>
  <c r="K303" i="1" s="1"/>
  <c r="L303" i="1" s="1"/>
  <c r="M303" i="1" s="1"/>
  <c r="D305" i="1"/>
  <c r="J304" i="1"/>
  <c r="K304" i="1" s="1"/>
  <c r="L304" i="1" s="1"/>
  <c r="M304" i="1" s="1"/>
  <c r="D306" i="1"/>
  <c r="D311" i="1"/>
  <c r="E311" i="1"/>
  <c r="D309" i="1"/>
  <c r="F305" i="1"/>
  <c r="J305" i="1" s="1"/>
  <c r="K305" i="1" s="1"/>
  <c r="L305" i="1" s="1"/>
  <c r="M305" i="1" s="1"/>
  <c r="F308" i="1"/>
  <c r="F309" i="1"/>
  <c r="H309" i="1" s="1"/>
  <c r="I309" i="1" s="1"/>
  <c r="U309" i="1" s="1"/>
  <c r="D308" i="1"/>
  <c r="F301" i="1"/>
  <c r="J301" i="1" s="1"/>
  <c r="K301" i="1" s="1"/>
  <c r="L301" i="1" s="1"/>
  <c r="M301" i="1" s="1"/>
  <c r="H300" i="1"/>
  <c r="I300" i="1" s="1"/>
  <c r="J300" i="1"/>
  <c r="K300" i="1" s="1"/>
  <c r="L300" i="1" s="1"/>
  <c r="M300" i="1" s="1"/>
  <c r="D301" i="1"/>
  <c r="F302" i="1"/>
  <c r="J302" i="1" s="1"/>
  <c r="K302" i="1" s="1"/>
  <c r="L302" i="1" s="1"/>
  <c r="M302" i="1" s="1"/>
  <c r="H303" i="1"/>
  <c r="I303" i="1" s="1"/>
  <c r="H304" i="1"/>
  <c r="I304" i="1" s="1"/>
  <c r="J516" i="1"/>
  <c r="K516" i="1" s="1"/>
  <c r="L516" i="1" s="1"/>
  <c r="M516" i="1" s="1"/>
  <c r="H516" i="1"/>
  <c r="H456" i="1"/>
  <c r="I456" i="1" s="1"/>
  <c r="U456" i="1" s="1"/>
  <c r="J456" i="1"/>
  <c r="K456" i="1" s="1"/>
  <c r="L456" i="1" s="1"/>
  <c r="M456" i="1" s="1"/>
  <c r="H475" i="1"/>
  <c r="J475" i="1"/>
  <c r="K475" i="1" s="1"/>
  <c r="L475" i="1" s="1"/>
  <c r="M475" i="1" s="1"/>
  <c r="H503" i="1"/>
  <c r="J503" i="1"/>
  <c r="K503" i="1" s="1"/>
  <c r="L503" i="1" s="1"/>
  <c r="M503" i="1" s="1"/>
  <c r="H471" i="1"/>
  <c r="I471" i="1" s="1"/>
  <c r="J471" i="1"/>
  <c r="K471" i="1" s="1"/>
  <c r="L471" i="1" s="1"/>
  <c r="M471" i="1" s="1"/>
  <c r="J342" i="1"/>
  <c r="K342" i="1" s="1"/>
  <c r="L342" i="1" s="1"/>
  <c r="M342" i="1" s="1"/>
  <c r="H342" i="1"/>
  <c r="I342" i="1" s="1"/>
  <c r="U342" i="1" s="1"/>
  <c r="H515" i="1"/>
  <c r="J515" i="1"/>
  <c r="K515" i="1" s="1"/>
  <c r="L515" i="1" s="1"/>
  <c r="M515" i="1" s="1"/>
  <c r="H495" i="1"/>
  <c r="J495" i="1"/>
  <c r="K495" i="1" s="1"/>
  <c r="L495" i="1" s="1"/>
  <c r="M495" i="1" s="1"/>
  <c r="H463" i="1"/>
  <c r="I463" i="1" s="1"/>
  <c r="U463" i="1" s="1"/>
  <c r="J463" i="1"/>
  <c r="K463" i="1" s="1"/>
  <c r="L463" i="1" s="1"/>
  <c r="M463" i="1" s="1"/>
  <c r="H431" i="1"/>
  <c r="I431" i="1" s="1"/>
  <c r="J431" i="1"/>
  <c r="K431" i="1" s="1"/>
  <c r="L431" i="1" s="1"/>
  <c r="M431" i="1" s="1"/>
  <c r="H491" i="1"/>
  <c r="J491" i="1"/>
  <c r="K491" i="1" s="1"/>
  <c r="L491" i="1" s="1"/>
  <c r="M491" i="1" s="1"/>
  <c r="H459" i="1"/>
  <c r="I459" i="1" s="1"/>
  <c r="U459" i="1" s="1"/>
  <c r="J459" i="1"/>
  <c r="K459" i="1" s="1"/>
  <c r="L459" i="1" s="1"/>
  <c r="M459" i="1" s="1"/>
  <c r="J427" i="1"/>
  <c r="K427" i="1" s="1"/>
  <c r="L427" i="1" s="1"/>
  <c r="M427" i="1" s="1"/>
  <c r="H373" i="1"/>
  <c r="I373" i="1" s="1"/>
  <c r="U373" i="1" s="1"/>
  <c r="J520" i="1"/>
  <c r="K520" i="1" s="1"/>
  <c r="L520" i="1" s="1"/>
  <c r="M520" i="1" s="1"/>
  <c r="H520" i="1"/>
  <c r="H519" i="1"/>
  <c r="J519" i="1"/>
  <c r="K519" i="1" s="1"/>
  <c r="L519" i="1" s="1"/>
  <c r="M519" i="1" s="1"/>
  <c r="J352" i="1"/>
  <c r="K352" i="1" s="1"/>
  <c r="L352" i="1" s="1"/>
  <c r="M352" i="1" s="1"/>
  <c r="H352" i="1"/>
  <c r="I352" i="1" s="1"/>
  <c r="U352" i="1" s="1"/>
  <c r="J344" i="1"/>
  <c r="K344" i="1" s="1"/>
  <c r="L344" i="1" s="1"/>
  <c r="M344" i="1" s="1"/>
  <c r="H344" i="1"/>
  <c r="I344" i="1" s="1"/>
  <c r="U344" i="1" s="1"/>
  <c r="J504" i="1"/>
  <c r="K504" i="1" s="1"/>
  <c r="L504" i="1" s="1"/>
  <c r="M504" i="1" s="1"/>
  <c r="J375" i="1"/>
  <c r="K375" i="1" s="1"/>
  <c r="L375" i="1" s="1"/>
  <c r="M375" i="1" s="1"/>
  <c r="J372" i="1"/>
  <c r="K372" i="1" s="1"/>
  <c r="L372" i="1" s="1"/>
  <c r="M372" i="1" s="1"/>
  <c r="H487" i="1"/>
  <c r="I487" i="1" s="1"/>
  <c r="U487" i="1" s="1"/>
  <c r="J487" i="1"/>
  <c r="K487" i="1" s="1"/>
  <c r="L487" i="1" s="1"/>
  <c r="M487" i="1" s="1"/>
  <c r="H455" i="1"/>
  <c r="I455" i="1" s="1"/>
  <c r="U455" i="1" s="1"/>
  <c r="J455" i="1"/>
  <c r="K455" i="1" s="1"/>
  <c r="L455" i="1" s="1"/>
  <c r="M455" i="1" s="1"/>
  <c r="H500" i="1"/>
  <c r="J500" i="1"/>
  <c r="K500" i="1" s="1"/>
  <c r="L500" i="1" s="1"/>
  <c r="M500" i="1" s="1"/>
  <c r="H468" i="1"/>
  <c r="I468" i="1" s="1"/>
  <c r="U468" i="1" s="1"/>
  <c r="J468" i="1"/>
  <c r="K468" i="1" s="1"/>
  <c r="L468" i="1" s="1"/>
  <c r="M468" i="1" s="1"/>
  <c r="H507" i="1"/>
  <c r="J507" i="1"/>
  <c r="K507" i="1" s="1"/>
  <c r="L507" i="1" s="1"/>
  <c r="M507" i="1" s="1"/>
  <c r="J478" i="1"/>
  <c r="K478" i="1" s="1"/>
  <c r="L478" i="1" s="1"/>
  <c r="M478" i="1" s="1"/>
  <c r="H440" i="1"/>
  <c r="I440" i="1" s="1"/>
  <c r="U440" i="1" s="1"/>
  <c r="J369" i="1"/>
  <c r="K369" i="1" s="1"/>
  <c r="L369" i="1" s="1"/>
  <c r="M369" i="1" s="1"/>
  <c r="J368" i="1"/>
  <c r="K368" i="1" s="1"/>
  <c r="L368" i="1" s="1"/>
  <c r="M368" i="1" s="1"/>
  <c r="H514" i="1"/>
  <c r="H511" i="1"/>
  <c r="J511" i="1"/>
  <c r="K511" i="1" s="1"/>
  <c r="L511" i="1" s="1"/>
  <c r="M511" i="1" s="1"/>
  <c r="H324" i="1"/>
  <c r="I324" i="1" s="1"/>
  <c r="J324" i="1"/>
  <c r="K324" i="1" s="1"/>
  <c r="L324" i="1" s="1"/>
  <c r="M324" i="1" s="1"/>
  <c r="J346" i="1"/>
  <c r="K346" i="1" s="1"/>
  <c r="L346" i="1" s="1"/>
  <c r="M346" i="1" s="1"/>
  <c r="H346" i="1"/>
  <c r="I346" i="1" s="1"/>
  <c r="U346" i="1" s="1"/>
  <c r="J338" i="1"/>
  <c r="K338" i="1" s="1"/>
  <c r="L338" i="1" s="1"/>
  <c r="M338" i="1" s="1"/>
  <c r="H338" i="1"/>
  <c r="I338" i="1" s="1"/>
  <c r="U338" i="1" s="1"/>
  <c r="H472" i="1"/>
  <c r="I472" i="1" s="1"/>
  <c r="U472" i="1" s="1"/>
  <c r="J377" i="1"/>
  <c r="K377" i="1" s="1"/>
  <c r="L377" i="1" s="1"/>
  <c r="M377" i="1" s="1"/>
  <c r="J370" i="1"/>
  <c r="K370" i="1" s="1"/>
  <c r="L370" i="1" s="1"/>
  <c r="M370" i="1" s="1"/>
  <c r="J380" i="1"/>
  <c r="K380" i="1" s="1"/>
  <c r="L380" i="1" s="1"/>
  <c r="M380" i="1" s="1"/>
  <c r="H488" i="1"/>
  <c r="J488" i="1"/>
  <c r="K488" i="1" s="1"/>
  <c r="L488" i="1" s="1"/>
  <c r="M488" i="1" s="1"/>
  <c r="J388" i="1"/>
  <c r="K388" i="1" s="1"/>
  <c r="L388" i="1" s="1"/>
  <c r="M388" i="1" s="1"/>
  <c r="H388" i="1"/>
  <c r="I388" i="1" s="1"/>
  <c r="U388" i="1" s="1"/>
  <c r="J347" i="1"/>
  <c r="K347" i="1" s="1"/>
  <c r="L347" i="1" s="1"/>
  <c r="M347" i="1" s="1"/>
  <c r="H347" i="1"/>
  <c r="I347" i="1" s="1"/>
  <c r="U347" i="1" s="1"/>
  <c r="H381" i="1"/>
  <c r="I381" i="1" s="1"/>
  <c r="U381" i="1" s="1"/>
  <c r="H494" i="1"/>
  <c r="J494" i="1"/>
  <c r="K494" i="1" s="1"/>
  <c r="L494" i="1" s="1"/>
  <c r="M494" i="1" s="1"/>
  <c r="H462" i="1"/>
  <c r="I462" i="1" s="1"/>
  <c r="U462" i="1" s="1"/>
  <c r="J483" i="1"/>
  <c r="K483" i="1" s="1"/>
  <c r="L483" i="1" s="1"/>
  <c r="M483" i="1" s="1"/>
  <c r="H483" i="1"/>
  <c r="I483" i="1" s="1"/>
  <c r="U483" i="1" s="1"/>
  <c r="J451" i="1"/>
  <c r="K451" i="1" s="1"/>
  <c r="L451" i="1" s="1"/>
  <c r="M451" i="1" s="1"/>
  <c r="H451" i="1"/>
  <c r="I451" i="1" s="1"/>
  <c r="U451" i="1" s="1"/>
  <c r="H479" i="1"/>
  <c r="I479" i="1" s="1"/>
  <c r="U479" i="1" s="1"/>
  <c r="J479" i="1"/>
  <c r="K479" i="1" s="1"/>
  <c r="L479" i="1" s="1"/>
  <c r="M479" i="1" s="1"/>
  <c r="H447" i="1"/>
  <c r="I447" i="1" s="1"/>
  <c r="U447" i="1" s="1"/>
  <c r="J447" i="1"/>
  <c r="K447" i="1" s="1"/>
  <c r="L447" i="1" s="1"/>
  <c r="M447" i="1" s="1"/>
  <c r="J512" i="1"/>
  <c r="K512" i="1" s="1"/>
  <c r="L512" i="1" s="1"/>
  <c r="M512" i="1" s="1"/>
  <c r="H512" i="1"/>
  <c r="J348" i="1"/>
  <c r="K348" i="1" s="1"/>
  <c r="L348" i="1" s="1"/>
  <c r="M348" i="1" s="1"/>
  <c r="H348" i="1"/>
  <c r="I348" i="1" s="1"/>
  <c r="U348" i="1" s="1"/>
  <c r="J340" i="1"/>
  <c r="K340" i="1" s="1"/>
  <c r="L340" i="1" s="1"/>
  <c r="M340" i="1" s="1"/>
  <c r="H340" i="1"/>
  <c r="I340" i="1" s="1"/>
  <c r="U340" i="1" s="1"/>
  <c r="H314" i="1"/>
  <c r="I314" i="1" s="1"/>
  <c r="U314" i="1" s="1"/>
  <c r="J314" i="1"/>
  <c r="K314" i="1" s="1"/>
  <c r="L314" i="1" s="1"/>
  <c r="M314" i="1" s="1"/>
  <c r="H306" i="1"/>
  <c r="I306" i="1" s="1"/>
  <c r="U306" i="1" s="1"/>
  <c r="J306" i="1"/>
  <c r="K306" i="1" s="1"/>
  <c r="L306" i="1" s="1"/>
  <c r="M306" i="1" s="1"/>
  <c r="H460" i="1"/>
  <c r="I460" i="1" s="1"/>
  <c r="U460" i="1" s="1"/>
  <c r="J454" i="1"/>
  <c r="K454" i="1" s="1"/>
  <c r="L454" i="1" s="1"/>
  <c r="M454" i="1" s="1"/>
  <c r="H496" i="1"/>
  <c r="J496" i="1"/>
  <c r="K496" i="1" s="1"/>
  <c r="L496" i="1" s="1"/>
  <c r="M496" i="1" s="1"/>
  <c r="H464" i="1"/>
  <c r="I464" i="1" s="1"/>
  <c r="U464" i="1" s="1"/>
  <c r="J464" i="1"/>
  <c r="K464" i="1" s="1"/>
  <c r="L464" i="1" s="1"/>
  <c r="M464" i="1" s="1"/>
  <c r="H432" i="1"/>
  <c r="I432" i="1" s="1"/>
  <c r="U432" i="1" s="1"/>
  <c r="J432" i="1"/>
  <c r="K432" i="1" s="1"/>
  <c r="L432" i="1" s="1"/>
  <c r="M432" i="1" s="1"/>
  <c r="H499" i="1"/>
  <c r="J499" i="1"/>
  <c r="K499" i="1" s="1"/>
  <c r="L499" i="1" s="1"/>
  <c r="M499" i="1" s="1"/>
  <c r="H467" i="1"/>
  <c r="I467" i="1" s="1"/>
  <c r="U467" i="1" s="1"/>
  <c r="J467" i="1"/>
  <c r="K467" i="1" s="1"/>
  <c r="L467" i="1" s="1"/>
  <c r="M467" i="1" s="1"/>
  <c r="J349" i="1"/>
  <c r="K349" i="1" s="1"/>
  <c r="L349" i="1" s="1"/>
  <c r="M349" i="1" s="1"/>
  <c r="H349" i="1"/>
  <c r="I349" i="1" s="1"/>
  <c r="U349" i="1" s="1"/>
  <c r="J341" i="1"/>
  <c r="K341" i="1" s="1"/>
  <c r="L341" i="1" s="1"/>
  <c r="M341" i="1" s="1"/>
  <c r="H341" i="1"/>
  <c r="I341" i="1" s="1"/>
  <c r="U341" i="1" s="1"/>
  <c r="J387" i="1"/>
  <c r="K387" i="1" s="1"/>
  <c r="L387" i="1" s="1"/>
  <c r="M387" i="1" s="1"/>
  <c r="H629" i="1"/>
  <c r="H661" i="1"/>
  <c r="H637" i="1"/>
  <c r="J713" i="1"/>
  <c r="K713" i="1" s="1"/>
  <c r="L713" i="1" s="1"/>
  <c r="M713" i="1" s="1"/>
  <c r="J910" i="1"/>
  <c r="K910" i="1" s="1"/>
  <c r="L910" i="1" s="1"/>
  <c r="M910" i="1" s="1"/>
  <c r="H762" i="1"/>
  <c r="H1091" i="1"/>
  <c r="J1219" i="1"/>
  <c r="K1219" i="1" s="1"/>
  <c r="L1219" i="1" s="1"/>
  <c r="M1219" i="1" s="1"/>
  <c r="J735" i="1"/>
  <c r="K735" i="1" s="1"/>
  <c r="L735" i="1" s="1"/>
  <c r="M735" i="1" s="1"/>
  <c r="H1190" i="1"/>
  <c r="J1142" i="1"/>
  <c r="K1142" i="1" s="1"/>
  <c r="L1142" i="1" s="1"/>
  <c r="M1142" i="1" s="1"/>
  <c r="J1046" i="1"/>
  <c r="K1046" i="1" s="1"/>
  <c r="L1046" i="1" s="1"/>
  <c r="M1046" i="1" s="1"/>
  <c r="H1081" i="1"/>
  <c r="H1145" i="1"/>
  <c r="J1291" i="1"/>
  <c r="K1291" i="1" s="1"/>
  <c r="L1291" i="1" s="1"/>
  <c r="M1291" i="1" s="1"/>
  <c r="H653" i="1"/>
  <c r="H1050" i="1"/>
  <c r="J1257" i="1"/>
  <c r="K1257" i="1" s="1"/>
  <c r="L1257" i="1" s="1"/>
  <c r="M1257" i="1" s="1"/>
  <c r="H696" i="1"/>
  <c r="H1307" i="1"/>
  <c r="J1126" i="1"/>
  <c r="K1126" i="1" s="1"/>
  <c r="L1126" i="1" s="1"/>
  <c r="M1126" i="1" s="1"/>
  <c r="H1129" i="1"/>
  <c r="H1177" i="1"/>
  <c r="J698" i="1"/>
  <c r="K698" i="1" s="1"/>
  <c r="L698" i="1" s="1"/>
  <c r="M698" i="1" s="1"/>
  <c r="H698" i="1"/>
  <c r="H1251" i="1"/>
  <c r="H680" i="1"/>
  <c r="J1244" i="1"/>
  <c r="K1244" i="1" s="1"/>
  <c r="L1244" i="1" s="1"/>
  <c r="M1244" i="1" s="1"/>
  <c r="J1254" i="1"/>
  <c r="K1254" i="1" s="1"/>
  <c r="L1254" i="1" s="1"/>
  <c r="M1254" i="1" s="1"/>
  <c r="J682" i="1"/>
  <c r="K682" i="1" s="1"/>
  <c r="L682" i="1" s="1"/>
  <c r="M682" i="1" s="1"/>
  <c r="H682" i="1"/>
  <c r="J723" i="1"/>
  <c r="K723" i="1" s="1"/>
  <c r="L723" i="1" s="1"/>
  <c r="M723" i="1" s="1"/>
  <c r="J846" i="1"/>
  <c r="K846" i="1" s="1"/>
  <c r="L846" i="1" s="1"/>
  <c r="M846" i="1" s="1"/>
  <c r="H1282" i="1"/>
  <c r="J1078" i="1"/>
  <c r="K1078" i="1" s="1"/>
  <c r="L1078" i="1" s="1"/>
  <c r="M1078" i="1" s="1"/>
  <c r="J957" i="1"/>
  <c r="K957" i="1" s="1"/>
  <c r="L957" i="1" s="1"/>
  <c r="M957" i="1" s="1"/>
  <c r="H957" i="1"/>
  <c r="H813" i="1"/>
  <c r="H1326" i="1"/>
  <c r="J554" i="1"/>
  <c r="K554" i="1" s="1"/>
  <c r="L554" i="1" s="1"/>
  <c r="M554" i="1" s="1"/>
  <c r="H618" i="1"/>
  <c r="H878" i="1"/>
  <c r="H603" i="1"/>
  <c r="J664" i="1"/>
  <c r="K664" i="1" s="1"/>
  <c r="L664" i="1" s="1"/>
  <c r="M664" i="1" s="1"/>
  <c r="H1194" i="1"/>
  <c r="H1339" i="1"/>
  <c r="J1158" i="1"/>
  <c r="K1158" i="1" s="1"/>
  <c r="L1158" i="1" s="1"/>
  <c r="M1158" i="1" s="1"/>
  <c r="H1161" i="1"/>
  <c r="H1189" i="1"/>
  <c r="H845" i="1"/>
  <c r="H1199" i="1"/>
  <c r="H1358" i="1"/>
  <c r="J666" i="1"/>
  <c r="K666" i="1" s="1"/>
  <c r="L666" i="1" s="1"/>
  <c r="M666" i="1" s="1"/>
  <c r="H666" i="1"/>
  <c r="J634" i="1"/>
  <c r="K634" i="1" s="1"/>
  <c r="L634" i="1" s="1"/>
  <c r="M634" i="1" s="1"/>
  <c r="H634" i="1"/>
  <c r="J562" i="1"/>
  <c r="K562" i="1" s="1"/>
  <c r="L562" i="1" s="1"/>
  <c r="M562" i="1" s="1"/>
  <c r="H562" i="1"/>
  <c r="J755" i="1"/>
  <c r="K755" i="1" s="1"/>
  <c r="L755" i="1" s="1"/>
  <c r="M755" i="1" s="1"/>
  <c r="H755" i="1"/>
  <c r="H783" i="1"/>
  <c r="J783" i="1"/>
  <c r="K783" i="1" s="1"/>
  <c r="L783" i="1" s="1"/>
  <c r="M783" i="1" s="1"/>
  <c r="J1303" i="1"/>
  <c r="K1303" i="1" s="1"/>
  <c r="L1303" i="1" s="1"/>
  <c r="M1303" i="1" s="1"/>
  <c r="H1303" i="1"/>
  <c r="J1335" i="1"/>
  <c r="K1335" i="1" s="1"/>
  <c r="L1335" i="1" s="1"/>
  <c r="M1335" i="1" s="1"/>
  <c r="H1335" i="1"/>
  <c r="J642" i="1"/>
  <c r="K642" i="1" s="1"/>
  <c r="L642" i="1" s="1"/>
  <c r="M642" i="1" s="1"/>
  <c r="J603" i="1"/>
  <c r="K603" i="1" s="1"/>
  <c r="L603" i="1" s="1"/>
  <c r="M603" i="1" s="1"/>
  <c r="J667" i="1"/>
  <c r="K667" i="1" s="1"/>
  <c r="L667" i="1" s="1"/>
  <c r="M667" i="1" s="1"/>
  <c r="H731" i="1"/>
  <c r="J677" i="1"/>
  <c r="K677" i="1" s="1"/>
  <c r="L677" i="1" s="1"/>
  <c r="M677" i="1" s="1"/>
  <c r="J648" i="1"/>
  <c r="K648" i="1" s="1"/>
  <c r="L648" i="1" s="1"/>
  <c r="M648" i="1" s="1"/>
  <c r="H635" i="1"/>
  <c r="H995" i="1"/>
  <c r="H1043" i="1"/>
  <c r="H1229" i="1"/>
  <c r="H1132" i="1"/>
  <c r="J1187" i="1"/>
  <c r="K1187" i="1" s="1"/>
  <c r="L1187" i="1" s="1"/>
  <c r="M1187" i="1" s="1"/>
  <c r="J1121" i="1"/>
  <c r="K1121" i="1" s="1"/>
  <c r="L1121" i="1" s="1"/>
  <c r="M1121" i="1" s="1"/>
  <c r="J1221" i="1"/>
  <c r="K1221" i="1" s="1"/>
  <c r="L1221" i="1" s="1"/>
  <c r="M1221" i="1" s="1"/>
  <c r="J1249" i="1"/>
  <c r="K1249" i="1" s="1"/>
  <c r="L1249" i="1" s="1"/>
  <c r="M1249" i="1" s="1"/>
  <c r="H1322" i="1"/>
  <c r="J1247" i="1"/>
  <c r="K1247" i="1" s="1"/>
  <c r="L1247" i="1" s="1"/>
  <c r="M1247" i="1" s="1"/>
  <c r="J1336" i="1"/>
  <c r="K1336" i="1" s="1"/>
  <c r="L1336" i="1" s="1"/>
  <c r="M1336" i="1" s="1"/>
  <c r="J970" i="1"/>
  <c r="K970" i="1" s="1"/>
  <c r="L970" i="1" s="1"/>
  <c r="M970" i="1" s="1"/>
  <c r="J580" i="1"/>
  <c r="K580" i="1" s="1"/>
  <c r="L580" i="1" s="1"/>
  <c r="M580" i="1" s="1"/>
  <c r="H952" i="1"/>
  <c r="J602" i="1"/>
  <c r="K602" i="1" s="1"/>
  <c r="L602" i="1" s="1"/>
  <c r="M602" i="1" s="1"/>
  <c r="H1034" i="1"/>
  <c r="J1201" i="1"/>
  <c r="K1201" i="1" s="1"/>
  <c r="L1201" i="1" s="1"/>
  <c r="M1201" i="1" s="1"/>
  <c r="H814" i="1"/>
  <c r="H1328" i="1"/>
  <c r="H664" i="1"/>
  <c r="H601" i="1"/>
  <c r="J1190" i="1"/>
  <c r="K1190" i="1" s="1"/>
  <c r="L1190" i="1" s="1"/>
  <c r="M1190" i="1" s="1"/>
  <c r="J1266" i="1"/>
  <c r="K1266" i="1" s="1"/>
  <c r="L1266" i="1" s="1"/>
  <c r="M1266" i="1" s="1"/>
  <c r="J1002" i="1"/>
  <c r="K1002" i="1" s="1"/>
  <c r="L1002" i="1" s="1"/>
  <c r="M1002" i="1" s="1"/>
  <c r="H837" i="1"/>
  <c r="J837" i="1"/>
  <c r="K837" i="1" s="1"/>
  <c r="L837" i="1" s="1"/>
  <c r="M837" i="1" s="1"/>
  <c r="J1295" i="1"/>
  <c r="K1295" i="1" s="1"/>
  <c r="L1295" i="1" s="1"/>
  <c r="M1295" i="1" s="1"/>
  <c r="H1295" i="1"/>
  <c r="J1327" i="1"/>
  <c r="K1327" i="1" s="1"/>
  <c r="L1327" i="1" s="1"/>
  <c r="M1327" i="1" s="1"/>
  <c r="H1327" i="1"/>
  <c r="J1359" i="1"/>
  <c r="K1359" i="1" s="1"/>
  <c r="L1359" i="1" s="1"/>
  <c r="M1359" i="1" s="1"/>
  <c r="H1359" i="1"/>
  <c r="J1202" i="1"/>
  <c r="K1202" i="1" s="1"/>
  <c r="L1202" i="1" s="1"/>
  <c r="M1202" i="1" s="1"/>
  <c r="H1202" i="1"/>
  <c r="H619" i="1"/>
  <c r="H678" i="1"/>
  <c r="H693" i="1"/>
  <c r="H1318" i="1"/>
  <c r="H1342" i="1"/>
  <c r="J622" i="1"/>
  <c r="K622" i="1" s="1"/>
  <c r="L622" i="1" s="1"/>
  <c r="M622" i="1" s="1"/>
  <c r="J805" i="1"/>
  <c r="K805" i="1" s="1"/>
  <c r="L805" i="1" s="1"/>
  <c r="M805" i="1" s="1"/>
  <c r="J1058" i="1"/>
  <c r="K1058" i="1" s="1"/>
  <c r="L1058" i="1" s="1"/>
  <c r="M1058" i="1" s="1"/>
  <c r="H735" i="1"/>
  <c r="J917" i="1"/>
  <c r="K917" i="1" s="1"/>
  <c r="L917" i="1" s="1"/>
  <c r="M917" i="1" s="1"/>
  <c r="H990" i="1"/>
  <c r="H1212" i="1"/>
  <c r="J578" i="1"/>
  <c r="K578" i="1" s="1"/>
  <c r="L578" i="1" s="1"/>
  <c r="M578" i="1" s="1"/>
  <c r="H578" i="1"/>
  <c r="J949" i="1"/>
  <c r="K949" i="1" s="1"/>
  <c r="L949" i="1" s="1"/>
  <c r="M949" i="1" s="1"/>
  <c r="H949" i="1"/>
  <c r="H1235" i="1"/>
  <c r="J1235" i="1"/>
  <c r="K1235" i="1" s="1"/>
  <c r="L1235" i="1" s="1"/>
  <c r="M1235" i="1" s="1"/>
  <c r="J626" i="1"/>
  <c r="K626" i="1" s="1"/>
  <c r="L626" i="1" s="1"/>
  <c r="M626" i="1" s="1"/>
  <c r="H717" i="1"/>
  <c r="H986" i="1"/>
  <c r="J1239" i="1"/>
  <c r="K1239" i="1" s="1"/>
  <c r="L1239" i="1" s="1"/>
  <c r="M1239" i="1" s="1"/>
  <c r="J1234" i="1"/>
  <c r="K1234" i="1" s="1"/>
  <c r="L1234" i="1" s="1"/>
  <c r="M1234" i="1" s="1"/>
  <c r="J740" i="1"/>
  <c r="K740" i="1" s="1"/>
  <c r="L740" i="1" s="1"/>
  <c r="M740" i="1" s="1"/>
  <c r="H740" i="1"/>
  <c r="H1267" i="1"/>
  <c r="J1267" i="1"/>
  <c r="K1267" i="1" s="1"/>
  <c r="L1267" i="1" s="1"/>
  <c r="M1267" i="1" s="1"/>
  <c r="J1287" i="1"/>
  <c r="K1287" i="1" s="1"/>
  <c r="L1287" i="1" s="1"/>
  <c r="M1287" i="1" s="1"/>
  <c r="H1287" i="1"/>
  <c r="J1319" i="1"/>
  <c r="K1319" i="1" s="1"/>
  <c r="L1319" i="1" s="1"/>
  <c r="M1319" i="1" s="1"/>
  <c r="H1319" i="1"/>
  <c r="J1351" i="1"/>
  <c r="K1351" i="1" s="1"/>
  <c r="L1351" i="1" s="1"/>
  <c r="M1351" i="1" s="1"/>
  <c r="H1351" i="1"/>
  <c r="H765" i="1"/>
  <c r="H950" i="1"/>
  <c r="J567" i="1"/>
  <c r="K567" i="1" s="1"/>
  <c r="L567" i="1" s="1"/>
  <c r="M567" i="1" s="1"/>
  <c r="J1270" i="1"/>
  <c r="K1270" i="1" s="1"/>
  <c r="L1270" i="1" s="1"/>
  <c r="M1270" i="1" s="1"/>
  <c r="H937" i="1"/>
  <c r="J650" i="1"/>
  <c r="K650" i="1" s="1"/>
  <c r="L650" i="1" s="1"/>
  <c r="M650" i="1" s="1"/>
  <c r="H650" i="1"/>
  <c r="H1314" i="1"/>
  <c r="J943" i="1"/>
  <c r="K943" i="1" s="1"/>
  <c r="L943" i="1" s="1"/>
  <c r="M943" i="1" s="1"/>
  <c r="J1006" i="1"/>
  <c r="K1006" i="1" s="1"/>
  <c r="L1006" i="1" s="1"/>
  <c r="M1006" i="1" s="1"/>
  <c r="J1222" i="1"/>
  <c r="K1222" i="1" s="1"/>
  <c r="L1222" i="1" s="1"/>
  <c r="M1222" i="1" s="1"/>
  <c r="H737" i="1"/>
  <c r="J737" i="1"/>
  <c r="K737" i="1" s="1"/>
  <c r="L737" i="1" s="1"/>
  <c r="M737" i="1" s="1"/>
  <c r="J1311" i="1"/>
  <c r="K1311" i="1" s="1"/>
  <c r="L1311" i="1" s="1"/>
  <c r="M1311" i="1" s="1"/>
  <c r="H1311" i="1"/>
  <c r="J1343" i="1"/>
  <c r="K1343" i="1" s="1"/>
  <c r="L1343" i="1" s="1"/>
  <c r="M1343" i="1" s="1"/>
  <c r="H1343" i="1"/>
  <c r="H1203" i="1"/>
  <c r="J1203" i="1"/>
  <c r="K1203" i="1" s="1"/>
  <c r="L1203" i="1" s="1"/>
  <c r="M1203" i="1" s="1"/>
  <c r="H924" i="1"/>
  <c r="J863" i="1"/>
  <c r="K863" i="1" s="1"/>
  <c r="L863" i="1" s="1"/>
  <c r="M863" i="1" s="1"/>
  <c r="J1014" i="1"/>
  <c r="K1014" i="1" s="1"/>
  <c r="L1014" i="1" s="1"/>
  <c r="M1014" i="1" s="1"/>
  <c r="J1262" i="1"/>
  <c r="K1262" i="1" s="1"/>
  <c r="L1262" i="1" s="1"/>
  <c r="M1262" i="1" s="1"/>
  <c r="J595" i="1"/>
  <c r="K595" i="1" s="1"/>
  <c r="L595" i="1" s="1"/>
  <c r="M595" i="1" s="1"/>
  <c r="H595" i="1"/>
  <c r="J799" i="1"/>
  <c r="K799" i="1" s="1"/>
  <c r="L799" i="1" s="1"/>
  <c r="M799" i="1" s="1"/>
  <c r="H799" i="1"/>
  <c r="H1233" i="1"/>
  <c r="J1233" i="1"/>
  <c r="K1233" i="1" s="1"/>
  <c r="L1233" i="1" s="1"/>
  <c r="M1233" i="1" s="1"/>
  <c r="H685" i="1"/>
  <c r="H909" i="1"/>
  <c r="H707" i="1"/>
  <c r="H1334" i="1"/>
  <c r="H1346" i="1"/>
  <c r="H1268" i="1"/>
  <c r="J1030" i="1"/>
  <c r="K1030" i="1" s="1"/>
  <c r="L1030" i="1" s="1"/>
  <c r="M1030" i="1" s="1"/>
  <c r="H593" i="1"/>
  <c r="J593" i="1"/>
  <c r="K593" i="1" s="1"/>
  <c r="L593" i="1" s="1"/>
  <c r="M593" i="1" s="1"/>
  <c r="H659" i="1"/>
  <c r="J659" i="1"/>
  <c r="K659" i="1" s="1"/>
  <c r="L659" i="1" s="1"/>
  <c r="M659" i="1" s="1"/>
  <c r="J575" i="1"/>
  <c r="K575" i="1" s="1"/>
  <c r="L575" i="1" s="1"/>
  <c r="M575" i="1" s="1"/>
  <c r="H575" i="1"/>
  <c r="J741" i="1"/>
  <c r="K741" i="1" s="1"/>
  <c r="L741" i="1" s="1"/>
  <c r="M741" i="1" s="1"/>
  <c r="H741" i="1"/>
  <c r="J592" i="1"/>
  <c r="K592" i="1" s="1"/>
  <c r="L592" i="1" s="1"/>
  <c r="M592" i="1" s="1"/>
  <c r="H592" i="1"/>
  <c r="J644" i="1"/>
  <c r="K644" i="1" s="1"/>
  <c r="L644" i="1" s="1"/>
  <c r="M644" i="1" s="1"/>
  <c r="H644" i="1"/>
  <c r="J823" i="1"/>
  <c r="K823" i="1" s="1"/>
  <c r="L823" i="1" s="1"/>
  <c r="M823" i="1" s="1"/>
  <c r="H823" i="1"/>
  <c r="J887" i="1"/>
  <c r="K887" i="1" s="1"/>
  <c r="L887" i="1" s="1"/>
  <c r="M887" i="1" s="1"/>
  <c r="H887" i="1"/>
  <c r="J639" i="1"/>
  <c r="K639" i="1" s="1"/>
  <c r="L639" i="1" s="1"/>
  <c r="M639" i="1" s="1"/>
  <c r="H639" i="1"/>
  <c r="J862" i="1"/>
  <c r="K862" i="1" s="1"/>
  <c r="L862" i="1" s="1"/>
  <c r="M862" i="1" s="1"/>
  <c r="H862" i="1"/>
  <c r="J981" i="1"/>
  <c r="K981" i="1" s="1"/>
  <c r="L981" i="1" s="1"/>
  <c r="M981" i="1" s="1"/>
  <c r="H981" i="1"/>
  <c r="J1013" i="1"/>
  <c r="K1013" i="1" s="1"/>
  <c r="L1013" i="1" s="1"/>
  <c r="M1013" i="1" s="1"/>
  <c r="H1013" i="1"/>
  <c r="J1045" i="1"/>
  <c r="K1045" i="1" s="1"/>
  <c r="L1045" i="1" s="1"/>
  <c r="M1045" i="1" s="1"/>
  <c r="H1045" i="1"/>
  <c r="H736" i="1"/>
  <c r="J736" i="1"/>
  <c r="K736" i="1" s="1"/>
  <c r="L736" i="1" s="1"/>
  <c r="M736" i="1" s="1"/>
  <c r="J780" i="1"/>
  <c r="K780" i="1" s="1"/>
  <c r="L780" i="1" s="1"/>
  <c r="M780" i="1" s="1"/>
  <c r="H780" i="1"/>
  <c r="J891" i="1"/>
  <c r="K891" i="1" s="1"/>
  <c r="L891" i="1" s="1"/>
  <c r="M891" i="1" s="1"/>
  <c r="H891" i="1"/>
  <c r="H720" i="1"/>
  <c r="J720" i="1"/>
  <c r="K720" i="1" s="1"/>
  <c r="L720" i="1" s="1"/>
  <c r="M720" i="1" s="1"/>
  <c r="H865" i="1"/>
  <c r="J865" i="1"/>
  <c r="K865" i="1" s="1"/>
  <c r="L865" i="1" s="1"/>
  <c r="M865" i="1" s="1"/>
  <c r="J721" i="1"/>
  <c r="K721" i="1" s="1"/>
  <c r="L721" i="1" s="1"/>
  <c r="M721" i="1" s="1"/>
  <c r="H721" i="1"/>
  <c r="J830" i="1"/>
  <c r="K830" i="1" s="1"/>
  <c r="L830" i="1" s="1"/>
  <c r="M830" i="1" s="1"/>
  <c r="H830" i="1"/>
  <c r="J916" i="1"/>
  <c r="K916" i="1" s="1"/>
  <c r="L916" i="1" s="1"/>
  <c r="M916" i="1" s="1"/>
  <c r="H916" i="1"/>
  <c r="J955" i="1"/>
  <c r="K955" i="1" s="1"/>
  <c r="L955" i="1" s="1"/>
  <c r="M955" i="1" s="1"/>
  <c r="H955" i="1"/>
  <c r="H738" i="1"/>
  <c r="J738" i="1"/>
  <c r="K738" i="1" s="1"/>
  <c r="L738" i="1" s="1"/>
  <c r="M738" i="1" s="1"/>
  <c r="J812" i="1"/>
  <c r="K812" i="1" s="1"/>
  <c r="L812" i="1" s="1"/>
  <c r="M812" i="1" s="1"/>
  <c r="H812" i="1"/>
  <c r="J868" i="1"/>
  <c r="K868" i="1" s="1"/>
  <c r="L868" i="1" s="1"/>
  <c r="M868" i="1" s="1"/>
  <c r="H868" i="1"/>
  <c r="J944" i="1"/>
  <c r="K944" i="1" s="1"/>
  <c r="L944" i="1" s="1"/>
  <c r="M944" i="1" s="1"/>
  <c r="H944" i="1"/>
  <c r="J897" i="1"/>
  <c r="K897" i="1" s="1"/>
  <c r="L897" i="1" s="1"/>
  <c r="M897" i="1" s="1"/>
  <c r="H897" i="1"/>
  <c r="H1181" i="1"/>
  <c r="J1181" i="1"/>
  <c r="K1181" i="1" s="1"/>
  <c r="L1181" i="1" s="1"/>
  <c r="M1181" i="1" s="1"/>
  <c r="H1277" i="1"/>
  <c r="J1277" i="1"/>
  <c r="K1277" i="1" s="1"/>
  <c r="L1277" i="1" s="1"/>
  <c r="M1277" i="1" s="1"/>
  <c r="H1135" i="1"/>
  <c r="J1135" i="1"/>
  <c r="K1135" i="1" s="1"/>
  <c r="L1135" i="1" s="1"/>
  <c r="M1135" i="1" s="1"/>
  <c r="H1300" i="1"/>
  <c r="J1300" i="1"/>
  <c r="K1300" i="1" s="1"/>
  <c r="L1300" i="1" s="1"/>
  <c r="M1300" i="1" s="1"/>
  <c r="H1083" i="1"/>
  <c r="J1083" i="1"/>
  <c r="K1083" i="1" s="1"/>
  <c r="L1083" i="1" s="1"/>
  <c r="M1083" i="1" s="1"/>
  <c r="H1109" i="1"/>
  <c r="J1109" i="1"/>
  <c r="K1109" i="1" s="1"/>
  <c r="L1109" i="1" s="1"/>
  <c r="M1109" i="1" s="1"/>
  <c r="J1285" i="1"/>
  <c r="K1285" i="1" s="1"/>
  <c r="L1285" i="1" s="1"/>
  <c r="M1285" i="1" s="1"/>
  <c r="H1285" i="1"/>
  <c r="J1317" i="1"/>
  <c r="K1317" i="1" s="1"/>
  <c r="L1317" i="1" s="1"/>
  <c r="M1317" i="1" s="1"/>
  <c r="H1317" i="1"/>
  <c r="H1349" i="1"/>
  <c r="J1349" i="1"/>
  <c r="K1349" i="1" s="1"/>
  <c r="L1349" i="1" s="1"/>
  <c r="M1349" i="1" s="1"/>
  <c r="J1259" i="1"/>
  <c r="K1259" i="1" s="1"/>
  <c r="L1259" i="1" s="1"/>
  <c r="M1259" i="1" s="1"/>
  <c r="H1259" i="1"/>
  <c r="H583" i="1"/>
  <c r="H579" i="1"/>
  <c r="H621" i="1"/>
  <c r="J651" i="1"/>
  <c r="K651" i="1" s="1"/>
  <c r="L651" i="1" s="1"/>
  <c r="M651" i="1" s="1"/>
  <c r="J674" i="1"/>
  <c r="K674" i="1" s="1"/>
  <c r="L674" i="1" s="1"/>
  <c r="M674" i="1" s="1"/>
  <c r="J729" i="1"/>
  <c r="K729" i="1" s="1"/>
  <c r="L729" i="1" s="1"/>
  <c r="M729" i="1" s="1"/>
  <c r="J784" i="1"/>
  <c r="K784" i="1" s="1"/>
  <c r="L784" i="1" s="1"/>
  <c r="M784" i="1" s="1"/>
  <c r="H822" i="1"/>
  <c r="J731" i="1"/>
  <c r="K731" i="1" s="1"/>
  <c r="L731" i="1" s="1"/>
  <c r="M731" i="1" s="1"/>
  <c r="H975" i="1"/>
  <c r="H991" i="1"/>
  <c r="H1007" i="1"/>
  <c r="H1023" i="1"/>
  <c r="H1039" i="1"/>
  <c r="H756" i="1"/>
  <c r="J725" i="1"/>
  <c r="K725" i="1" s="1"/>
  <c r="L725" i="1" s="1"/>
  <c r="M725" i="1" s="1"/>
  <c r="H1139" i="1"/>
  <c r="J861" i="1"/>
  <c r="K861" i="1" s="1"/>
  <c r="L861" i="1" s="1"/>
  <c r="M861" i="1" s="1"/>
  <c r="J995" i="1"/>
  <c r="K995" i="1" s="1"/>
  <c r="L995" i="1" s="1"/>
  <c r="M995" i="1" s="1"/>
  <c r="J1261" i="1"/>
  <c r="K1261" i="1" s="1"/>
  <c r="L1261" i="1" s="1"/>
  <c r="M1261" i="1" s="1"/>
  <c r="H777" i="1"/>
  <c r="J983" i="1"/>
  <c r="K983" i="1" s="1"/>
  <c r="L983" i="1" s="1"/>
  <c r="M983" i="1" s="1"/>
  <c r="J1159" i="1"/>
  <c r="K1159" i="1" s="1"/>
  <c r="L1159" i="1" s="1"/>
  <c r="M1159" i="1" s="1"/>
  <c r="H1306" i="1"/>
  <c r="H1338" i="1"/>
  <c r="J930" i="1"/>
  <c r="K930" i="1" s="1"/>
  <c r="L930" i="1" s="1"/>
  <c r="M930" i="1" s="1"/>
  <c r="J979" i="1"/>
  <c r="K979" i="1" s="1"/>
  <c r="L979" i="1" s="1"/>
  <c r="M979" i="1" s="1"/>
  <c r="H1055" i="1"/>
  <c r="J1354" i="1"/>
  <c r="K1354" i="1" s="1"/>
  <c r="L1354" i="1" s="1"/>
  <c r="M1354" i="1" s="1"/>
  <c r="H1356" i="1"/>
  <c r="J564" i="1"/>
  <c r="K564" i="1" s="1"/>
  <c r="L564" i="1" s="1"/>
  <c r="M564" i="1" s="1"/>
  <c r="H564" i="1"/>
  <c r="H656" i="1"/>
  <c r="J656" i="1"/>
  <c r="K656" i="1" s="1"/>
  <c r="L656" i="1" s="1"/>
  <c r="M656" i="1" s="1"/>
  <c r="J560" i="1"/>
  <c r="K560" i="1" s="1"/>
  <c r="L560" i="1" s="1"/>
  <c r="M560" i="1" s="1"/>
  <c r="H560" i="1"/>
  <c r="H577" i="1"/>
  <c r="J577" i="1"/>
  <c r="K577" i="1" s="1"/>
  <c r="L577" i="1" s="1"/>
  <c r="M577" i="1" s="1"/>
  <c r="J708" i="1"/>
  <c r="K708" i="1" s="1"/>
  <c r="L708" i="1" s="1"/>
  <c r="M708" i="1" s="1"/>
  <c r="H708" i="1"/>
  <c r="H630" i="1"/>
  <c r="J630" i="1"/>
  <c r="K630" i="1" s="1"/>
  <c r="L630" i="1" s="1"/>
  <c r="M630" i="1" s="1"/>
  <c r="H810" i="1"/>
  <c r="J810" i="1"/>
  <c r="K810" i="1" s="1"/>
  <c r="L810" i="1" s="1"/>
  <c r="M810" i="1" s="1"/>
  <c r="H874" i="1"/>
  <c r="J874" i="1"/>
  <c r="K874" i="1" s="1"/>
  <c r="L874" i="1" s="1"/>
  <c r="M874" i="1" s="1"/>
  <c r="H646" i="1"/>
  <c r="J646" i="1"/>
  <c r="K646" i="1" s="1"/>
  <c r="L646" i="1" s="1"/>
  <c r="M646" i="1" s="1"/>
  <c r="J819" i="1"/>
  <c r="K819" i="1" s="1"/>
  <c r="L819" i="1" s="1"/>
  <c r="M819" i="1" s="1"/>
  <c r="H819" i="1"/>
  <c r="J817" i="1"/>
  <c r="K817" i="1" s="1"/>
  <c r="L817" i="1" s="1"/>
  <c r="M817" i="1" s="1"/>
  <c r="H817" i="1"/>
  <c r="J977" i="1"/>
  <c r="K977" i="1" s="1"/>
  <c r="L977" i="1" s="1"/>
  <c r="M977" i="1" s="1"/>
  <c r="H977" i="1"/>
  <c r="J1009" i="1"/>
  <c r="K1009" i="1" s="1"/>
  <c r="L1009" i="1" s="1"/>
  <c r="M1009" i="1" s="1"/>
  <c r="H1009" i="1"/>
  <c r="J1041" i="1"/>
  <c r="K1041" i="1" s="1"/>
  <c r="L1041" i="1" s="1"/>
  <c r="M1041" i="1" s="1"/>
  <c r="H1041" i="1"/>
  <c r="H915" i="1"/>
  <c r="J915" i="1"/>
  <c r="K915" i="1" s="1"/>
  <c r="L915" i="1" s="1"/>
  <c r="M915" i="1" s="1"/>
  <c r="J785" i="1"/>
  <c r="K785" i="1" s="1"/>
  <c r="L785" i="1" s="1"/>
  <c r="M785" i="1" s="1"/>
  <c r="H785" i="1"/>
  <c r="H710" i="1"/>
  <c r="J710" i="1"/>
  <c r="K710" i="1" s="1"/>
  <c r="L710" i="1" s="1"/>
  <c r="M710" i="1" s="1"/>
  <c r="J849" i="1"/>
  <c r="K849" i="1" s="1"/>
  <c r="L849" i="1" s="1"/>
  <c r="M849" i="1" s="1"/>
  <c r="H849" i="1"/>
  <c r="J873" i="1"/>
  <c r="K873" i="1" s="1"/>
  <c r="L873" i="1" s="1"/>
  <c r="M873" i="1" s="1"/>
  <c r="H873" i="1"/>
  <c r="J679" i="1"/>
  <c r="K679" i="1" s="1"/>
  <c r="L679" i="1" s="1"/>
  <c r="M679" i="1" s="1"/>
  <c r="H679" i="1"/>
  <c r="J960" i="1"/>
  <c r="K960" i="1" s="1"/>
  <c r="L960" i="1" s="1"/>
  <c r="M960" i="1" s="1"/>
  <c r="H960" i="1"/>
  <c r="J719" i="1"/>
  <c r="K719" i="1" s="1"/>
  <c r="L719" i="1" s="1"/>
  <c r="M719" i="1" s="1"/>
  <c r="H719" i="1"/>
  <c r="J788" i="1"/>
  <c r="K788" i="1" s="1"/>
  <c r="L788" i="1" s="1"/>
  <c r="M788" i="1" s="1"/>
  <c r="H788" i="1"/>
  <c r="H1133" i="1"/>
  <c r="J1133" i="1"/>
  <c r="K1133" i="1" s="1"/>
  <c r="L1133" i="1" s="1"/>
  <c r="M1133" i="1" s="1"/>
  <c r="H1087" i="1"/>
  <c r="J1087" i="1"/>
  <c r="K1087" i="1" s="1"/>
  <c r="L1087" i="1" s="1"/>
  <c r="M1087" i="1" s="1"/>
  <c r="H1296" i="1"/>
  <c r="J1296" i="1"/>
  <c r="K1296" i="1" s="1"/>
  <c r="L1296" i="1" s="1"/>
  <c r="M1296" i="1" s="1"/>
  <c r="H1340" i="1"/>
  <c r="J1340" i="1"/>
  <c r="K1340" i="1" s="1"/>
  <c r="L1340" i="1" s="1"/>
  <c r="M1340" i="1" s="1"/>
  <c r="H1131" i="1"/>
  <c r="J1131" i="1"/>
  <c r="K1131" i="1" s="1"/>
  <c r="L1131" i="1" s="1"/>
  <c r="M1131" i="1" s="1"/>
  <c r="H1157" i="1"/>
  <c r="J1157" i="1"/>
  <c r="K1157" i="1" s="1"/>
  <c r="L1157" i="1" s="1"/>
  <c r="M1157" i="1" s="1"/>
  <c r="H1273" i="1"/>
  <c r="J1273" i="1"/>
  <c r="K1273" i="1" s="1"/>
  <c r="L1273" i="1" s="1"/>
  <c r="M1273" i="1" s="1"/>
  <c r="J1305" i="1"/>
  <c r="K1305" i="1" s="1"/>
  <c r="L1305" i="1" s="1"/>
  <c r="M1305" i="1" s="1"/>
  <c r="H1305" i="1"/>
  <c r="J1337" i="1"/>
  <c r="K1337" i="1" s="1"/>
  <c r="L1337" i="1" s="1"/>
  <c r="M1337" i="1" s="1"/>
  <c r="H1337" i="1"/>
  <c r="H1227" i="1"/>
  <c r="J1227" i="1"/>
  <c r="K1227" i="1" s="1"/>
  <c r="L1227" i="1" s="1"/>
  <c r="M1227" i="1" s="1"/>
  <c r="J673" i="1"/>
  <c r="K673" i="1" s="1"/>
  <c r="L673" i="1" s="1"/>
  <c r="M673" i="1" s="1"/>
  <c r="H697" i="1"/>
  <c r="J834" i="1"/>
  <c r="K834" i="1" s="1"/>
  <c r="L834" i="1" s="1"/>
  <c r="M834" i="1" s="1"/>
  <c r="H946" i="1"/>
  <c r="H882" i="1"/>
  <c r="J987" i="1"/>
  <c r="K987" i="1" s="1"/>
  <c r="L987" i="1" s="1"/>
  <c r="M987" i="1" s="1"/>
  <c r="J971" i="1"/>
  <c r="K971" i="1" s="1"/>
  <c r="L971" i="1" s="1"/>
  <c r="M971" i="1" s="1"/>
  <c r="J953" i="1"/>
  <c r="K953" i="1" s="1"/>
  <c r="L953" i="1" s="1"/>
  <c r="M953" i="1" s="1"/>
  <c r="J967" i="1"/>
  <c r="K967" i="1" s="1"/>
  <c r="L967" i="1" s="1"/>
  <c r="M967" i="1" s="1"/>
  <c r="J1079" i="1"/>
  <c r="K1079" i="1" s="1"/>
  <c r="L1079" i="1" s="1"/>
  <c r="M1079" i="1" s="1"/>
  <c r="J963" i="1"/>
  <c r="K963" i="1" s="1"/>
  <c r="L963" i="1" s="1"/>
  <c r="M963" i="1" s="1"/>
  <c r="H1175" i="1"/>
  <c r="J1035" i="1"/>
  <c r="K1035" i="1" s="1"/>
  <c r="L1035" i="1" s="1"/>
  <c r="M1035" i="1" s="1"/>
  <c r="H1063" i="1"/>
  <c r="J1322" i="1"/>
  <c r="K1322" i="1" s="1"/>
  <c r="L1322" i="1" s="1"/>
  <c r="M1322" i="1" s="1"/>
  <c r="H643" i="1"/>
  <c r="J643" i="1"/>
  <c r="K643" i="1" s="1"/>
  <c r="L643" i="1" s="1"/>
  <c r="M643" i="1" s="1"/>
  <c r="J623" i="1"/>
  <c r="K623" i="1" s="1"/>
  <c r="L623" i="1" s="1"/>
  <c r="M623" i="1" s="1"/>
  <c r="H623" i="1"/>
  <c r="H722" i="1"/>
  <c r="J722" i="1"/>
  <c r="K722" i="1" s="1"/>
  <c r="L722" i="1" s="1"/>
  <c r="M722" i="1" s="1"/>
  <c r="H584" i="1"/>
  <c r="J584" i="1"/>
  <c r="K584" i="1" s="1"/>
  <c r="L584" i="1" s="1"/>
  <c r="M584" i="1" s="1"/>
  <c r="H581" i="1"/>
  <c r="J581" i="1"/>
  <c r="K581" i="1" s="1"/>
  <c r="L581" i="1" s="1"/>
  <c r="M581" i="1" s="1"/>
  <c r="J588" i="1"/>
  <c r="K588" i="1" s="1"/>
  <c r="L588" i="1" s="1"/>
  <c r="M588" i="1" s="1"/>
  <c r="H588" i="1"/>
  <c r="J744" i="1"/>
  <c r="K744" i="1" s="1"/>
  <c r="L744" i="1" s="1"/>
  <c r="M744" i="1" s="1"/>
  <c r="H744" i="1"/>
  <c r="J807" i="1"/>
  <c r="K807" i="1" s="1"/>
  <c r="L807" i="1" s="1"/>
  <c r="M807" i="1" s="1"/>
  <c r="H807" i="1"/>
  <c r="J871" i="1"/>
  <c r="K871" i="1" s="1"/>
  <c r="L871" i="1" s="1"/>
  <c r="M871" i="1" s="1"/>
  <c r="H871" i="1"/>
  <c r="J671" i="1"/>
  <c r="K671" i="1" s="1"/>
  <c r="L671" i="1" s="1"/>
  <c r="M671" i="1" s="1"/>
  <c r="H671" i="1"/>
  <c r="J700" i="1"/>
  <c r="K700" i="1" s="1"/>
  <c r="L700" i="1" s="1"/>
  <c r="M700" i="1" s="1"/>
  <c r="H700" i="1"/>
  <c r="J687" i="1"/>
  <c r="K687" i="1" s="1"/>
  <c r="L687" i="1" s="1"/>
  <c r="M687" i="1" s="1"/>
  <c r="H687" i="1"/>
  <c r="J860" i="1"/>
  <c r="K860" i="1" s="1"/>
  <c r="L860" i="1" s="1"/>
  <c r="M860" i="1" s="1"/>
  <c r="H860" i="1"/>
  <c r="J973" i="1"/>
  <c r="K973" i="1" s="1"/>
  <c r="L973" i="1" s="1"/>
  <c r="M973" i="1" s="1"/>
  <c r="H973" i="1"/>
  <c r="J1005" i="1"/>
  <c r="K1005" i="1" s="1"/>
  <c r="L1005" i="1" s="1"/>
  <c r="M1005" i="1" s="1"/>
  <c r="H1005" i="1"/>
  <c r="J1037" i="1"/>
  <c r="K1037" i="1" s="1"/>
  <c r="L1037" i="1" s="1"/>
  <c r="M1037" i="1" s="1"/>
  <c r="H1037" i="1"/>
  <c r="J770" i="1"/>
  <c r="K770" i="1" s="1"/>
  <c r="L770" i="1" s="1"/>
  <c r="M770" i="1" s="1"/>
  <c r="H770" i="1"/>
  <c r="H836" i="1"/>
  <c r="J836" i="1"/>
  <c r="K836" i="1" s="1"/>
  <c r="L836" i="1" s="1"/>
  <c r="M836" i="1" s="1"/>
  <c r="H829" i="1"/>
  <c r="J829" i="1"/>
  <c r="K829" i="1" s="1"/>
  <c r="L829" i="1" s="1"/>
  <c r="M829" i="1" s="1"/>
  <c r="J939" i="1"/>
  <c r="K939" i="1" s="1"/>
  <c r="L939" i="1" s="1"/>
  <c r="M939" i="1" s="1"/>
  <c r="H939" i="1"/>
  <c r="H726" i="1"/>
  <c r="J726" i="1"/>
  <c r="K726" i="1" s="1"/>
  <c r="L726" i="1" s="1"/>
  <c r="M726" i="1" s="1"/>
  <c r="J889" i="1"/>
  <c r="K889" i="1" s="1"/>
  <c r="L889" i="1" s="1"/>
  <c r="M889" i="1" s="1"/>
  <c r="H889" i="1"/>
  <c r="J764" i="1"/>
  <c r="K764" i="1" s="1"/>
  <c r="L764" i="1" s="1"/>
  <c r="M764" i="1" s="1"/>
  <c r="H764" i="1"/>
  <c r="J875" i="1"/>
  <c r="K875" i="1" s="1"/>
  <c r="L875" i="1" s="1"/>
  <c r="M875" i="1" s="1"/>
  <c r="H875" i="1"/>
  <c r="J958" i="1"/>
  <c r="K958" i="1" s="1"/>
  <c r="L958" i="1" s="1"/>
  <c r="M958" i="1" s="1"/>
  <c r="H958" i="1"/>
  <c r="J793" i="1"/>
  <c r="K793" i="1" s="1"/>
  <c r="L793" i="1" s="1"/>
  <c r="M793" i="1" s="1"/>
  <c r="H793" i="1"/>
  <c r="J833" i="1"/>
  <c r="K833" i="1" s="1"/>
  <c r="L833" i="1" s="1"/>
  <c r="M833" i="1" s="1"/>
  <c r="H833" i="1"/>
  <c r="H1085" i="1"/>
  <c r="J1085" i="1"/>
  <c r="K1085" i="1" s="1"/>
  <c r="L1085" i="1" s="1"/>
  <c r="M1085" i="1" s="1"/>
  <c r="H1057" i="1"/>
  <c r="J1057" i="1"/>
  <c r="K1057" i="1" s="1"/>
  <c r="L1057" i="1" s="1"/>
  <c r="M1057" i="1" s="1"/>
  <c r="H1167" i="1"/>
  <c r="J1167" i="1"/>
  <c r="K1167" i="1" s="1"/>
  <c r="L1167" i="1" s="1"/>
  <c r="M1167" i="1" s="1"/>
  <c r="H1255" i="1"/>
  <c r="J1255" i="1"/>
  <c r="K1255" i="1" s="1"/>
  <c r="L1255" i="1" s="1"/>
  <c r="M1255" i="1" s="1"/>
  <c r="H1292" i="1"/>
  <c r="J1292" i="1"/>
  <c r="K1292" i="1" s="1"/>
  <c r="L1292" i="1" s="1"/>
  <c r="M1292" i="1" s="1"/>
  <c r="H1332" i="1"/>
  <c r="J1332" i="1"/>
  <c r="K1332" i="1" s="1"/>
  <c r="L1332" i="1" s="1"/>
  <c r="M1332" i="1" s="1"/>
  <c r="H1077" i="1"/>
  <c r="J1077" i="1"/>
  <c r="K1077" i="1" s="1"/>
  <c r="L1077" i="1" s="1"/>
  <c r="M1077" i="1" s="1"/>
  <c r="H1179" i="1"/>
  <c r="J1179" i="1"/>
  <c r="K1179" i="1" s="1"/>
  <c r="L1179" i="1" s="1"/>
  <c r="M1179" i="1" s="1"/>
  <c r="J1293" i="1"/>
  <c r="K1293" i="1" s="1"/>
  <c r="L1293" i="1" s="1"/>
  <c r="M1293" i="1" s="1"/>
  <c r="H1293" i="1"/>
  <c r="J1325" i="1"/>
  <c r="K1325" i="1" s="1"/>
  <c r="L1325" i="1" s="1"/>
  <c r="M1325" i="1" s="1"/>
  <c r="H1325" i="1"/>
  <c r="H1357" i="1"/>
  <c r="J1357" i="1"/>
  <c r="K1357" i="1" s="1"/>
  <c r="L1357" i="1" s="1"/>
  <c r="M1357" i="1" s="1"/>
  <c r="H1225" i="1"/>
  <c r="J1225" i="1"/>
  <c r="K1225" i="1" s="1"/>
  <c r="L1225" i="1" s="1"/>
  <c r="M1225" i="1" s="1"/>
  <c r="J658" i="1"/>
  <c r="K658" i="1" s="1"/>
  <c r="L658" i="1" s="1"/>
  <c r="M658" i="1" s="1"/>
  <c r="H802" i="1"/>
  <c r="H914" i="1"/>
  <c r="H1003" i="1"/>
  <c r="H1019" i="1"/>
  <c r="J818" i="1"/>
  <c r="K818" i="1" s="1"/>
  <c r="L818" i="1" s="1"/>
  <c r="M818" i="1" s="1"/>
  <c r="H920" i="1"/>
  <c r="J956" i="1"/>
  <c r="K956" i="1" s="1"/>
  <c r="L956" i="1" s="1"/>
  <c r="M956" i="1" s="1"/>
  <c r="H934" i="1"/>
  <c r="J1127" i="1"/>
  <c r="K1127" i="1" s="1"/>
  <c r="L1127" i="1" s="1"/>
  <c r="M1127" i="1" s="1"/>
  <c r="J1047" i="1"/>
  <c r="K1047" i="1" s="1"/>
  <c r="L1047" i="1" s="1"/>
  <c r="M1047" i="1" s="1"/>
  <c r="H951" i="1"/>
  <c r="H1272" i="1"/>
  <c r="J1348" i="1"/>
  <c r="K1348" i="1" s="1"/>
  <c r="L1348" i="1" s="1"/>
  <c r="M1348" i="1" s="1"/>
  <c r="H599" i="1"/>
  <c r="J599" i="1"/>
  <c r="K599" i="1" s="1"/>
  <c r="L599" i="1" s="1"/>
  <c r="M599" i="1" s="1"/>
  <c r="H640" i="1"/>
  <c r="J640" i="1"/>
  <c r="K640" i="1" s="1"/>
  <c r="L640" i="1" s="1"/>
  <c r="M640" i="1" s="1"/>
  <c r="J607" i="1"/>
  <c r="K607" i="1" s="1"/>
  <c r="L607" i="1" s="1"/>
  <c r="M607" i="1" s="1"/>
  <c r="H607" i="1"/>
  <c r="J620" i="1"/>
  <c r="K620" i="1" s="1"/>
  <c r="L620" i="1" s="1"/>
  <c r="M620" i="1" s="1"/>
  <c r="H620" i="1"/>
  <c r="H706" i="1"/>
  <c r="J706" i="1"/>
  <c r="K706" i="1" s="1"/>
  <c r="L706" i="1" s="1"/>
  <c r="M706" i="1" s="1"/>
  <c r="H773" i="1"/>
  <c r="J773" i="1"/>
  <c r="K773" i="1" s="1"/>
  <c r="L773" i="1" s="1"/>
  <c r="M773" i="1" s="1"/>
  <c r="H665" i="1"/>
  <c r="J665" i="1"/>
  <c r="K665" i="1" s="1"/>
  <c r="L665" i="1" s="1"/>
  <c r="M665" i="1" s="1"/>
  <c r="J647" i="1"/>
  <c r="K647" i="1" s="1"/>
  <c r="L647" i="1" s="1"/>
  <c r="M647" i="1" s="1"/>
  <c r="H647" i="1"/>
  <c r="J711" i="1"/>
  <c r="K711" i="1" s="1"/>
  <c r="L711" i="1" s="1"/>
  <c r="M711" i="1" s="1"/>
  <c r="H711" i="1"/>
  <c r="H794" i="1"/>
  <c r="J794" i="1"/>
  <c r="K794" i="1" s="1"/>
  <c r="L794" i="1" s="1"/>
  <c r="M794" i="1" s="1"/>
  <c r="H858" i="1"/>
  <c r="J858" i="1"/>
  <c r="K858" i="1" s="1"/>
  <c r="L858" i="1" s="1"/>
  <c r="M858" i="1" s="1"/>
  <c r="J922" i="1"/>
  <c r="K922" i="1" s="1"/>
  <c r="L922" i="1" s="1"/>
  <c r="M922" i="1" s="1"/>
  <c r="H922" i="1"/>
  <c r="J808" i="1"/>
  <c r="K808" i="1" s="1"/>
  <c r="L808" i="1" s="1"/>
  <c r="M808" i="1" s="1"/>
  <c r="H808" i="1"/>
  <c r="J840" i="1"/>
  <c r="K840" i="1" s="1"/>
  <c r="L840" i="1" s="1"/>
  <c r="M840" i="1" s="1"/>
  <c r="H840" i="1"/>
  <c r="J872" i="1"/>
  <c r="K872" i="1" s="1"/>
  <c r="L872" i="1" s="1"/>
  <c r="M872" i="1" s="1"/>
  <c r="H872" i="1"/>
  <c r="J904" i="1"/>
  <c r="K904" i="1" s="1"/>
  <c r="L904" i="1" s="1"/>
  <c r="M904" i="1" s="1"/>
  <c r="H904" i="1"/>
  <c r="J668" i="1"/>
  <c r="K668" i="1" s="1"/>
  <c r="L668" i="1" s="1"/>
  <c r="M668" i="1" s="1"/>
  <c r="H668" i="1"/>
  <c r="H751" i="1"/>
  <c r="J751" i="1"/>
  <c r="K751" i="1" s="1"/>
  <c r="L751" i="1" s="1"/>
  <c r="M751" i="1" s="1"/>
  <c r="J907" i="1"/>
  <c r="K907" i="1" s="1"/>
  <c r="L907" i="1" s="1"/>
  <c r="M907" i="1" s="1"/>
  <c r="H907" i="1"/>
  <c r="J969" i="1"/>
  <c r="K969" i="1" s="1"/>
  <c r="L969" i="1" s="1"/>
  <c r="M969" i="1" s="1"/>
  <c r="H969" i="1"/>
  <c r="J1001" i="1"/>
  <c r="K1001" i="1" s="1"/>
  <c r="L1001" i="1" s="1"/>
  <c r="M1001" i="1" s="1"/>
  <c r="H1001" i="1"/>
  <c r="J1033" i="1"/>
  <c r="K1033" i="1" s="1"/>
  <c r="L1033" i="1" s="1"/>
  <c r="M1033" i="1" s="1"/>
  <c r="H1033" i="1"/>
  <c r="J841" i="1"/>
  <c r="K841" i="1" s="1"/>
  <c r="L841" i="1" s="1"/>
  <c r="M841" i="1" s="1"/>
  <c r="H841" i="1"/>
  <c r="J778" i="1"/>
  <c r="K778" i="1" s="1"/>
  <c r="L778" i="1" s="1"/>
  <c r="M778" i="1" s="1"/>
  <c r="H778" i="1"/>
  <c r="J801" i="1"/>
  <c r="K801" i="1" s="1"/>
  <c r="L801" i="1" s="1"/>
  <c r="M801" i="1" s="1"/>
  <c r="H801" i="1"/>
  <c r="H820" i="1"/>
  <c r="J820" i="1"/>
  <c r="K820" i="1" s="1"/>
  <c r="L820" i="1" s="1"/>
  <c r="M820" i="1" s="1"/>
  <c r="J787" i="1"/>
  <c r="K787" i="1" s="1"/>
  <c r="L787" i="1" s="1"/>
  <c r="M787" i="1" s="1"/>
  <c r="H787" i="1"/>
  <c r="J870" i="1"/>
  <c r="K870" i="1" s="1"/>
  <c r="L870" i="1" s="1"/>
  <c r="M870" i="1" s="1"/>
  <c r="H870" i="1"/>
  <c r="H896" i="1"/>
  <c r="J896" i="1"/>
  <c r="K896" i="1" s="1"/>
  <c r="L896" i="1" s="1"/>
  <c r="M896" i="1" s="1"/>
  <c r="J932" i="1"/>
  <c r="K932" i="1" s="1"/>
  <c r="L932" i="1" s="1"/>
  <c r="M932" i="1" s="1"/>
  <c r="H932" i="1"/>
  <c r="J689" i="1"/>
  <c r="K689" i="1" s="1"/>
  <c r="L689" i="1" s="1"/>
  <c r="M689" i="1" s="1"/>
  <c r="H689" i="1"/>
  <c r="H1165" i="1"/>
  <c r="J1165" i="1"/>
  <c r="K1165" i="1" s="1"/>
  <c r="L1165" i="1" s="1"/>
  <c r="M1165" i="1" s="1"/>
  <c r="H1119" i="1"/>
  <c r="J1119" i="1"/>
  <c r="K1119" i="1" s="1"/>
  <c r="L1119" i="1" s="1"/>
  <c r="M1119" i="1" s="1"/>
  <c r="H1207" i="1"/>
  <c r="J1207" i="1"/>
  <c r="K1207" i="1" s="1"/>
  <c r="L1207" i="1" s="1"/>
  <c r="M1207" i="1" s="1"/>
  <c r="H1288" i="1"/>
  <c r="J1288" i="1"/>
  <c r="K1288" i="1" s="1"/>
  <c r="L1288" i="1" s="1"/>
  <c r="M1288" i="1" s="1"/>
  <c r="H1320" i="1"/>
  <c r="J1320" i="1"/>
  <c r="K1320" i="1" s="1"/>
  <c r="L1320" i="1" s="1"/>
  <c r="M1320" i="1" s="1"/>
  <c r="H1099" i="1"/>
  <c r="J1099" i="1"/>
  <c r="K1099" i="1" s="1"/>
  <c r="L1099" i="1" s="1"/>
  <c r="M1099" i="1" s="1"/>
  <c r="H1125" i="1"/>
  <c r="J1125" i="1"/>
  <c r="K1125" i="1" s="1"/>
  <c r="L1125" i="1" s="1"/>
  <c r="M1125" i="1" s="1"/>
  <c r="H1241" i="1"/>
  <c r="J1241" i="1"/>
  <c r="K1241" i="1" s="1"/>
  <c r="L1241" i="1" s="1"/>
  <c r="M1241" i="1" s="1"/>
  <c r="J1281" i="1"/>
  <c r="K1281" i="1" s="1"/>
  <c r="L1281" i="1" s="1"/>
  <c r="M1281" i="1" s="1"/>
  <c r="H1281" i="1"/>
  <c r="J1313" i="1"/>
  <c r="K1313" i="1" s="1"/>
  <c r="L1313" i="1" s="1"/>
  <c r="M1313" i="1" s="1"/>
  <c r="H1313" i="1"/>
  <c r="J1345" i="1"/>
  <c r="K1345" i="1" s="1"/>
  <c r="L1345" i="1" s="1"/>
  <c r="M1345" i="1" s="1"/>
  <c r="H1345" i="1"/>
  <c r="H1195" i="1"/>
  <c r="J1195" i="1"/>
  <c r="K1195" i="1" s="1"/>
  <c r="L1195" i="1" s="1"/>
  <c r="M1195" i="1" s="1"/>
  <c r="J631" i="1"/>
  <c r="K631" i="1" s="1"/>
  <c r="L631" i="1" s="1"/>
  <c r="M631" i="1" s="1"/>
  <c r="J657" i="1"/>
  <c r="K657" i="1" s="1"/>
  <c r="L657" i="1" s="1"/>
  <c r="M657" i="1" s="1"/>
  <c r="J739" i="1"/>
  <c r="K739" i="1" s="1"/>
  <c r="L739" i="1" s="1"/>
  <c r="M739" i="1" s="1"/>
  <c r="H701" i="1"/>
  <c r="H699" i="1"/>
  <c r="H940" i="1"/>
  <c r="J925" i="1"/>
  <c r="K925" i="1" s="1"/>
  <c r="L925" i="1" s="1"/>
  <c r="M925" i="1" s="1"/>
  <c r="H1302" i="1"/>
  <c r="J1031" i="1"/>
  <c r="K1031" i="1" s="1"/>
  <c r="L1031" i="1" s="1"/>
  <c r="M1031" i="1" s="1"/>
  <c r="H792" i="1"/>
  <c r="H1143" i="1"/>
  <c r="J1051" i="1"/>
  <c r="K1051" i="1" s="1"/>
  <c r="L1051" i="1" s="1"/>
  <c r="M1051" i="1" s="1"/>
  <c r="H1240" i="1"/>
  <c r="J1310" i="1"/>
  <c r="K1310" i="1" s="1"/>
  <c r="L1310" i="1" s="1"/>
  <c r="M1310" i="1" s="1"/>
  <c r="H611" i="1"/>
  <c r="J611" i="1"/>
  <c r="K611" i="1" s="1"/>
  <c r="L611" i="1" s="1"/>
  <c r="M611" i="1" s="1"/>
  <c r="J576" i="1"/>
  <c r="K576" i="1" s="1"/>
  <c r="L576" i="1" s="1"/>
  <c r="M576" i="1" s="1"/>
  <c r="H576" i="1"/>
  <c r="J604" i="1"/>
  <c r="K604" i="1" s="1"/>
  <c r="L604" i="1" s="1"/>
  <c r="M604" i="1" s="1"/>
  <c r="H604" i="1"/>
  <c r="H690" i="1"/>
  <c r="J690" i="1"/>
  <c r="K690" i="1" s="1"/>
  <c r="L690" i="1" s="1"/>
  <c r="M690" i="1" s="1"/>
  <c r="J771" i="1"/>
  <c r="K771" i="1" s="1"/>
  <c r="L771" i="1" s="1"/>
  <c r="M771" i="1" s="1"/>
  <c r="H771" i="1"/>
  <c r="J652" i="1"/>
  <c r="K652" i="1" s="1"/>
  <c r="L652" i="1" s="1"/>
  <c r="M652" i="1" s="1"/>
  <c r="H652" i="1"/>
  <c r="H649" i="1"/>
  <c r="J649" i="1"/>
  <c r="K649" i="1" s="1"/>
  <c r="L649" i="1" s="1"/>
  <c r="M649" i="1" s="1"/>
  <c r="J791" i="1"/>
  <c r="K791" i="1" s="1"/>
  <c r="L791" i="1" s="1"/>
  <c r="M791" i="1" s="1"/>
  <c r="H791" i="1"/>
  <c r="J855" i="1"/>
  <c r="K855" i="1" s="1"/>
  <c r="L855" i="1" s="1"/>
  <c r="M855" i="1" s="1"/>
  <c r="H855" i="1"/>
  <c r="J919" i="1"/>
  <c r="K919" i="1" s="1"/>
  <c r="L919" i="1" s="1"/>
  <c r="M919" i="1" s="1"/>
  <c r="H919" i="1"/>
  <c r="J660" i="1"/>
  <c r="K660" i="1" s="1"/>
  <c r="L660" i="1" s="1"/>
  <c r="M660" i="1" s="1"/>
  <c r="H660" i="1"/>
  <c r="H672" i="1"/>
  <c r="J672" i="1"/>
  <c r="K672" i="1" s="1"/>
  <c r="L672" i="1" s="1"/>
  <c r="M672" i="1" s="1"/>
  <c r="J759" i="1"/>
  <c r="K759" i="1" s="1"/>
  <c r="L759" i="1" s="1"/>
  <c r="M759" i="1" s="1"/>
  <c r="H759" i="1"/>
  <c r="J902" i="1"/>
  <c r="K902" i="1" s="1"/>
  <c r="L902" i="1" s="1"/>
  <c r="M902" i="1" s="1"/>
  <c r="H902" i="1"/>
  <c r="J929" i="1"/>
  <c r="K929" i="1" s="1"/>
  <c r="L929" i="1" s="1"/>
  <c r="M929" i="1" s="1"/>
  <c r="H929" i="1"/>
  <c r="J965" i="1"/>
  <c r="K965" i="1" s="1"/>
  <c r="L965" i="1" s="1"/>
  <c r="M965" i="1" s="1"/>
  <c r="H965" i="1"/>
  <c r="J997" i="1"/>
  <c r="K997" i="1" s="1"/>
  <c r="L997" i="1" s="1"/>
  <c r="M997" i="1" s="1"/>
  <c r="H997" i="1"/>
  <c r="J1029" i="1"/>
  <c r="K1029" i="1" s="1"/>
  <c r="L1029" i="1" s="1"/>
  <c r="M1029" i="1" s="1"/>
  <c r="H1029" i="1"/>
  <c r="J703" i="1"/>
  <c r="K703" i="1" s="1"/>
  <c r="L703" i="1" s="1"/>
  <c r="M703" i="1" s="1"/>
  <c r="H703" i="1"/>
  <c r="J748" i="1"/>
  <c r="K748" i="1" s="1"/>
  <c r="L748" i="1" s="1"/>
  <c r="M748" i="1" s="1"/>
  <c r="H748" i="1"/>
  <c r="J908" i="1"/>
  <c r="K908" i="1" s="1"/>
  <c r="L908" i="1" s="1"/>
  <c r="M908" i="1" s="1"/>
  <c r="H908" i="1"/>
  <c r="J827" i="1"/>
  <c r="K827" i="1" s="1"/>
  <c r="L827" i="1" s="1"/>
  <c r="M827" i="1" s="1"/>
  <c r="H827" i="1"/>
  <c r="H936" i="1"/>
  <c r="J936" i="1"/>
  <c r="K936" i="1" s="1"/>
  <c r="L936" i="1" s="1"/>
  <c r="M936" i="1" s="1"/>
  <c r="J825" i="1"/>
  <c r="K825" i="1" s="1"/>
  <c r="L825" i="1" s="1"/>
  <c r="M825" i="1" s="1"/>
  <c r="H825" i="1"/>
  <c r="J894" i="1"/>
  <c r="K894" i="1" s="1"/>
  <c r="L894" i="1" s="1"/>
  <c r="M894" i="1" s="1"/>
  <c r="H894" i="1"/>
  <c r="H688" i="1"/>
  <c r="J688" i="1"/>
  <c r="K688" i="1" s="1"/>
  <c r="L688" i="1" s="1"/>
  <c r="M688" i="1" s="1"/>
  <c r="J892" i="1"/>
  <c r="K892" i="1" s="1"/>
  <c r="L892" i="1" s="1"/>
  <c r="M892" i="1" s="1"/>
  <c r="H892" i="1"/>
  <c r="J811" i="1"/>
  <c r="K811" i="1" s="1"/>
  <c r="L811" i="1" s="1"/>
  <c r="M811" i="1" s="1"/>
  <c r="H811" i="1"/>
  <c r="J804" i="1"/>
  <c r="K804" i="1" s="1"/>
  <c r="L804" i="1" s="1"/>
  <c r="M804" i="1" s="1"/>
  <c r="H804" i="1"/>
  <c r="H942" i="1"/>
  <c r="J942" i="1"/>
  <c r="K942" i="1" s="1"/>
  <c r="L942" i="1" s="1"/>
  <c r="M942" i="1" s="1"/>
  <c r="H733" i="1"/>
  <c r="J733" i="1"/>
  <c r="K733" i="1" s="1"/>
  <c r="L733" i="1" s="1"/>
  <c r="M733" i="1" s="1"/>
  <c r="H694" i="1"/>
  <c r="J694" i="1"/>
  <c r="K694" i="1" s="1"/>
  <c r="L694" i="1" s="1"/>
  <c r="M694" i="1" s="1"/>
  <c r="J776" i="1"/>
  <c r="K776" i="1" s="1"/>
  <c r="L776" i="1" s="1"/>
  <c r="M776" i="1" s="1"/>
  <c r="H776" i="1"/>
  <c r="J857" i="1"/>
  <c r="K857" i="1" s="1"/>
  <c r="L857" i="1" s="1"/>
  <c r="M857" i="1" s="1"/>
  <c r="H857" i="1"/>
  <c r="H1117" i="1"/>
  <c r="J1117" i="1"/>
  <c r="K1117" i="1" s="1"/>
  <c r="L1117" i="1" s="1"/>
  <c r="M1117" i="1" s="1"/>
  <c r="H1071" i="1"/>
  <c r="J1071" i="1"/>
  <c r="K1071" i="1" s="1"/>
  <c r="L1071" i="1" s="1"/>
  <c r="M1071" i="1" s="1"/>
  <c r="H1205" i="1"/>
  <c r="J1205" i="1"/>
  <c r="K1205" i="1" s="1"/>
  <c r="L1205" i="1" s="1"/>
  <c r="M1205" i="1" s="1"/>
  <c r="H1284" i="1"/>
  <c r="J1284" i="1"/>
  <c r="K1284" i="1" s="1"/>
  <c r="L1284" i="1" s="1"/>
  <c r="M1284" i="1" s="1"/>
  <c r="H1316" i="1"/>
  <c r="J1316" i="1"/>
  <c r="K1316" i="1" s="1"/>
  <c r="L1316" i="1" s="1"/>
  <c r="M1316" i="1" s="1"/>
  <c r="H1243" i="1"/>
  <c r="J1243" i="1"/>
  <c r="K1243" i="1" s="1"/>
  <c r="L1243" i="1" s="1"/>
  <c r="M1243" i="1" s="1"/>
  <c r="H1147" i="1"/>
  <c r="J1147" i="1"/>
  <c r="K1147" i="1" s="1"/>
  <c r="L1147" i="1" s="1"/>
  <c r="M1147" i="1" s="1"/>
  <c r="H1173" i="1"/>
  <c r="J1173" i="1"/>
  <c r="K1173" i="1" s="1"/>
  <c r="L1173" i="1" s="1"/>
  <c r="M1173" i="1" s="1"/>
  <c r="J1301" i="1"/>
  <c r="K1301" i="1" s="1"/>
  <c r="L1301" i="1" s="1"/>
  <c r="M1301" i="1" s="1"/>
  <c r="H1301" i="1"/>
  <c r="J1333" i="1"/>
  <c r="K1333" i="1" s="1"/>
  <c r="L1333" i="1" s="1"/>
  <c r="M1333" i="1" s="1"/>
  <c r="H1333" i="1"/>
  <c r="H1193" i="1"/>
  <c r="J1193" i="1"/>
  <c r="K1193" i="1" s="1"/>
  <c r="L1193" i="1" s="1"/>
  <c r="M1193" i="1" s="1"/>
  <c r="H561" i="1"/>
  <c r="J615" i="1"/>
  <c r="K615" i="1" s="1"/>
  <c r="L615" i="1" s="1"/>
  <c r="M615" i="1" s="1"/>
  <c r="H667" i="1"/>
  <c r="H669" i="1"/>
  <c r="J681" i="1"/>
  <c r="K681" i="1" s="1"/>
  <c r="L681" i="1" s="1"/>
  <c r="M681" i="1" s="1"/>
  <c r="H999" i="1"/>
  <c r="H1015" i="1"/>
  <c r="H898" i="1"/>
  <c r="H880" i="1"/>
  <c r="J754" i="1"/>
  <c r="K754" i="1" s="1"/>
  <c r="L754" i="1" s="1"/>
  <c r="M754" i="1" s="1"/>
  <c r="H1075" i="1"/>
  <c r="J866" i="1"/>
  <c r="K866" i="1" s="1"/>
  <c r="L866" i="1" s="1"/>
  <c r="M866" i="1" s="1"/>
  <c r="H888" i="1"/>
  <c r="J1095" i="1"/>
  <c r="K1095" i="1" s="1"/>
  <c r="L1095" i="1" s="1"/>
  <c r="M1095" i="1" s="1"/>
  <c r="H1290" i="1"/>
  <c r="H1260" i="1"/>
  <c r="J1352" i="1"/>
  <c r="K1352" i="1" s="1"/>
  <c r="L1352" i="1" s="1"/>
  <c r="M1352" i="1" s="1"/>
  <c r="J1362" i="1"/>
  <c r="K1362" i="1" s="1"/>
  <c r="L1362" i="1" s="1"/>
  <c r="M1362" i="1" s="1"/>
  <c r="J608" i="1"/>
  <c r="K608" i="1" s="1"/>
  <c r="L608" i="1" s="1"/>
  <c r="M608" i="1" s="1"/>
  <c r="H608" i="1"/>
  <c r="H600" i="1"/>
  <c r="J600" i="1"/>
  <c r="K600" i="1" s="1"/>
  <c r="L600" i="1" s="1"/>
  <c r="M600" i="1" s="1"/>
  <c r="H617" i="1"/>
  <c r="J617" i="1"/>
  <c r="K617" i="1" s="1"/>
  <c r="L617" i="1" s="1"/>
  <c r="M617" i="1" s="1"/>
  <c r="J758" i="1"/>
  <c r="K758" i="1" s="1"/>
  <c r="L758" i="1" s="1"/>
  <c r="M758" i="1" s="1"/>
  <c r="H758" i="1"/>
  <c r="J692" i="1"/>
  <c r="K692" i="1" s="1"/>
  <c r="L692" i="1" s="1"/>
  <c r="M692" i="1" s="1"/>
  <c r="H692" i="1"/>
  <c r="J724" i="1"/>
  <c r="K724" i="1" s="1"/>
  <c r="L724" i="1" s="1"/>
  <c r="M724" i="1" s="1"/>
  <c r="H724" i="1"/>
  <c r="J743" i="1"/>
  <c r="K743" i="1" s="1"/>
  <c r="L743" i="1" s="1"/>
  <c r="M743" i="1" s="1"/>
  <c r="H743" i="1"/>
  <c r="H781" i="1"/>
  <c r="J781" i="1"/>
  <c r="K781" i="1" s="1"/>
  <c r="L781" i="1" s="1"/>
  <c r="M781" i="1" s="1"/>
  <c r="H842" i="1"/>
  <c r="J842" i="1"/>
  <c r="K842" i="1" s="1"/>
  <c r="L842" i="1" s="1"/>
  <c r="M842" i="1" s="1"/>
  <c r="H906" i="1"/>
  <c r="J906" i="1"/>
  <c r="K906" i="1" s="1"/>
  <c r="L906" i="1" s="1"/>
  <c r="M906" i="1" s="1"/>
  <c r="J684" i="1"/>
  <c r="K684" i="1" s="1"/>
  <c r="L684" i="1" s="1"/>
  <c r="M684" i="1" s="1"/>
  <c r="H684" i="1"/>
  <c r="J798" i="1"/>
  <c r="K798" i="1" s="1"/>
  <c r="L798" i="1" s="1"/>
  <c r="M798" i="1" s="1"/>
  <c r="H798" i="1"/>
  <c r="J796" i="1"/>
  <c r="K796" i="1" s="1"/>
  <c r="L796" i="1" s="1"/>
  <c r="M796" i="1" s="1"/>
  <c r="H796" i="1"/>
  <c r="J852" i="1"/>
  <c r="K852" i="1" s="1"/>
  <c r="L852" i="1" s="1"/>
  <c r="M852" i="1" s="1"/>
  <c r="H852" i="1"/>
  <c r="J843" i="1"/>
  <c r="K843" i="1" s="1"/>
  <c r="L843" i="1" s="1"/>
  <c r="M843" i="1" s="1"/>
  <c r="H843" i="1"/>
  <c r="J961" i="1"/>
  <c r="K961" i="1" s="1"/>
  <c r="L961" i="1" s="1"/>
  <c r="M961" i="1" s="1"/>
  <c r="H961" i="1"/>
  <c r="J993" i="1"/>
  <c r="K993" i="1" s="1"/>
  <c r="L993" i="1" s="1"/>
  <c r="M993" i="1" s="1"/>
  <c r="H993" i="1"/>
  <c r="J1025" i="1"/>
  <c r="K1025" i="1" s="1"/>
  <c r="L1025" i="1" s="1"/>
  <c r="M1025" i="1" s="1"/>
  <c r="H1025" i="1"/>
  <c r="J760" i="1"/>
  <c r="K760" i="1" s="1"/>
  <c r="L760" i="1" s="1"/>
  <c r="M760" i="1" s="1"/>
  <c r="H760" i="1"/>
  <c r="J867" i="1"/>
  <c r="K867" i="1" s="1"/>
  <c r="L867" i="1" s="1"/>
  <c r="M867" i="1" s="1"/>
  <c r="H867" i="1"/>
  <c r="J926" i="1"/>
  <c r="K926" i="1" s="1"/>
  <c r="L926" i="1" s="1"/>
  <c r="M926" i="1" s="1"/>
  <c r="H926" i="1"/>
  <c r="H767" i="1"/>
  <c r="J767" i="1"/>
  <c r="K767" i="1" s="1"/>
  <c r="L767" i="1" s="1"/>
  <c r="M767" i="1" s="1"/>
  <c r="J809" i="1"/>
  <c r="K809" i="1" s="1"/>
  <c r="L809" i="1" s="1"/>
  <c r="M809" i="1" s="1"/>
  <c r="H809" i="1"/>
  <c r="J913" i="1"/>
  <c r="K913" i="1" s="1"/>
  <c r="L913" i="1" s="1"/>
  <c r="M913" i="1" s="1"/>
  <c r="H913" i="1"/>
  <c r="J876" i="1"/>
  <c r="K876" i="1" s="1"/>
  <c r="L876" i="1" s="1"/>
  <c r="M876" i="1" s="1"/>
  <c r="H876" i="1"/>
  <c r="H1069" i="1"/>
  <c r="J1069" i="1"/>
  <c r="K1069" i="1" s="1"/>
  <c r="L1069" i="1" s="1"/>
  <c r="M1069" i="1" s="1"/>
  <c r="H1151" i="1"/>
  <c r="J1151" i="1"/>
  <c r="K1151" i="1" s="1"/>
  <c r="L1151" i="1" s="1"/>
  <c r="M1151" i="1" s="1"/>
  <c r="H1280" i="1"/>
  <c r="J1280" i="1"/>
  <c r="K1280" i="1" s="1"/>
  <c r="L1280" i="1" s="1"/>
  <c r="M1280" i="1" s="1"/>
  <c r="H1312" i="1"/>
  <c r="J1312" i="1"/>
  <c r="K1312" i="1" s="1"/>
  <c r="L1312" i="1" s="1"/>
  <c r="M1312" i="1" s="1"/>
  <c r="H1211" i="1"/>
  <c r="J1211" i="1"/>
  <c r="K1211" i="1" s="1"/>
  <c r="L1211" i="1" s="1"/>
  <c r="M1211" i="1" s="1"/>
  <c r="H1093" i="1"/>
  <c r="J1093" i="1"/>
  <c r="K1093" i="1" s="1"/>
  <c r="L1093" i="1" s="1"/>
  <c r="M1093" i="1" s="1"/>
  <c r="H1215" i="1"/>
  <c r="J1215" i="1"/>
  <c r="K1215" i="1" s="1"/>
  <c r="L1215" i="1" s="1"/>
  <c r="M1215" i="1" s="1"/>
  <c r="J1289" i="1"/>
  <c r="K1289" i="1" s="1"/>
  <c r="L1289" i="1" s="1"/>
  <c r="M1289" i="1" s="1"/>
  <c r="H1289" i="1"/>
  <c r="J1321" i="1"/>
  <c r="K1321" i="1" s="1"/>
  <c r="L1321" i="1" s="1"/>
  <c r="M1321" i="1" s="1"/>
  <c r="H1321" i="1"/>
  <c r="J1353" i="1"/>
  <c r="K1353" i="1" s="1"/>
  <c r="L1353" i="1" s="1"/>
  <c r="M1353" i="1" s="1"/>
  <c r="H1353" i="1"/>
  <c r="J1360" i="1"/>
  <c r="K1360" i="1" s="1"/>
  <c r="L1360" i="1" s="1"/>
  <c r="M1360" i="1" s="1"/>
  <c r="H1360" i="1"/>
  <c r="J625" i="1"/>
  <c r="K625" i="1" s="1"/>
  <c r="L625" i="1" s="1"/>
  <c r="M625" i="1" s="1"/>
  <c r="J745" i="1"/>
  <c r="K745" i="1" s="1"/>
  <c r="L745" i="1" s="1"/>
  <c r="M745" i="1" s="1"/>
  <c r="H854" i="1"/>
  <c r="H797" i="1"/>
  <c r="J1043" i="1"/>
  <c r="K1043" i="1" s="1"/>
  <c r="L1043" i="1" s="1"/>
  <c r="M1043" i="1" s="1"/>
  <c r="H800" i="1"/>
  <c r="H856" i="1"/>
  <c r="H1111" i="1"/>
  <c r="H927" i="1"/>
  <c r="H1236" i="1"/>
  <c r="J596" i="1"/>
  <c r="K596" i="1" s="1"/>
  <c r="L596" i="1" s="1"/>
  <c r="M596" i="1" s="1"/>
  <c r="H596" i="1"/>
  <c r="J591" i="1"/>
  <c r="K591" i="1" s="1"/>
  <c r="L591" i="1" s="1"/>
  <c r="M591" i="1" s="1"/>
  <c r="H591" i="1"/>
  <c r="H627" i="1"/>
  <c r="J627" i="1"/>
  <c r="K627" i="1" s="1"/>
  <c r="L627" i="1" s="1"/>
  <c r="M627" i="1" s="1"/>
  <c r="J572" i="1"/>
  <c r="K572" i="1" s="1"/>
  <c r="L572" i="1" s="1"/>
  <c r="M572" i="1" s="1"/>
  <c r="H572" i="1"/>
  <c r="H614" i="1"/>
  <c r="J614" i="1"/>
  <c r="K614" i="1" s="1"/>
  <c r="L614" i="1" s="1"/>
  <c r="M614" i="1" s="1"/>
  <c r="J559" i="1"/>
  <c r="K559" i="1" s="1"/>
  <c r="L559" i="1" s="1"/>
  <c r="M559" i="1" s="1"/>
  <c r="H559" i="1"/>
  <c r="J612" i="1"/>
  <c r="K612" i="1" s="1"/>
  <c r="L612" i="1" s="1"/>
  <c r="M612" i="1" s="1"/>
  <c r="H612" i="1"/>
  <c r="H633" i="1"/>
  <c r="J633" i="1"/>
  <c r="K633" i="1" s="1"/>
  <c r="L633" i="1" s="1"/>
  <c r="M633" i="1" s="1"/>
  <c r="J655" i="1"/>
  <c r="K655" i="1" s="1"/>
  <c r="L655" i="1" s="1"/>
  <c r="M655" i="1" s="1"/>
  <c r="H655" i="1"/>
  <c r="H769" i="1"/>
  <c r="J769" i="1"/>
  <c r="K769" i="1" s="1"/>
  <c r="L769" i="1" s="1"/>
  <c r="M769" i="1" s="1"/>
  <c r="J839" i="1"/>
  <c r="K839" i="1" s="1"/>
  <c r="L839" i="1" s="1"/>
  <c r="M839" i="1" s="1"/>
  <c r="H839" i="1"/>
  <c r="J903" i="1"/>
  <c r="K903" i="1" s="1"/>
  <c r="L903" i="1" s="1"/>
  <c r="M903" i="1" s="1"/>
  <c r="H903" i="1"/>
  <c r="J676" i="1"/>
  <c r="K676" i="1" s="1"/>
  <c r="L676" i="1" s="1"/>
  <c r="M676" i="1" s="1"/>
  <c r="H676" i="1"/>
  <c r="J838" i="1"/>
  <c r="K838" i="1" s="1"/>
  <c r="L838" i="1" s="1"/>
  <c r="M838" i="1" s="1"/>
  <c r="H838" i="1"/>
  <c r="J948" i="1"/>
  <c r="K948" i="1" s="1"/>
  <c r="L948" i="1" s="1"/>
  <c r="M948" i="1" s="1"/>
  <c r="H948" i="1"/>
  <c r="J989" i="1"/>
  <c r="K989" i="1" s="1"/>
  <c r="L989" i="1" s="1"/>
  <c r="M989" i="1" s="1"/>
  <c r="H989" i="1"/>
  <c r="J1021" i="1"/>
  <c r="K1021" i="1" s="1"/>
  <c r="L1021" i="1" s="1"/>
  <c r="M1021" i="1" s="1"/>
  <c r="H1021" i="1"/>
  <c r="J806" i="1"/>
  <c r="K806" i="1" s="1"/>
  <c r="L806" i="1" s="1"/>
  <c r="M806" i="1" s="1"/>
  <c r="H806" i="1"/>
  <c r="H893" i="1"/>
  <c r="J893" i="1"/>
  <c r="K893" i="1" s="1"/>
  <c r="L893" i="1" s="1"/>
  <c r="M893" i="1" s="1"/>
  <c r="H675" i="1"/>
  <c r="J675" i="1"/>
  <c r="K675" i="1" s="1"/>
  <c r="L675" i="1" s="1"/>
  <c r="M675" i="1" s="1"/>
  <c r="H747" i="1"/>
  <c r="J747" i="1"/>
  <c r="K747" i="1" s="1"/>
  <c r="L747" i="1" s="1"/>
  <c r="M747" i="1" s="1"/>
  <c r="H1149" i="1"/>
  <c r="J1149" i="1"/>
  <c r="K1149" i="1" s="1"/>
  <c r="L1149" i="1" s="1"/>
  <c r="M1149" i="1" s="1"/>
  <c r="H1103" i="1"/>
  <c r="J1103" i="1"/>
  <c r="K1103" i="1" s="1"/>
  <c r="L1103" i="1" s="1"/>
  <c r="M1103" i="1" s="1"/>
  <c r="H1308" i="1"/>
  <c r="J1308" i="1"/>
  <c r="K1308" i="1" s="1"/>
  <c r="L1308" i="1" s="1"/>
  <c r="M1308" i="1" s="1"/>
  <c r="H1209" i="1"/>
  <c r="J1209" i="1"/>
  <c r="K1209" i="1" s="1"/>
  <c r="L1209" i="1" s="1"/>
  <c r="M1209" i="1" s="1"/>
  <c r="H1275" i="1"/>
  <c r="J1275" i="1"/>
  <c r="K1275" i="1" s="1"/>
  <c r="L1275" i="1" s="1"/>
  <c r="M1275" i="1" s="1"/>
  <c r="H1115" i="1"/>
  <c r="J1115" i="1"/>
  <c r="K1115" i="1" s="1"/>
  <c r="L1115" i="1" s="1"/>
  <c r="M1115" i="1" s="1"/>
  <c r="H1141" i="1"/>
  <c r="J1141" i="1"/>
  <c r="K1141" i="1" s="1"/>
  <c r="L1141" i="1" s="1"/>
  <c r="M1141" i="1" s="1"/>
  <c r="H1213" i="1"/>
  <c r="J1213" i="1"/>
  <c r="K1213" i="1" s="1"/>
  <c r="L1213" i="1" s="1"/>
  <c r="M1213" i="1" s="1"/>
  <c r="J1263" i="1"/>
  <c r="K1263" i="1" s="1"/>
  <c r="L1263" i="1" s="1"/>
  <c r="M1263" i="1" s="1"/>
  <c r="H1263" i="1"/>
  <c r="J1309" i="1"/>
  <c r="K1309" i="1" s="1"/>
  <c r="L1309" i="1" s="1"/>
  <c r="M1309" i="1" s="1"/>
  <c r="H1309" i="1"/>
  <c r="J1341" i="1"/>
  <c r="K1341" i="1" s="1"/>
  <c r="L1341" i="1" s="1"/>
  <c r="M1341" i="1" s="1"/>
  <c r="H1341" i="1"/>
  <c r="J641" i="1"/>
  <c r="K641" i="1" s="1"/>
  <c r="L641" i="1" s="1"/>
  <c r="M641" i="1" s="1"/>
  <c r="J609" i="1"/>
  <c r="K609" i="1" s="1"/>
  <c r="L609" i="1" s="1"/>
  <c r="M609" i="1" s="1"/>
  <c r="H786" i="1"/>
  <c r="H850" i="1"/>
  <c r="H1011" i="1"/>
  <c r="H1027" i="1"/>
  <c r="H683" i="1"/>
  <c r="H715" i="1"/>
  <c r="H824" i="1"/>
  <c r="J1324" i="1"/>
  <c r="K1324" i="1" s="1"/>
  <c r="L1324" i="1" s="1"/>
  <c r="M1324" i="1" s="1"/>
  <c r="J1264" i="1"/>
  <c r="K1264" i="1" s="1"/>
  <c r="L1264" i="1" s="1"/>
  <c r="M1264" i="1" s="1"/>
  <c r="J1344" i="1"/>
  <c r="K1344" i="1" s="1"/>
  <c r="L1344" i="1" s="1"/>
  <c r="M1344" i="1" s="1"/>
  <c r="J1286" i="1"/>
  <c r="K1286" i="1" s="1"/>
  <c r="L1286" i="1" s="1"/>
  <c r="M1286" i="1" s="1"/>
  <c r="J1350" i="1"/>
  <c r="K1350" i="1" s="1"/>
  <c r="L1350" i="1" s="1"/>
  <c r="M1350" i="1" s="1"/>
  <c r="J624" i="1"/>
  <c r="K624" i="1" s="1"/>
  <c r="L624" i="1" s="1"/>
  <c r="M624" i="1" s="1"/>
  <c r="H624" i="1"/>
  <c r="H589" i="1"/>
  <c r="J589" i="1"/>
  <c r="K589" i="1" s="1"/>
  <c r="L589" i="1" s="1"/>
  <c r="M589" i="1" s="1"/>
  <c r="H568" i="1"/>
  <c r="J568" i="1"/>
  <c r="K568" i="1" s="1"/>
  <c r="L568" i="1" s="1"/>
  <c r="M568" i="1" s="1"/>
  <c r="H556" i="1"/>
  <c r="J556" i="1"/>
  <c r="K556" i="1" s="1"/>
  <c r="L556" i="1" s="1"/>
  <c r="M556" i="1" s="1"/>
  <c r="J695" i="1"/>
  <c r="K695" i="1" s="1"/>
  <c r="L695" i="1" s="1"/>
  <c r="M695" i="1" s="1"/>
  <c r="H695" i="1"/>
  <c r="J727" i="1"/>
  <c r="K727" i="1" s="1"/>
  <c r="L727" i="1" s="1"/>
  <c r="M727" i="1" s="1"/>
  <c r="H727" i="1"/>
  <c r="H826" i="1"/>
  <c r="J826" i="1"/>
  <c r="K826" i="1" s="1"/>
  <c r="L826" i="1" s="1"/>
  <c r="M826" i="1" s="1"/>
  <c r="H890" i="1"/>
  <c r="J890" i="1"/>
  <c r="K890" i="1" s="1"/>
  <c r="L890" i="1" s="1"/>
  <c r="M890" i="1" s="1"/>
  <c r="J716" i="1"/>
  <c r="K716" i="1" s="1"/>
  <c r="L716" i="1" s="1"/>
  <c r="M716" i="1" s="1"/>
  <c r="H716" i="1"/>
  <c r="J663" i="1"/>
  <c r="K663" i="1" s="1"/>
  <c r="L663" i="1" s="1"/>
  <c r="M663" i="1" s="1"/>
  <c r="H663" i="1"/>
  <c r="J636" i="1"/>
  <c r="K636" i="1" s="1"/>
  <c r="L636" i="1" s="1"/>
  <c r="M636" i="1" s="1"/>
  <c r="H636" i="1"/>
  <c r="H864" i="1"/>
  <c r="J864" i="1"/>
  <c r="K864" i="1" s="1"/>
  <c r="L864" i="1" s="1"/>
  <c r="M864" i="1" s="1"/>
  <c r="J923" i="1"/>
  <c r="K923" i="1" s="1"/>
  <c r="L923" i="1" s="1"/>
  <c r="M923" i="1" s="1"/>
  <c r="H923" i="1"/>
  <c r="J985" i="1"/>
  <c r="K985" i="1" s="1"/>
  <c r="L985" i="1" s="1"/>
  <c r="M985" i="1" s="1"/>
  <c r="H985" i="1"/>
  <c r="J1017" i="1"/>
  <c r="K1017" i="1" s="1"/>
  <c r="L1017" i="1" s="1"/>
  <c r="M1017" i="1" s="1"/>
  <c r="H1017" i="1"/>
  <c r="J1049" i="1"/>
  <c r="K1049" i="1" s="1"/>
  <c r="L1049" i="1" s="1"/>
  <c r="M1049" i="1" s="1"/>
  <c r="H1049" i="1"/>
  <c r="J881" i="1"/>
  <c r="K881" i="1" s="1"/>
  <c r="L881" i="1" s="1"/>
  <c r="M881" i="1" s="1"/>
  <c r="H881" i="1"/>
  <c r="J905" i="1"/>
  <c r="K905" i="1" s="1"/>
  <c r="L905" i="1" s="1"/>
  <c r="M905" i="1" s="1"/>
  <c r="H905" i="1"/>
  <c r="J947" i="1"/>
  <c r="K947" i="1" s="1"/>
  <c r="L947" i="1" s="1"/>
  <c r="M947" i="1" s="1"/>
  <c r="H947" i="1"/>
  <c r="J844" i="1"/>
  <c r="K844" i="1" s="1"/>
  <c r="L844" i="1" s="1"/>
  <c r="M844" i="1" s="1"/>
  <c r="H844" i="1"/>
  <c r="H900" i="1"/>
  <c r="J900" i="1"/>
  <c r="K900" i="1" s="1"/>
  <c r="L900" i="1" s="1"/>
  <c r="M900" i="1" s="1"/>
  <c r="J918" i="1"/>
  <c r="K918" i="1" s="1"/>
  <c r="L918" i="1" s="1"/>
  <c r="M918" i="1" s="1"/>
  <c r="H918" i="1"/>
  <c r="J921" i="1"/>
  <c r="K921" i="1" s="1"/>
  <c r="L921" i="1" s="1"/>
  <c r="M921" i="1" s="1"/>
  <c r="H921" i="1"/>
  <c r="J746" i="1"/>
  <c r="K746" i="1" s="1"/>
  <c r="L746" i="1" s="1"/>
  <c r="M746" i="1" s="1"/>
  <c r="H746" i="1"/>
  <c r="H832" i="1"/>
  <c r="J832" i="1"/>
  <c r="K832" i="1" s="1"/>
  <c r="L832" i="1" s="1"/>
  <c r="M832" i="1" s="1"/>
  <c r="J828" i="1"/>
  <c r="K828" i="1" s="1"/>
  <c r="L828" i="1" s="1"/>
  <c r="M828" i="1" s="1"/>
  <c r="H828" i="1"/>
  <c r="J884" i="1"/>
  <c r="K884" i="1" s="1"/>
  <c r="L884" i="1" s="1"/>
  <c r="M884" i="1" s="1"/>
  <c r="H884" i="1"/>
  <c r="H768" i="1"/>
  <c r="J768" i="1"/>
  <c r="K768" i="1" s="1"/>
  <c r="L768" i="1" s="1"/>
  <c r="M768" i="1" s="1"/>
  <c r="H704" i="1"/>
  <c r="J704" i="1"/>
  <c r="K704" i="1" s="1"/>
  <c r="L704" i="1" s="1"/>
  <c r="M704" i="1" s="1"/>
  <c r="J775" i="1"/>
  <c r="K775" i="1" s="1"/>
  <c r="L775" i="1" s="1"/>
  <c r="M775" i="1" s="1"/>
  <c r="H775" i="1"/>
  <c r="H753" i="1"/>
  <c r="J753" i="1"/>
  <c r="K753" i="1" s="1"/>
  <c r="L753" i="1" s="1"/>
  <c r="M753" i="1" s="1"/>
  <c r="H1101" i="1"/>
  <c r="J1101" i="1"/>
  <c r="K1101" i="1" s="1"/>
  <c r="L1101" i="1" s="1"/>
  <c r="M1101" i="1" s="1"/>
  <c r="H1245" i="1"/>
  <c r="J1245" i="1"/>
  <c r="K1245" i="1" s="1"/>
  <c r="L1245" i="1" s="1"/>
  <c r="M1245" i="1" s="1"/>
  <c r="H1053" i="1"/>
  <c r="J1053" i="1"/>
  <c r="K1053" i="1" s="1"/>
  <c r="L1053" i="1" s="1"/>
  <c r="M1053" i="1" s="1"/>
  <c r="H1183" i="1"/>
  <c r="J1183" i="1"/>
  <c r="K1183" i="1" s="1"/>
  <c r="L1183" i="1" s="1"/>
  <c r="M1183" i="1" s="1"/>
  <c r="H1265" i="1"/>
  <c r="J1265" i="1"/>
  <c r="K1265" i="1" s="1"/>
  <c r="L1265" i="1" s="1"/>
  <c r="M1265" i="1" s="1"/>
  <c r="H1304" i="1"/>
  <c r="J1304" i="1"/>
  <c r="K1304" i="1" s="1"/>
  <c r="L1304" i="1" s="1"/>
  <c r="M1304" i="1" s="1"/>
  <c r="H1059" i="1"/>
  <c r="J1059" i="1"/>
  <c r="K1059" i="1" s="1"/>
  <c r="L1059" i="1" s="1"/>
  <c r="M1059" i="1" s="1"/>
  <c r="H1163" i="1"/>
  <c r="J1163" i="1"/>
  <c r="K1163" i="1" s="1"/>
  <c r="L1163" i="1" s="1"/>
  <c r="M1163" i="1" s="1"/>
  <c r="J1297" i="1"/>
  <c r="K1297" i="1" s="1"/>
  <c r="L1297" i="1" s="1"/>
  <c r="M1297" i="1" s="1"/>
  <c r="H1297" i="1"/>
  <c r="J1329" i="1"/>
  <c r="K1329" i="1" s="1"/>
  <c r="L1329" i="1" s="1"/>
  <c r="M1329" i="1" s="1"/>
  <c r="H1329" i="1"/>
  <c r="J1361" i="1"/>
  <c r="K1361" i="1" s="1"/>
  <c r="L1361" i="1" s="1"/>
  <c r="M1361" i="1" s="1"/>
  <c r="H1361" i="1"/>
  <c r="J610" i="1"/>
  <c r="K610" i="1" s="1"/>
  <c r="L610" i="1" s="1"/>
  <c r="M610" i="1" s="1"/>
  <c r="H605" i="1"/>
  <c r="J1279" i="1"/>
  <c r="K1279" i="1" s="1"/>
  <c r="L1279" i="1" s="1"/>
  <c r="M1279" i="1" s="1"/>
  <c r="D227" i="1"/>
  <c r="D233" i="1"/>
  <c r="D242" i="1"/>
  <c r="D250" i="1"/>
  <c r="D252" i="1"/>
  <c r="D218" i="1"/>
  <c r="D243" i="1"/>
  <c r="D232" i="1"/>
  <c r="D219" i="1"/>
  <c r="D248" i="1"/>
  <c r="D244" i="1"/>
  <c r="D240" i="1"/>
  <c r="D236" i="1"/>
  <c r="D228" i="1"/>
  <c r="D224" i="1"/>
  <c r="D220" i="1"/>
  <c r="D245" i="1"/>
  <c r="D235" i="1"/>
  <c r="D221" i="1"/>
  <c r="D249" i="1"/>
  <c r="D241" i="1"/>
  <c r="D237" i="1"/>
  <c r="D225" i="1"/>
  <c r="D217" i="1"/>
  <c r="D251" i="1"/>
  <c r="D230" i="1"/>
  <c r="D226" i="1"/>
  <c r="D216" i="1"/>
  <c r="D234" i="1"/>
  <c r="D239" i="1"/>
  <c r="D247" i="1"/>
  <c r="D238" i="1"/>
  <c r="D231" i="1"/>
  <c r="D222" i="1"/>
  <c r="D246" i="1"/>
  <c r="D223" i="1"/>
  <c r="D253" i="1"/>
  <c r="V478" i="1" l="1"/>
  <c r="W478" i="1"/>
  <c r="X478" i="1"/>
  <c r="V484" i="1"/>
  <c r="X484" i="1"/>
  <c r="W484" i="1"/>
  <c r="V483" i="1"/>
  <c r="W483" i="1"/>
  <c r="X483" i="1"/>
  <c r="X488" i="1"/>
  <c r="V488" i="1"/>
  <c r="W488" i="1"/>
  <c r="H489" i="1"/>
  <c r="I489" i="1" s="1"/>
  <c r="U489" i="1" s="1"/>
  <c r="J489" i="1"/>
  <c r="K489" i="1" s="1"/>
  <c r="L489" i="1" s="1"/>
  <c r="M489" i="1" s="1"/>
  <c r="F486" i="1"/>
  <c r="X482" i="1"/>
  <c r="V482" i="1"/>
  <c r="W482" i="1"/>
  <c r="W491" i="1"/>
  <c r="V491" i="1"/>
  <c r="X491" i="1"/>
  <c r="J490" i="1"/>
  <c r="K490" i="1" s="1"/>
  <c r="L490" i="1" s="1"/>
  <c r="M490" i="1" s="1"/>
  <c r="H490" i="1"/>
  <c r="I490" i="1" s="1"/>
  <c r="U490" i="1" s="1"/>
  <c r="U481" i="1"/>
  <c r="W487" i="1"/>
  <c r="V487" i="1"/>
  <c r="X487" i="1"/>
  <c r="H414" i="1"/>
  <c r="I414" i="1" s="1"/>
  <c r="U414" i="1" s="1"/>
  <c r="W414" i="1" s="1"/>
  <c r="J476" i="1"/>
  <c r="K476" i="1" s="1"/>
  <c r="L476" i="1" s="1"/>
  <c r="M476" i="1" s="1"/>
  <c r="J443" i="1"/>
  <c r="K443" i="1" s="1"/>
  <c r="L443" i="1" s="1"/>
  <c r="M443" i="1" s="1"/>
  <c r="H435" i="1"/>
  <c r="I435" i="1" s="1"/>
  <c r="U435" i="1" s="1"/>
  <c r="W479" i="1"/>
  <c r="X479" i="1"/>
  <c r="V479" i="1"/>
  <c r="J446" i="1"/>
  <c r="K446" i="1" s="1"/>
  <c r="L446" i="1" s="1"/>
  <c r="M446" i="1" s="1"/>
  <c r="J450" i="1"/>
  <c r="K450" i="1" s="1"/>
  <c r="L450" i="1" s="1"/>
  <c r="M450" i="1" s="1"/>
  <c r="X480" i="1"/>
  <c r="V480" i="1"/>
  <c r="W480" i="1"/>
  <c r="W481" i="1"/>
  <c r="X481" i="1"/>
  <c r="V481" i="1"/>
  <c r="U477" i="1"/>
  <c r="X477" i="1" s="1"/>
  <c r="V476" i="1"/>
  <c r="W476" i="1"/>
  <c r="X476" i="1"/>
  <c r="V474" i="1"/>
  <c r="W474" i="1"/>
  <c r="X474" i="1"/>
  <c r="J418" i="1"/>
  <c r="K418" i="1" s="1"/>
  <c r="L418" i="1" s="1"/>
  <c r="M418" i="1" s="1"/>
  <c r="X475" i="1"/>
  <c r="V475" i="1"/>
  <c r="W475" i="1"/>
  <c r="U431" i="1"/>
  <c r="V431" i="1" s="1"/>
  <c r="H442" i="1"/>
  <c r="I442" i="1" s="1"/>
  <c r="U442" i="1" s="1"/>
  <c r="X442" i="1" s="1"/>
  <c r="H417" i="1"/>
  <c r="I417" i="1" s="1"/>
  <c r="U417" i="1" s="1"/>
  <c r="H420" i="1"/>
  <c r="I420" i="1" s="1"/>
  <c r="U420" i="1" s="1"/>
  <c r="V420" i="1" s="1"/>
  <c r="H437" i="1"/>
  <c r="I437" i="1" s="1"/>
  <c r="U437" i="1" s="1"/>
  <c r="V437" i="1" s="1"/>
  <c r="H429" i="1"/>
  <c r="I429" i="1" s="1"/>
  <c r="U429" i="1" s="1"/>
  <c r="W429" i="1" s="1"/>
  <c r="X472" i="1"/>
  <c r="V472" i="1"/>
  <c r="H473" i="1"/>
  <c r="I473" i="1" s="1"/>
  <c r="U473" i="1" s="1"/>
  <c r="J473" i="1"/>
  <c r="K473" i="1" s="1"/>
  <c r="L473" i="1" s="1"/>
  <c r="M473" i="1" s="1"/>
  <c r="W472" i="1"/>
  <c r="J439" i="1"/>
  <c r="K439" i="1" s="1"/>
  <c r="L439" i="1" s="1"/>
  <c r="M439" i="1" s="1"/>
  <c r="H412" i="1"/>
  <c r="I412" i="1" s="1"/>
  <c r="U412" i="1" s="1"/>
  <c r="X412" i="1" s="1"/>
  <c r="U324" i="1"/>
  <c r="V324" i="1" s="1"/>
  <c r="U461" i="1"/>
  <c r="V461" i="1" s="1"/>
  <c r="X468" i="1"/>
  <c r="W468" i="1"/>
  <c r="V468" i="1"/>
  <c r="H458" i="1"/>
  <c r="I458" i="1" s="1"/>
  <c r="U458" i="1" s="1"/>
  <c r="W458" i="1" s="1"/>
  <c r="J458" i="1"/>
  <c r="K458" i="1" s="1"/>
  <c r="L458" i="1" s="1"/>
  <c r="M458" i="1" s="1"/>
  <c r="H452" i="1"/>
  <c r="I452" i="1" s="1"/>
  <c r="U452" i="1" s="1"/>
  <c r="W452" i="1" s="1"/>
  <c r="H444" i="1"/>
  <c r="I444" i="1" s="1"/>
  <c r="U444" i="1" s="1"/>
  <c r="W444" i="1" s="1"/>
  <c r="J428" i="1"/>
  <c r="K428" i="1" s="1"/>
  <c r="L428" i="1" s="1"/>
  <c r="M428" i="1" s="1"/>
  <c r="J384" i="1"/>
  <c r="K384" i="1" s="1"/>
  <c r="L384" i="1" s="1"/>
  <c r="M384" i="1" s="1"/>
  <c r="U471" i="1"/>
  <c r="V471" i="1" s="1"/>
  <c r="F449" i="1"/>
  <c r="V462" i="1"/>
  <c r="X462" i="1"/>
  <c r="W462" i="1"/>
  <c r="W455" i="1"/>
  <c r="X455" i="1"/>
  <c r="V455" i="1"/>
  <c r="J407" i="1"/>
  <c r="K407" i="1" s="1"/>
  <c r="L407" i="1" s="1"/>
  <c r="M407" i="1" s="1"/>
  <c r="H407" i="1"/>
  <c r="I407" i="1" s="1"/>
  <c r="U407" i="1" s="1"/>
  <c r="X407" i="1" s="1"/>
  <c r="X450" i="1"/>
  <c r="W450" i="1"/>
  <c r="V450" i="1"/>
  <c r="W459" i="1"/>
  <c r="X459" i="1"/>
  <c r="V459" i="1"/>
  <c r="X456" i="1"/>
  <c r="W456" i="1"/>
  <c r="V456" i="1"/>
  <c r="V454" i="1"/>
  <c r="X454" i="1"/>
  <c r="W454" i="1"/>
  <c r="X453" i="1"/>
  <c r="V453" i="1"/>
  <c r="W453" i="1"/>
  <c r="H404" i="1"/>
  <c r="I404" i="1" s="1"/>
  <c r="U404" i="1" s="1"/>
  <c r="X404" i="1" s="1"/>
  <c r="U428" i="1"/>
  <c r="X428" i="1" s="1"/>
  <c r="X464" i="1"/>
  <c r="W464" i="1"/>
  <c r="V464" i="1"/>
  <c r="W461" i="1"/>
  <c r="J466" i="1"/>
  <c r="K466" i="1" s="1"/>
  <c r="L466" i="1" s="1"/>
  <c r="M466" i="1" s="1"/>
  <c r="H466" i="1"/>
  <c r="I466" i="1" s="1"/>
  <c r="U466" i="1" s="1"/>
  <c r="V460" i="1"/>
  <c r="W460" i="1"/>
  <c r="X460" i="1"/>
  <c r="V451" i="1"/>
  <c r="W451" i="1"/>
  <c r="X451" i="1"/>
  <c r="F470" i="1"/>
  <c r="U376" i="1"/>
  <c r="W376" i="1" s="1"/>
  <c r="H424" i="1"/>
  <c r="I424" i="1" s="1"/>
  <c r="U424" i="1" s="1"/>
  <c r="W463" i="1"/>
  <c r="X463" i="1"/>
  <c r="V463" i="1"/>
  <c r="W457" i="1"/>
  <c r="X457" i="1"/>
  <c r="V457" i="1"/>
  <c r="F448" i="1"/>
  <c r="U445" i="1"/>
  <c r="W445" i="1" s="1"/>
  <c r="V467" i="1"/>
  <c r="X467" i="1"/>
  <c r="W467" i="1"/>
  <c r="J465" i="1"/>
  <c r="K465" i="1" s="1"/>
  <c r="L465" i="1" s="1"/>
  <c r="M465" i="1" s="1"/>
  <c r="H465" i="1"/>
  <c r="I465" i="1" s="1"/>
  <c r="U465" i="1" s="1"/>
  <c r="H469" i="1"/>
  <c r="I469" i="1" s="1"/>
  <c r="U469" i="1" s="1"/>
  <c r="J469" i="1"/>
  <c r="K469" i="1" s="1"/>
  <c r="L469" i="1" s="1"/>
  <c r="M469" i="1" s="1"/>
  <c r="V440" i="1"/>
  <c r="W440" i="1"/>
  <c r="X440" i="1"/>
  <c r="V446" i="1"/>
  <c r="X446" i="1"/>
  <c r="W446" i="1"/>
  <c r="F430" i="1"/>
  <c r="U443" i="1"/>
  <c r="X443" i="1" s="1"/>
  <c r="W447" i="1"/>
  <c r="V447" i="1"/>
  <c r="X447" i="1"/>
  <c r="W425" i="1"/>
  <c r="X425" i="1"/>
  <c r="V425" i="1"/>
  <c r="X418" i="1"/>
  <c r="W418" i="1"/>
  <c r="V418" i="1"/>
  <c r="X435" i="1"/>
  <c r="V435" i="1"/>
  <c r="W435" i="1"/>
  <c r="V442" i="1"/>
  <c r="V414" i="1"/>
  <c r="W432" i="1"/>
  <c r="X432" i="1"/>
  <c r="V432" i="1"/>
  <c r="X427" i="1"/>
  <c r="W427" i="1"/>
  <c r="V427" i="1"/>
  <c r="W439" i="1"/>
  <c r="X439" i="1"/>
  <c r="V439" i="1"/>
  <c r="W441" i="1"/>
  <c r="X441" i="1"/>
  <c r="V441" i="1"/>
  <c r="F413" i="1"/>
  <c r="H409" i="1"/>
  <c r="I409" i="1" s="1"/>
  <c r="U409" i="1" s="1"/>
  <c r="J409" i="1"/>
  <c r="K409" i="1" s="1"/>
  <c r="L409" i="1" s="1"/>
  <c r="M409" i="1" s="1"/>
  <c r="W416" i="1"/>
  <c r="X416" i="1"/>
  <c r="V416" i="1"/>
  <c r="J421" i="1"/>
  <c r="K421" i="1" s="1"/>
  <c r="L421" i="1" s="1"/>
  <c r="M421" i="1" s="1"/>
  <c r="H421" i="1"/>
  <c r="I421" i="1" s="1"/>
  <c r="U421" i="1" s="1"/>
  <c r="W433" i="1"/>
  <c r="X433" i="1"/>
  <c r="V433" i="1"/>
  <c r="F436" i="1"/>
  <c r="F415" i="1"/>
  <c r="J426" i="1"/>
  <c r="K426" i="1" s="1"/>
  <c r="L426" i="1" s="1"/>
  <c r="M426" i="1" s="1"/>
  <c r="H426" i="1"/>
  <c r="I426" i="1" s="1"/>
  <c r="U426" i="1" s="1"/>
  <c r="H434" i="1"/>
  <c r="I434" i="1" s="1"/>
  <c r="U434" i="1" s="1"/>
  <c r="J434" i="1"/>
  <c r="K434" i="1" s="1"/>
  <c r="L434" i="1" s="1"/>
  <c r="M434" i="1" s="1"/>
  <c r="H423" i="1"/>
  <c r="I423" i="1" s="1"/>
  <c r="U423" i="1" s="1"/>
  <c r="J423" i="1"/>
  <c r="K423" i="1" s="1"/>
  <c r="L423" i="1" s="1"/>
  <c r="M423" i="1" s="1"/>
  <c r="V422" i="1"/>
  <c r="W422" i="1"/>
  <c r="X422" i="1"/>
  <c r="H438" i="1"/>
  <c r="I438" i="1" s="1"/>
  <c r="U438" i="1" s="1"/>
  <c r="J438" i="1"/>
  <c r="K438" i="1" s="1"/>
  <c r="L438" i="1" s="1"/>
  <c r="M438" i="1" s="1"/>
  <c r="J419" i="1"/>
  <c r="K419" i="1" s="1"/>
  <c r="L419" i="1" s="1"/>
  <c r="M419" i="1" s="1"/>
  <c r="H419" i="1"/>
  <c r="I419" i="1" s="1"/>
  <c r="U419" i="1" s="1"/>
  <c r="W417" i="1"/>
  <c r="V417" i="1"/>
  <c r="X417" i="1"/>
  <c r="J411" i="1"/>
  <c r="K411" i="1" s="1"/>
  <c r="L411" i="1" s="1"/>
  <c r="M411" i="1" s="1"/>
  <c r="H411" i="1"/>
  <c r="I411" i="1" s="1"/>
  <c r="U411" i="1" s="1"/>
  <c r="H410" i="1"/>
  <c r="I410" i="1" s="1"/>
  <c r="U410" i="1" s="1"/>
  <c r="J410" i="1"/>
  <c r="K410" i="1" s="1"/>
  <c r="L410" i="1" s="1"/>
  <c r="M410" i="1" s="1"/>
  <c r="F408" i="1"/>
  <c r="U368" i="1"/>
  <c r="V368" i="1" s="1"/>
  <c r="U370" i="1"/>
  <c r="W370" i="1" s="1"/>
  <c r="U405" i="1"/>
  <c r="W405" i="1" s="1"/>
  <c r="U398" i="1"/>
  <c r="V398" i="1" s="1"/>
  <c r="U358" i="1"/>
  <c r="V358" i="1" s="1"/>
  <c r="U380" i="1"/>
  <c r="V380" i="1" s="1"/>
  <c r="U372" i="1"/>
  <c r="V372" i="1" s="1"/>
  <c r="U389" i="1"/>
  <c r="V389" i="1" s="1"/>
  <c r="J362" i="1"/>
  <c r="K362" i="1" s="1"/>
  <c r="L362" i="1" s="1"/>
  <c r="M362" i="1" s="1"/>
  <c r="H401" i="1"/>
  <c r="I401" i="1" s="1"/>
  <c r="U401" i="1" s="1"/>
  <c r="J401" i="1"/>
  <c r="K401" i="1" s="1"/>
  <c r="L401" i="1" s="1"/>
  <c r="M401" i="1" s="1"/>
  <c r="U397" i="1"/>
  <c r="V397" i="1" s="1"/>
  <c r="J358" i="1"/>
  <c r="K358" i="1" s="1"/>
  <c r="L358" i="1" s="1"/>
  <c r="M358" i="1" s="1"/>
  <c r="U383" i="1"/>
  <c r="V383" i="1" s="1"/>
  <c r="J355" i="1"/>
  <c r="K355" i="1" s="1"/>
  <c r="L355" i="1" s="1"/>
  <c r="M355" i="1" s="1"/>
  <c r="U367" i="1"/>
  <c r="W367" i="1" s="1"/>
  <c r="J366" i="1"/>
  <c r="K366" i="1" s="1"/>
  <c r="L366" i="1" s="1"/>
  <c r="M366" i="1" s="1"/>
  <c r="J365" i="1"/>
  <c r="K365" i="1" s="1"/>
  <c r="L365" i="1" s="1"/>
  <c r="M365" i="1" s="1"/>
  <c r="H386" i="1"/>
  <c r="I386" i="1" s="1"/>
  <c r="U386" i="1" s="1"/>
  <c r="W386" i="1" s="1"/>
  <c r="J383" i="1"/>
  <c r="K383" i="1" s="1"/>
  <c r="L383" i="1" s="1"/>
  <c r="M383" i="1" s="1"/>
  <c r="U356" i="1"/>
  <c r="X356" i="1" s="1"/>
  <c r="J389" i="1"/>
  <c r="K389" i="1" s="1"/>
  <c r="L389" i="1" s="1"/>
  <c r="M389" i="1" s="1"/>
  <c r="J353" i="1"/>
  <c r="K353" i="1" s="1"/>
  <c r="L353" i="1" s="1"/>
  <c r="M353" i="1" s="1"/>
  <c r="J363" i="1"/>
  <c r="K363" i="1" s="1"/>
  <c r="L363" i="1" s="1"/>
  <c r="M363" i="1" s="1"/>
  <c r="J376" i="1"/>
  <c r="K376" i="1" s="1"/>
  <c r="L376" i="1" s="1"/>
  <c r="M376" i="1" s="1"/>
  <c r="H354" i="1"/>
  <c r="I354" i="1" s="1"/>
  <c r="U354" i="1" s="1"/>
  <c r="V354" i="1" s="1"/>
  <c r="H361" i="1"/>
  <c r="I361" i="1" s="1"/>
  <c r="U361" i="1" s="1"/>
  <c r="V361" i="1" s="1"/>
  <c r="H364" i="1"/>
  <c r="I364" i="1" s="1"/>
  <c r="U364" i="1" s="1"/>
  <c r="V364" i="1" s="1"/>
  <c r="H360" i="1"/>
  <c r="I360" i="1" s="1"/>
  <c r="U360" i="1" s="1"/>
  <c r="X360" i="1" s="1"/>
  <c r="J382" i="1"/>
  <c r="K382" i="1" s="1"/>
  <c r="L382" i="1" s="1"/>
  <c r="M382" i="1" s="1"/>
  <c r="J374" i="1"/>
  <c r="K374" i="1" s="1"/>
  <c r="L374" i="1" s="1"/>
  <c r="M374" i="1" s="1"/>
  <c r="H357" i="1"/>
  <c r="I357" i="1" s="1"/>
  <c r="U357" i="1" s="1"/>
  <c r="V357" i="1" s="1"/>
  <c r="H359" i="1"/>
  <c r="I359" i="1" s="1"/>
  <c r="U359" i="1" s="1"/>
  <c r="X359" i="1" s="1"/>
  <c r="X315" i="1"/>
  <c r="J371" i="1"/>
  <c r="K371" i="1" s="1"/>
  <c r="L371" i="1" s="1"/>
  <c r="M371" i="1" s="1"/>
  <c r="W316" i="1"/>
  <c r="X316" i="1"/>
  <c r="X378" i="1"/>
  <c r="V378" i="1"/>
  <c r="W378" i="1"/>
  <c r="X381" i="1"/>
  <c r="V381" i="1"/>
  <c r="W381" i="1"/>
  <c r="X373" i="1"/>
  <c r="V373" i="1"/>
  <c r="W373" i="1"/>
  <c r="W369" i="1"/>
  <c r="X369" i="1"/>
  <c r="V369" i="1"/>
  <c r="V382" i="1"/>
  <c r="W382" i="1"/>
  <c r="X382" i="1"/>
  <c r="X371" i="1"/>
  <c r="W371" i="1"/>
  <c r="V371" i="1"/>
  <c r="W363" i="1"/>
  <c r="V363" i="1"/>
  <c r="X363" i="1"/>
  <c r="X362" i="1"/>
  <c r="W362" i="1"/>
  <c r="V362" i="1"/>
  <c r="X365" i="1"/>
  <c r="V365" i="1"/>
  <c r="W365" i="1"/>
  <c r="W375" i="1"/>
  <c r="V375" i="1"/>
  <c r="X375" i="1"/>
  <c r="V366" i="1"/>
  <c r="X366" i="1"/>
  <c r="W366" i="1"/>
  <c r="V374" i="1"/>
  <c r="W374" i="1"/>
  <c r="X374" i="1"/>
  <c r="W384" i="1"/>
  <c r="V384" i="1"/>
  <c r="X384" i="1"/>
  <c r="F395" i="1"/>
  <c r="J356" i="1"/>
  <c r="K356" i="1" s="1"/>
  <c r="L356" i="1" s="1"/>
  <c r="M356" i="1" s="1"/>
  <c r="W377" i="1"/>
  <c r="V377" i="1"/>
  <c r="X377" i="1"/>
  <c r="F406" i="1"/>
  <c r="F385" i="1"/>
  <c r="W391" i="1"/>
  <c r="X391" i="1"/>
  <c r="V391" i="1"/>
  <c r="W393" i="1"/>
  <c r="X393" i="1"/>
  <c r="V393" i="1"/>
  <c r="V388" i="1"/>
  <c r="W388" i="1"/>
  <c r="X388" i="1"/>
  <c r="J390" i="1"/>
  <c r="K390" i="1" s="1"/>
  <c r="L390" i="1" s="1"/>
  <c r="M390" i="1" s="1"/>
  <c r="H390" i="1"/>
  <c r="I390" i="1" s="1"/>
  <c r="U390" i="1" s="1"/>
  <c r="J394" i="1"/>
  <c r="K394" i="1" s="1"/>
  <c r="L394" i="1" s="1"/>
  <c r="M394" i="1" s="1"/>
  <c r="H394" i="1"/>
  <c r="I394" i="1" s="1"/>
  <c r="U394" i="1" s="1"/>
  <c r="W355" i="1"/>
  <c r="V355" i="1"/>
  <c r="X355" i="1"/>
  <c r="H403" i="1"/>
  <c r="I403" i="1" s="1"/>
  <c r="U403" i="1" s="1"/>
  <c r="J403" i="1"/>
  <c r="K403" i="1" s="1"/>
  <c r="L403" i="1" s="1"/>
  <c r="M403" i="1" s="1"/>
  <c r="J402" i="1"/>
  <c r="K402" i="1" s="1"/>
  <c r="L402" i="1" s="1"/>
  <c r="M402" i="1" s="1"/>
  <c r="H402" i="1"/>
  <c r="I402" i="1" s="1"/>
  <c r="U402" i="1" s="1"/>
  <c r="H379" i="1"/>
  <c r="I379" i="1" s="1"/>
  <c r="U379" i="1" s="1"/>
  <c r="H392" i="1"/>
  <c r="I392" i="1" s="1"/>
  <c r="U392" i="1" s="1"/>
  <c r="J392" i="1"/>
  <c r="K392" i="1" s="1"/>
  <c r="L392" i="1" s="1"/>
  <c r="M392" i="1" s="1"/>
  <c r="F396" i="1"/>
  <c r="V387" i="1"/>
  <c r="W387" i="1"/>
  <c r="X387" i="1"/>
  <c r="V376" i="1"/>
  <c r="H399" i="1"/>
  <c r="I399" i="1" s="1"/>
  <c r="U399" i="1" s="1"/>
  <c r="J399" i="1"/>
  <c r="K399" i="1" s="1"/>
  <c r="L399" i="1" s="1"/>
  <c r="M399" i="1" s="1"/>
  <c r="U303" i="1"/>
  <c r="X303" i="1" s="1"/>
  <c r="U353" i="1"/>
  <c r="W353" i="1" s="1"/>
  <c r="H345" i="1"/>
  <c r="I345" i="1" s="1"/>
  <c r="U345" i="1" s="1"/>
  <c r="V345" i="1" s="1"/>
  <c r="W315" i="1"/>
  <c r="J343" i="1"/>
  <c r="K343" i="1" s="1"/>
  <c r="L343" i="1" s="1"/>
  <c r="M343" i="1" s="1"/>
  <c r="J350" i="1"/>
  <c r="K350" i="1" s="1"/>
  <c r="L350" i="1" s="1"/>
  <c r="M350" i="1" s="1"/>
  <c r="H328" i="1"/>
  <c r="I328" i="1" s="1"/>
  <c r="U328" i="1" s="1"/>
  <c r="W328" i="1" s="1"/>
  <c r="W352" i="1"/>
  <c r="X352" i="1"/>
  <c r="V352" i="1"/>
  <c r="X347" i="1"/>
  <c r="W347" i="1"/>
  <c r="V347" i="1"/>
  <c r="W344" i="1"/>
  <c r="X344" i="1"/>
  <c r="V344" i="1"/>
  <c r="V342" i="1"/>
  <c r="X342" i="1"/>
  <c r="W342" i="1"/>
  <c r="H339" i="1"/>
  <c r="I339" i="1" s="1"/>
  <c r="U339" i="1" s="1"/>
  <c r="V348" i="1"/>
  <c r="X348" i="1"/>
  <c r="W348" i="1"/>
  <c r="W343" i="1"/>
  <c r="V343" i="1"/>
  <c r="X343" i="1"/>
  <c r="X349" i="1"/>
  <c r="W349" i="1"/>
  <c r="V349" i="1"/>
  <c r="V340" i="1"/>
  <c r="X340" i="1"/>
  <c r="W340" i="1"/>
  <c r="X346" i="1"/>
  <c r="V346" i="1"/>
  <c r="W346" i="1"/>
  <c r="V350" i="1"/>
  <c r="X350" i="1"/>
  <c r="W350" i="1"/>
  <c r="X341" i="1"/>
  <c r="W341" i="1"/>
  <c r="V341" i="1"/>
  <c r="H351" i="1"/>
  <c r="I351" i="1" s="1"/>
  <c r="U351" i="1" s="1"/>
  <c r="J322" i="1"/>
  <c r="K322" i="1" s="1"/>
  <c r="L322" i="1" s="1"/>
  <c r="M322" i="1" s="1"/>
  <c r="H326" i="1"/>
  <c r="I326" i="1" s="1"/>
  <c r="U326" i="1" s="1"/>
  <c r="W326" i="1" s="1"/>
  <c r="H330" i="1"/>
  <c r="I330" i="1" s="1"/>
  <c r="U330" i="1" s="1"/>
  <c r="W330" i="1" s="1"/>
  <c r="J330" i="1"/>
  <c r="K330" i="1" s="1"/>
  <c r="L330" i="1" s="1"/>
  <c r="M330" i="1" s="1"/>
  <c r="J312" i="1"/>
  <c r="K312" i="1" s="1"/>
  <c r="L312" i="1" s="1"/>
  <c r="M312" i="1" s="1"/>
  <c r="J323" i="1"/>
  <c r="K323" i="1" s="1"/>
  <c r="L323" i="1" s="1"/>
  <c r="M323" i="1" s="1"/>
  <c r="H321" i="1"/>
  <c r="I321" i="1" s="1"/>
  <c r="U321" i="1" s="1"/>
  <c r="W321" i="1" s="1"/>
  <c r="H332" i="1"/>
  <c r="I332" i="1" s="1"/>
  <c r="U332" i="1" s="1"/>
  <c r="V332" i="1" s="1"/>
  <c r="H307" i="1"/>
  <c r="I307" i="1" s="1"/>
  <c r="U307" i="1" s="1"/>
  <c r="V307" i="1" s="1"/>
  <c r="V323" i="1"/>
  <c r="W323" i="1"/>
  <c r="X323" i="1"/>
  <c r="V338" i="1"/>
  <c r="X338" i="1"/>
  <c r="W338" i="1"/>
  <c r="F337" i="1"/>
  <c r="F334" i="1"/>
  <c r="F331" i="1"/>
  <c r="H333" i="1"/>
  <c r="I333" i="1" s="1"/>
  <c r="U333" i="1" s="1"/>
  <c r="J333" i="1"/>
  <c r="K333" i="1" s="1"/>
  <c r="L333" i="1" s="1"/>
  <c r="M333" i="1" s="1"/>
  <c r="J317" i="1"/>
  <c r="K317" i="1" s="1"/>
  <c r="L317" i="1" s="1"/>
  <c r="M317" i="1" s="1"/>
  <c r="F329" i="1"/>
  <c r="F336" i="1"/>
  <c r="H335" i="1"/>
  <c r="I335" i="1" s="1"/>
  <c r="U335" i="1" s="1"/>
  <c r="J335" i="1"/>
  <c r="K335" i="1" s="1"/>
  <c r="L335" i="1" s="1"/>
  <c r="M335" i="1" s="1"/>
  <c r="H327" i="1"/>
  <c r="I327" i="1" s="1"/>
  <c r="U327" i="1" s="1"/>
  <c r="J327" i="1"/>
  <c r="K327" i="1" s="1"/>
  <c r="L327" i="1" s="1"/>
  <c r="M327" i="1" s="1"/>
  <c r="F325" i="1"/>
  <c r="W322" i="1"/>
  <c r="X322" i="1"/>
  <c r="V322" i="1"/>
  <c r="F320" i="1"/>
  <c r="H319" i="1"/>
  <c r="I319" i="1" s="1"/>
  <c r="U319" i="1" s="1"/>
  <c r="F318" i="1"/>
  <c r="V317" i="1"/>
  <c r="X317" i="1"/>
  <c r="W317" i="1"/>
  <c r="H313" i="1"/>
  <c r="I313" i="1" s="1"/>
  <c r="U313" i="1" s="1"/>
  <c r="V313" i="1" s="1"/>
  <c r="V314" i="1"/>
  <c r="X314" i="1"/>
  <c r="W314" i="1"/>
  <c r="V312" i="1"/>
  <c r="AJ312" i="1"/>
  <c r="W312" i="1"/>
  <c r="X312" i="1"/>
  <c r="H305" i="1"/>
  <c r="I305" i="1" s="1"/>
  <c r="U305" i="1" s="1"/>
  <c r="W305" i="1" s="1"/>
  <c r="J310" i="1"/>
  <c r="K310" i="1" s="1"/>
  <c r="L310" i="1" s="1"/>
  <c r="M310" i="1" s="1"/>
  <c r="F311" i="1"/>
  <c r="J309" i="1"/>
  <c r="K309" i="1" s="1"/>
  <c r="L309" i="1" s="1"/>
  <c r="M309" i="1" s="1"/>
  <c r="X306" i="1"/>
  <c r="AJ306" i="1"/>
  <c r="W306" i="1"/>
  <c r="V306" i="1"/>
  <c r="W309" i="1"/>
  <c r="AJ309" i="1"/>
  <c r="X309" i="1"/>
  <c r="V309" i="1"/>
  <c r="X310" i="1"/>
  <c r="W310" i="1"/>
  <c r="V310" i="1"/>
  <c r="AJ310" i="1"/>
  <c r="H308" i="1"/>
  <c r="I308" i="1" s="1"/>
  <c r="U308" i="1" s="1"/>
  <c r="J308" i="1"/>
  <c r="K308" i="1" s="1"/>
  <c r="L308" i="1" s="1"/>
  <c r="M308" i="1" s="1"/>
  <c r="H301" i="1"/>
  <c r="I301" i="1" s="1"/>
  <c r="H302" i="1"/>
  <c r="I302" i="1" s="1"/>
  <c r="U302" i="1" s="1"/>
  <c r="U304" i="1"/>
  <c r="G8" i="1"/>
  <c r="G10" i="1"/>
  <c r="G16" i="1"/>
  <c r="G20" i="1"/>
  <c r="G24" i="1"/>
  <c r="G26" i="1"/>
  <c r="G27" i="1"/>
  <c r="G28" i="1"/>
  <c r="G30" i="1"/>
  <c r="G40" i="1"/>
  <c r="G43" i="1"/>
  <c r="G44" i="1"/>
  <c r="G46" i="1"/>
  <c r="G51" i="1"/>
  <c r="G54" i="1"/>
  <c r="E59" i="1"/>
  <c r="F59" i="1" s="1"/>
  <c r="E61" i="1"/>
  <c r="F61" i="1" s="1"/>
  <c r="G69" i="1"/>
  <c r="G72" i="1"/>
  <c r="E79" i="1"/>
  <c r="F79" i="1" s="1"/>
  <c r="G84" i="1"/>
  <c r="G88" i="1"/>
  <c r="G103" i="1"/>
  <c r="G106" i="1"/>
  <c r="G108" i="1"/>
  <c r="G110" i="1"/>
  <c r="G112" i="1"/>
  <c r="G116" i="1"/>
  <c r="G124" i="1"/>
  <c r="G132" i="1"/>
  <c r="G140" i="1"/>
  <c r="G141" i="1"/>
  <c r="G146" i="1"/>
  <c r="G156" i="1"/>
  <c r="G159" i="1"/>
  <c r="G165" i="1"/>
  <c r="G173" i="1"/>
  <c r="G174" i="1"/>
  <c r="G190" i="1"/>
  <c r="G202" i="1"/>
  <c r="S1" i="1"/>
  <c r="AM25" i="1"/>
  <c r="T3"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G221" i="1"/>
  <c r="N221" i="1"/>
  <c r="N222" i="1"/>
  <c r="N223" i="1"/>
  <c r="N224" i="1"/>
  <c r="N225" i="1"/>
  <c r="N226" i="1"/>
  <c r="E227" i="1"/>
  <c r="N227" i="1"/>
  <c r="N228" i="1"/>
  <c r="N229" i="1"/>
  <c r="E230" i="1"/>
  <c r="N230" i="1"/>
  <c r="G231" i="1"/>
  <c r="N231" i="1"/>
  <c r="N232" i="1"/>
  <c r="N233" i="1"/>
  <c r="N234" i="1"/>
  <c r="N235" i="1"/>
  <c r="G236" i="1"/>
  <c r="N236" i="1"/>
  <c r="N237" i="1"/>
  <c r="E238" i="1"/>
  <c r="N238" i="1"/>
  <c r="N239" i="1"/>
  <c r="N240" i="1"/>
  <c r="N241" i="1"/>
  <c r="N242" i="1"/>
  <c r="N243" i="1"/>
  <c r="N244" i="1"/>
  <c r="N245" i="1"/>
  <c r="N246" i="1"/>
  <c r="E247" i="1"/>
  <c r="N247" i="1"/>
  <c r="G248" i="1"/>
  <c r="N248" i="1"/>
  <c r="N249" i="1"/>
  <c r="N250" i="1"/>
  <c r="N251" i="1"/>
  <c r="N252" i="1"/>
  <c r="E253"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4" i="1"/>
  <c r="N6" i="1"/>
  <c r="N5" i="1"/>
  <c r="AA35" i="1"/>
  <c r="AM4" i="1"/>
  <c r="AL24" i="1"/>
  <c r="X490" i="1" l="1"/>
  <c r="W490" i="1"/>
  <c r="V490" i="1"/>
  <c r="H486" i="1"/>
  <c r="I486" i="1" s="1"/>
  <c r="U486" i="1" s="1"/>
  <c r="J486" i="1"/>
  <c r="K486" i="1" s="1"/>
  <c r="L486" i="1" s="1"/>
  <c r="M486" i="1" s="1"/>
  <c r="X420" i="1"/>
  <c r="W489" i="1"/>
  <c r="X489" i="1"/>
  <c r="V489" i="1"/>
  <c r="X414" i="1"/>
  <c r="V477" i="1"/>
  <c r="W442" i="1"/>
  <c r="W477" i="1"/>
  <c r="X444" i="1"/>
  <c r="W412" i="1"/>
  <c r="V412" i="1"/>
  <c r="W437" i="1"/>
  <c r="X471" i="1"/>
  <c r="X376" i="1"/>
  <c r="W471" i="1"/>
  <c r="V452" i="1"/>
  <c r="X324" i="1"/>
  <c r="W324" i="1"/>
  <c r="W420" i="1"/>
  <c r="X461" i="1"/>
  <c r="W431" i="1"/>
  <c r="X431" i="1"/>
  <c r="X429" i="1"/>
  <c r="X368" i="1"/>
  <c r="X437" i="1"/>
  <c r="V444" i="1"/>
  <c r="W407" i="1"/>
  <c r="W368" i="1"/>
  <c r="W473" i="1"/>
  <c r="V473" i="1"/>
  <c r="X473" i="1"/>
  <c r="V428" i="1"/>
  <c r="W428" i="1"/>
  <c r="X452" i="1"/>
  <c r="V429" i="1"/>
  <c r="X458" i="1"/>
  <c r="X445" i="1"/>
  <c r="V458" i="1"/>
  <c r="V445" i="1"/>
  <c r="V407" i="1"/>
  <c r="H449" i="1"/>
  <c r="I449" i="1" s="1"/>
  <c r="U449" i="1" s="1"/>
  <c r="J449" i="1"/>
  <c r="K449" i="1" s="1"/>
  <c r="L449" i="1" s="1"/>
  <c r="M449" i="1" s="1"/>
  <c r="X424" i="1"/>
  <c r="V424" i="1"/>
  <c r="W424" i="1"/>
  <c r="W465" i="1"/>
  <c r="X465" i="1"/>
  <c r="V465" i="1"/>
  <c r="J470" i="1"/>
  <c r="K470" i="1" s="1"/>
  <c r="L470" i="1" s="1"/>
  <c r="M470" i="1" s="1"/>
  <c r="H470" i="1"/>
  <c r="I470" i="1" s="1"/>
  <c r="U470" i="1" s="1"/>
  <c r="X469" i="1"/>
  <c r="V469" i="1"/>
  <c r="W469" i="1"/>
  <c r="H448" i="1"/>
  <c r="I448" i="1" s="1"/>
  <c r="U448" i="1" s="1"/>
  <c r="J448" i="1"/>
  <c r="K448" i="1" s="1"/>
  <c r="L448" i="1" s="1"/>
  <c r="M448" i="1" s="1"/>
  <c r="X466" i="1"/>
  <c r="V466" i="1"/>
  <c r="W466" i="1"/>
  <c r="V443" i="1"/>
  <c r="J430" i="1"/>
  <c r="K430" i="1" s="1"/>
  <c r="L430" i="1" s="1"/>
  <c r="M430" i="1" s="1"/>
  <c r="H430" i="1"/>
  <c r="I430" i="1" s="1"/>
  <c r="U430" i="1" s="1"/>
  <c r="W443" i="1"/>
  <c r="V409" i="1"/>
  <c r="X409" i="1"/>
  <c r="W409" i="1"/>
  <c r="V419" i="1"/>
  <c r="X419" i="1"/>
  <c r="W419" i="1"/>
  <c r="W423" i="1"/>
  <c r="X423" i="1"/>
  <c r="V423" i="1"/>
  <c r="J436" i="1"/>
  <c r="K436" i="1" s="1"/>
  <c r="L436" i="1" s="1"/>
  <c r="M436" i="1" s="1"/>
  <c r="H436" i="1"/>
  <c r="I436" i="1" s="1"/>
  <c r="U436" i="1" s="1"/>
  <c r="J415" i="1"/>
  <c r="K415" i="1" s="1"/>
  <c r="L415" i="1" s="1"/>
  <c r="M415" i="1" s="1"/>
  <c r="H415" i="1"/>
  <c r="I415" i="1" s="1"/>
  <c r="U415" i="1" s="1"/>
  <c r="X421" i="1"/>
  <c r="W421" i="1"/>
  <c r="V421" i="1"/>
  <c r="J413" i="1"/>
  <c r="K413" i="1" s="1"/>
  <c r="L413" i="1" s="1"/>
  <c r="M413" i="1" s="1"/>
  <c r="H413" i="1"/>
  <c r="I413" i="1" s="1"/>
  <c r="U413" i="1" s="1"/>
  <c r="X426" i="1"/>
  <c r="V426" i="1"/>
  <c r="W426" i="1"/>
  <c r="V438" i="1"/>
  <c r="X438" i="1"/>
  <c r="W438" i="1"/>
  <c r="X434" i="1"/>
  <c r="W434" i="1"/>
  <c r="V434" i="1"/>
  <c r="X411" i="1"/>
  <c r="W411" i="1"/>
  <c r="V411" i="1"/>
  <c r="X410" i="1"/>
  <c r="V410" i="1"/>
  <c r="W410" i="1"/>
  <c r="H408" i="1"/>
  <c r="I408" i="1" s="1"/>
  <c r="U408" i="1" s="1"/>
  <c r="J408" i="1"/>
  <c r="K408" i="1" s="1"/>
  <c r="L408" i="1" s="1"/>
  <c r="M408" i="1" s="1"/>
  <c r="X370" i="1"/>
  <c r="W358" i="1"/>
  <c r="V370" i="1"/>
  <c r="X380" i="1"/>
  <c r="X358" i="1"/>
  <c r="V405" i="1"/>
  <c r="X397" i="1"/>
  <c r="X372" i="1"/>
  <c r="X405" i="1"/>
  <c r="W398" i="1"/>
  <c r="W380" i="1"/>
  <c r="W372" i="1"/>
  <c r="X398" i="1"/>
  <c r="X389" i="1"/>
  <c r="W404" i="1"/>
  <c r="W389" i="1"/>
  <c r="W397" i="1"/>
  <c r="V404" i="1"/>
  <c r="X367" i="1"/>
  <c r="X401" i="1"/>
  <c r="W401" i="1"/>
  <c r="V401" i="1"/>
  <c r="X383" i="1"/>
  <c r="W383" i="1"/>
  <c r="V367" i="1"/>
  <c r="V303" i="1"/>
  <c r="X364" i="1"/>
  <c r="W364" i="1"/>
  <c r="W361" i="1"/>
  <c r="X361" i="1"/>
  <c r="X386" i="1"/>
  <c r="V386" i="1"/>
  <c r="V356" i="1"/>
  <c r="W356" i="1"/>
  <c r="X357" i="1"/>
  <c r="W357" i="1"/>
  <c r="W360" i="1"/>
  <c r="V359" i="1"/>
  <c r="W359" i="1"/>
  <c r="V360" i="1"/>
  <c r="X354" i="1"/>
  <c r="W354" i="1"/>
  <c r="J396" i="1"/>
  <c r="K396" i="1" s="1"/>
  <c r="L396" i="1" s="1"/>
  <c r="M396" i="1" s="1"/>
  <c r="H396" i="1"/>
  <c r="I396" i="1" s="1"/>
  <c r="U396" i="1" s="1"/>
  <c r="AJ303" i="1"/>
  <c r="W399" i="1"/>
  <c r="X399" i="1"/>
  <c r="V399" i="1"/>
  <c r="X402" i="1"/>
  <c r="W402" i="1"/>
  <c r="V402" i="1"/>
  <c r="X394" i="1"/>
  <c r="V394" i="1"/>
  <c r="W394" i="1"/>
  <c r="V379" i="1"/>
  <c r="X379" i="1"/>
  <c r="W379" i="1"/>
  <c r="V390" i="1"/>
  <c r="X390" i="1"/>
  <c r="W390" i="1"/>
  <c r="H406" i="1"/>
  <c r="I406" i="1" s="1"/>
  <c r="U406" i="1" s="1"/>
  <c r="J406" i="1"/>
  <c r="K406" i="1" s="1"/>
  <c r="L406" i="1" s="1"/>
  <c r="M406" i="1" s="1"/>
  <c r="J385" i="1"/>
  <c r="K385" i="1" s="1"/>
  <c r="L385" i="1" s="1"/>
  <c r="M385" i="1" s="1"/>
  <c r="H385" i="1"/>
  <c r="I385" i="1" s="1"/>
  <c r="U385" i="1" s="1"/>
  <c r="W392" i="1"/>
  <c r="V392" i="1"/>
  <c r="X392" i="1"/>
  <c r="X403" i="1"/>
  <c r="V403" i="1"/>
  <c r="W403" i="1"/>
  <c r="H395" i="1"/>
  <c r="I395" i="1" s="1"/>
  <c r="U395" i="1" s="1"/>
  <c r="J395" i="1"/>
  <c r="K395" i="1" s="1"/>
  <c r="L395" i="1" s="1"/>
  <c r="M395" i="1" s="1"/>
  <c r="W303" i="1"/>
  <c r="V353" i="1"/>
  <c r="X353" i="1"/>
  <c r="W345" i="1"/>
  <c r="X345" i="1"/>
  <c r="X305" i="1"/>
  <c r="X328" i="1"/>
  <c r="V328" i="1"/>
  <c r="O57" i="1"/>
  <c r="O17" i="1"/>
  <c r="W351" i="1"/>
  <c r="X351" i="1"/>
  <c r="V351" i="1"/>
  <c r="O289" i="1"/>
  <c r="O281" i="1"/>
  <c r="O265" i="1"/>
  <c r="O250" i="1"/>
  <c r="O244" i="1"/>
  <c r="O237" i="1"/>
  <c r="O225" i="1"/>
  <c r="O210" i="1"/>
  <c r="O194" i="1"/>
  <c r="O186" i="1"/>
  <c r="O162" i="1"/>
  <c r="O154" i="1"/>
  <c r="O130" i="1"/>
  <c r="O122" i="1"/>
  <c r="O114" i="1"/>
  <c r="O106" i="1"/>
  <c r="O82" i="1"/>
  <c r="O74" i="1"/>
  <c r="O58" i="1"/>
  <c r="O50" i="1"/>
  <c r="O42" i="1"/>
  <c r="O34" i="1"/>
  <c r="O10" i="1"/>
  <c r="O264" i="1"/>
  <c r="O266" i="1"/>
  <c r="O251" i="1"/>
  <c r="O231" i="1"/>
  <c r="O226" i="1"/>
  <c r="O219" i="1"/>
  <c r="O211" i="1"/>
  <c r="O195" i="1"/>
  <c r="O131" i="1"/>
  <c r="O107" i="1"/>
  <c r="O91" i="1"/>
  <c r="O83" i="1"/>
  <c r="O51" i="1"/>
  <c r="O43" i="1"/>
  <c r="O35" i="1"/>
  <c r="O27" i="1"/>
  <c r="O19" i="1"/>
  <c r="O11" i="1"/>
  <c r="O249" i="1"/>
  <c r="O209" i="1"/>
  <c r="O153" i="1"/>
  <c r="O9" i="1"/>
  <c r="O267" i="1"/>
  <c r="O232" i="1"/>
  <c r="O196" i="1"/>
  <c r="O156" i="1"/>
  <c r="O60" i="1"/>
  <c r="O28" i="1"/>
  <c r="O288" i="1"/>
  <c r="O243" i="1"/>
  <c r="O299" i="1"/>
  <c r="O275" i="1"/>
  <c r="O204" i="1"/>
  <c r="O172" i="1"/>
  <c r="O140" i="1"/>
  <c r="O76" i="1"/>
  <c r="O292" i="1"/>
  <c r="O284" i="1"/>
  <c r="O276" i="1"/>
  <c r="O268" i="1"/>
  <c r="O239" i="1"/>
  <c r="O233" i="1"/>
  <c r="O227" i="1"/>
  <c r="O205" i="1"/>
  <c r="O197" i="1"/>
  <c r="O189" i="1"/>
  <c r="O181" i="1"/>
  <c r="O165" i="1"/>
  <c r="O149" i="1"/>
  <c r="O141" i="1"/>
  <c r="O133" i="1"/>
  <c r="O125" i="1"/>
  <c r="O93" i="1"/>
  <c r="O85" i="1"/>
  <c r="O69" i="1"/>
  <c r="O61" i="1"/>
  <c r="O13" i="1"/>
  <c r="X339" i="1"/>
  <c r="W339" i="1"/>
  <c r="V339" i="1"/>
  <c r="O272" i="1"/>
  <c r="O230" i="1"/>
  <c r="O129" i="1"/>
  <c r="O41" i="1"/>
  <c r="O291" i="1"/>
  <c r="O220" i="1"/>
  <c r="O188" i="1"/>
  <c r="O164" i="1"/>
  <c r="O116" i="1"/>
  <c r="O84" i="1"/>
  <c r="O52" i="1"/>
  <c r="O240" i="1"/>
  <c r="O228" i="1"/>
  <c r="O182" i="1"/>
  <c r="O174" i="1"/>
  <c r="O158" i="1"/>
  <c r="O134" i="1"/>
  <c r="O126" i="1"/>
  <c r="O118" i="1"/>
  <c r="O102" i="1"/>
  <c r="O54" i="1"/>
  <c r="O38" i="1"/>
  <c r="O22" i="1"/>
  <c r="O256" i="1"/>
  <c r="O224" i="1"/>
  <c r="O137" i="1"/>
  <c r="O73" i="1"/>
  <c r="O274" i="1"/>
  <c r="O283" i="1"/>
  <c r="O259" i="1"/>
  <c r="O212" i="1"/>
  <c r="O180" i="1"/>
  <c r="O124" i="1"/>
  <c r="O92" i="1"/>
  <c r="O68" i="1"/>
  <c r="O36" i="1"/>
  <c r="O261" i="1"/>
  <c r="O247" i="1"/>
  <c r="O234" i="1"/>
  <c r="O5" i="1"/>
  <c r="T5" i="1" s="1"/>
  <c r="O278" i="1"/>
  <c r="O270" i="1"/>
  <c r="O262" i="1"/>
  <c r="O254" i="1"/>
  <c r="O241" i="1"/>
  <c r="O235" i="1"/>
  <c r="O222" i="1"/>
  <c r="O215" i="1"/>
  <c r="O207" i="1"/>
  <c r="O199" i="1"/>
  <c r="O191" i="1"/>
  <c r="O183" i="1"/>
  <c r="O175" i="1"/>
  <c r="O167" i="1"/>
  <c r="O151" i="1"/>
  <c r="O119" i="1"/>
  <c r="O111" i="1"/>
  <c r="O103" i="1"/>
  <c r="O95" i="1"/>
  <c r="O71" i="1"/>
  <c r="O63" i="1"/>
  <c r="O55" i="1"/>
  <c r="O47" i="1"/>
  <c r="O39" i="1"/>
  <c r="O31" i="1"/>
  <c r="O23" i="1"/>
  <c r="O295" i="1"/>
  <c r="O279" i="1"/>
  <c r="O271" i="1"/>
  <c r="O263" i="1"/>
  <c r="O255" i="1"/>
  <c r="O248" i="1"/>
  <c r="O216" i="1"/>
  <c r="O208" i="1"/>
  <c r="O200" i="1"/>
  <c r="O192" i="1"/>
  <c r="O184" i="1"/>
  <c r="O176" i="1"/>
  <c r="O160" i="1"/>
  <c r="O152" i="1"/>
  <c r="O128" i="1"/>
  <c r="O120" i="1"/>
  <c r="O104" i="1"/>
  <c r="O96" i="1"/>
  <c r="O72" i="1"/>
  <c r="O64" i="1"/>
  <c r="O56" i="1"/>
  <c r="O40" i="1"/>
  <c r="O32" i="1"/>
  <c r="P290" i="1"/>
  <c r="O290" i="1"/>
  <c r="P6" i="1"/>
  <c r="O6" i="1"/>
  <c r="P242" i="1"/>
  <c r="O242" i="1"/>
  <c r="P223" i="1"/>
  <c r="O223" i="1"/>
  <c r="P296" i="1"/>
  <c r="O296" i="1"/>
  <c r="P280" i="1"/>
  <c r="O280" i="1"/>
  <c r="P236" i="1"/>
  <c r="O236" i="1"/>
  <c r="P217" i="1"/>
  <c r="O217" i="1"/>
  <c r="P201" i="1"/>
  <c r="O201" i="1"/>
  <c r="P193" i="1"/>
  <c r="O193" i="1"/>
  <c r="P185" i="1"/>
  <c r="O185" i="1"/>
  <c r="P177" i="1"/>
  <c r="O177" i="1"/>
  <c r="P169" i="1"/>
  <c r="O169" i="1"/>
  <c r="P161" i="1"/>
  <c r="O161" i="1"/>
  <c r="P145" i="1"/>
  <c r="O145" i="1"/>
  <c r="P121" i="1"/>
  <c r="O121" i="1"/>
  <c r="P113" i="1"/>
  <c r="O113" i="1"/>
  <c r="P105" i="1"/>
  <c r="O105" i="1"/>
  <c r="P97" i="1"/>
  <c r="O97" i="1"/>
  <c r="P89" i="1"/>
  <c r="O89" i="1"/>
  <c r="P81" i="1"/>
  <c r="O81" i="1"/>
  <c r="P65" i="1"/>
  <c r="O65" i="1"/>
  <c r="P49" i="1"/>
  <c r="O49" i="1"/>
  <c r="P33" i="1"/>
  <c r="O33" i="1"/>
  <c r="O25" i="1"/>
  <c r="P25" i="1"/>
  <c r="P218" i="1"/>
  <c r="O218" i="1"/>
  <c r="P202" i="1"/>
  <c r="O202" i="1"/>
  <c r="P178" i="1"/>
  <c r="O178" i="1"/>
  <c r="P170" i="1"/>
  <c r="O170" i="1"/>
  <c r="P146" i="1"/>
  <c r="O146" i="1"/>
  <c r="P138" i="1"/>
  <c r="O138" i="1"/>
  <c r="P98" i="1"/>
  <c r="O98" i="1"/>
  <c r="P90" i="1"/>
  <c r="O90" i="1"/>
  <c r="P66" i="1"/>
  <c r="O66" i="1"/>
  <c r="O26" i="1"/>
  <c r="P26" i="1"/>
  <c r="P18" i="1"/>
  <c r="O18" i="1"/>
  <c r="P245" i="1"/>
  <c r="O245" i="1"/>
  <c r="P203" i="1"/>
  <c r="O203" i="1"/>
  <c r="P187" i="1"/>
  <c r="O187" i="1"/>
  <c r="P179" i="1"/>
  <c r="O179" i="1"/>
  <c r="P171" i="1"/>
  <c r="O171" i="1"/>
  <c r="P163" i="1"/>
  <c r="O163" i="1"/>
  <c r="P155" i="1"/>
  <c r="O155" i="1"/>
  <c r="P147" i="1"/>
  <c r="O147" i="1"/>
  <c r="P139" i="1"/>
  <c r="O139" i="1"/>
  <c r="P123" i="1"/>
  <c r="O123" i="1"/>
  <c r="P115" i="1"/>
  <c r="O115" i="1"/>
  <c r="P99" i="1"/>
  <c r="O99" i="1"/>
  <c r="P75" i="1"/>
  <c r="O75" i="1"/>
  <c r="P67" i="1"/>
  <c r="O67" i="1"/>
  <c r="P59" i="1"/>
  <c r="O59" i="1"/>
  <c r="P297" i="1"/>
  <c r="O297" i="1"/>
  <c r="P273" i="1"/>
  <c r="O273" i="1"/>
  <c r="P148" i="1"/>
  <c r="O148" i="1"/>
  <c r="P132" i="1"/>
  <c r="O132" i="1"/>
  <c r="P108" i="1"/>
  <c r="O108" i="1"/>
  <c r="P100" i="1"/>
  <c r="O100" i="1"/>
  <c r="P44" i="1"/>
  <c r="O44" i="1"/>
  <c r="P20" i="1"/>
  <c r="O20" i="1"/>
  <c r="P12" i="1"/>
  <c r="O12" i="1"/>
  <c r="P257" i="1"/>
  <c r="O257" i="1"/>
  <c r="P298" i="1"/>
  <c r="O298" i="1"/>
  <c r="P260" i="1"/>
  <c r="O260" i="1"/>
  <c r="P213" i="1"/>
  <c r="O213" i="1"/>
  <c r="P173" i="1"/>
  <c r="O173" i="1"/>
  <c r="P157" i="1"/>
  <c r="O157" i="1"/>
  <c r="P117" i="1"/>
  <c r="O117" i="1"/>
  <c r="P109" i="1"/>
  <c r="O109" i="1"/>
  <c r="P101" i="1"/>
  <c r="O101" i="1"/>
  <c r="P77" i="1"/>
  <c r="O77" i="1"/>
  <c r="P53" i="1"/>
  <c r="O53" i="1"/>
  <c r="P45" i="1"/>
  <c r="O45" i="1"/>
  <c r="P37" i="1"/>
  <c r="O37" i="1"/>
  <c r="P29" i="1"/>
  <c r="O29" i="1"/>
  <c r="P21" i="1"/>
  <c r="O21" i="1"/>
  <c r="P282" i="1"/>
  <c r="O282" i="1"/>
  <c r="P258" i="1"/>
  <c r="O258" i="1"/>
  <c r="P252" i="1"/>
  <c r="O252" i="1"/>
  <c r="P238" i="1"/>
  <c r="O238" i="1"/>
  <c r="P285" i="1"/>
  <c r="O285" i="1"/>
  <c r="P253" i="1"/>
  <c r="O253" i="1"/>
  <c r="P221" i="1"/>
  <c r="O221" i="1"/>
  <c r="P214" i="1"/>
  <c r="O214" i="1"/>
  <c r="P206" i="1"/>
  <c r="O206" i="1"/>
  <c r="P198" i="1"/>
  <c r="O198" i="1"/>
  <c r="P190" i="1"/>
  <c r="O190" i="1"/>
  <c r="P166" i="1"/>
  <c r="O166" i="1"/>
  <c r="P150" i="1"/>
  <c r="O150" i="1"/>
  <c r="P142" i="1"/>
  <c r="O142" i="1"/>
  <c r="P110" i="1"/>
  <c r="O110" i="1"/>
  <c r="P94" i="1"/>
  <c r="O94" i="1"/>
  <c r="P86" i="1"/>
  <c r="O86" i="1"/>
  <c r="P78" i="1"/>
  <c r="O78" i="1"/>
  <c r="P70" i="1"/>
  <c r="O70" i="1"/>
  <c r="P62" i="1"/>
  <c r="O62" i="1"/>
  <c r="P46" i="1"/>
  <c r="O46" i="1"/>
  <c r="P30" i="1"/>
  <c r="O30" i="1"/>
  <c r="P14" i="1"/>
  <c r="O14" i="1"/>
  <c r="P4" i="1"/>
  <c r="O4" i="1"/>
  <c r="T4" i="1" s="1"/>
  <c r="P277" i="1"/>
  <c r="O277" i="1"/>
  <c r="P294" i="1"/>
  <c r="O294" i="1"/>
  <c r="P229" i="1"/>
  <c r="O229" i="1"/>
  <c r="P159" i="1"/>
  <c r="O159" i="1"/>
  <c r="P143" i="1"/>
  <c r="O143" i="1"/>
  <c r="P135" i="1"/>
  <c r="O135" i="1"/>
  <c r="P127" i="1"/>
  <c r="O127" i="1"/>
  <c r="P87" i="1"/>
  <c r="O87" i="1"/>
  <c r="P79" i="1"/>
  <c r="O79" i="1"/>
  <c r="P15" i="1"/>
  <c r="O15" i="1"/>
  <c r="P7" i="1"/>
  <c r="O7" i="1"/>
  <c r="P246" i="1"/>
  <c r="O246" i="1"/>
  <c r="O293" i="1"/>
  <c r="P269" i="1"/>
  <c r="O269" i="1"/>
  <c r="P286" i="1"/>
  <c r="O286" i="1"/>
  <c r="P287" i="1"/>
  <c r="O287" i="1"/>
  <c r="P168" i="1"/>
  <c r="O168" i="1"/>
  <c r="P144" i="1"/>
  <c r="O144" i="1"/>
  <c r="P136" i="1"/>
  <c r="O136" i="1"/>
  <c r="P112" i="1"/>
  <c r="O112" i="1"/>
  <c r="P88" i="1"/>
  <c r="O88" i="1"/>
  <c r="P80" i="1"/>
  <c r="O80" i="1"/>
  <c r="P48" i="1"/>
  <c r="O48" i="1"/>
  <c r="O24" i="1"/>
  <c r="P16" i="1"/>
  <c r="O16" i="1"/>
  <c r="P8" i="1"/>
  <c r="O8" i="1"/>
  <c r="V321" i="1"/>
  <c r="X326" i="1"/>
  <c r="V326" i="1"/>
  <c r="X313" i="1"/>
  <c r="X332" i="1"/>
  <c r="V330" i="1"/>
  <c r="X330" i="1"/>
  <c r="X321" i="1"/>
  <c r="AJ307" i="1"/>
  <c r="X307" i="1"/>
  <c r="W307" i="1"/>
  <c r="W332" i="1"/>
  <c r="J336" i="1"/>
  <c r="K336" i="1" s="1"/>
  <c r="L336" i="1" s="1"/>
  <c r="M336" i="1" s="1"/>
  <c r="H336" i="1"/>
  <c r="I336" i="1" s="1"/>
  <c r="U336" i="1" s="1"/>
  <c r="H331" i="1"/>
  <c r="I331" i="1" s="1"/>
  <c r="U331" i="1" s="1"/>
  <c r="J331" i="1"/>
  <c r="K331" i="1" s="1"/>
  <c r="L331" i="1" s="1"/>
  <c r="M331" i="1" s="1"/>
  <c r="V335" i="1"/>
  <c r="X335" i="1"/>
  <c r="W335" i="1"/>
  <c r="W333" i="1"/>
  <c r="X333" i="1"/>
  <c r="V333" i="1"/>
  <c r="V327" i="1"/>
  <c r="X327" i="1"/>
  <c r="W327" i="1"/>
  <c r="H337" i="1"/>
  <c r="I337" i="1" s="1"/>
  <c r="U337" i="1" s="1"/>
  <c r="J337" i="1"/>
  <c r="K337" i="1" s="1"/>
  <c r="L337" i="1" s="1"/>
  <c r="M337" i="1" s="1"/>
  <c r="H325" i="1"/>
  <c r="I325" i="1" s="1"/>
  <c r="U325" i="1" s="1"/>
  <c r="J325" i="1"/>
  <c r="K325" i="1" s="1"/>
  <c r="L325" i="1" s="1"/>
  <c r="M325" i="1" s="1"/>
  <c r="H329" i="1"/>
  <c r="I329" i="1" s="1"/>
  <c r="U329" i="1" s="1"/>
  <c r="J329" i="1"/>
  <c r="K329" i="1" s="1"/>
  <c r="L329" i="1" s="1"/>
  <c r="M329" i="1" s="1"/>
  <c r="J334" i="1"/>
  <c r="K334" i="1" s="1"/>
  <c r="L334" i="1" s="1"/>
  <c r="M334" i="1" s="1"/>
  <c r="H334" i="1"/>
  <c r="I334" i="1" s="1"/>
  <c r="U334" i="1" s="1"/>
  <c r="J320" i="1"/>
  <c r="K320" i="1" s="1"/>
  <c r="L320" i="1" s="1"/>
  <c r="M320" i="1" s="1"/>
  <c r="H320" i="1"/>
  <c r="I320" i="1" s="1"/>
  <c r="U320" i="1" s="1"/>
  <c r="W313" i="1"/>
  <c r="V319" i="1"/>
  <c r="W319" i="1"/>
  <c r="X319" i="1"/>
  <c r="J318" i="1"/>
  <c r="K318" i="1" s="1"/>
  <c r="L318" i="1" s="1"/>
  <c r="M318" i="1" s="1"/>
  <c r="H318" i="1"/>
  <c r="I318" i="1" s="1"/>
  <c r="U318" i="1" s="1"/>
  <c r="V305" i="1"/>
  <c r="H311" i="1"/>
  <c r="I311" i="1" s="1"/>
  <c r="U311" i="1" s="1"/>
  <c r="J311" i="1"/>
  <c r="K311" i="1" s="1"/>
  <c r="L311" i="1" s="1"/>
  <c r="M311" i="1" s="1"/>
  <c r="X308" i="1"/>
  <c r="V308" i="1"/>
  <c r="W308" i="1"/>
  <c r="AJ308" i="1"/>
  <c r="V302" i="1"/>
  <c r="AJ302" i="1"/>
  <c r="X302" i="1"/>
  <c r="W302" i="1"/>
  <c r="AJ305" i="1"/>
  <c r="W304" i="1"/>
  <c r="X304" i="1"/>
  <c r="V304" i="1"/>
  <c r="AJ304" i="1"/>
  <c r="D280" i="1"/>
  <c r="G298" i="1"/>
  <c r="D294" i="1"/>
  <c r="E299" i="1"/>
  <c r="E293" i="1"/>
  <c r="F293" i="1" s="1"/>
  <c r="D285" i="1"/>
  <c r="D281" i="1"/>
  <c r="G268" i="1"/>
  <c r="G260" i="1"/>
  <c r="G261" i="1"/>
  <c r="AM5" i="1"/>
  <c r="AN4" i="1"/>
  <c r="P248" i="1"/>
  <c r="G164" i="1"/>
  <c r="G200" i="1"/>
  <c r="G128" i="1"/>
  <c r="G32" i="1"/>
  <c r="G163" i="1"/>
  <c r="G144" i="1"/>
  <c r="G105" i="1"/>
  <c r="G120" i="1"/>
  <c r="G5" i="1"/>
  <c r="G53" i="1"/>
  <c r="G45" i="1"/>
  <c r="E245" i="1"/>
  <c r="F245" i="1" s="1"/>
  <c r="G237" i="1"/>
  <c r="G285" i="1"/>
  <c r="G73" i="1"/>
  <c r="G257" i="1"/>
  <c r="E257" i="1"/>
  <c r="F257" i="1" s="1"/>
  <c r="P276" i="1"/>
  <c r="G273" i="1"/>
  <c r="E125" i="1"/>
  <c r="F125" i="1" s="1"/>
  <c r="G95" i="1"/>
  <c r="G209" i="1"/>
  <c r="G185" i="1"/>
  <c r="G131" i="1"/>
  <c r="G14" i="1"/>
  <c r="P262" i="1"/>
  <c r="E241" i="1"/>
  <c r="F241" i="1" s="1"/>
  <c r="G37" i="1"/>
  <c r="G21" i="1"/>
  <c r="E269" i="1"/>
  <c r="E145" i="1"/>
  <c r="F145" i="1" s="1"/>
  <c r="G212" i="1"/>
  <c r="G82" i="1"/>
  <c r="P265" i="1"/>
  <c r="E233" i="1"/>
  <c r="F233" i="1" s="1"/>
  <c r="G204" i="1"/>
  <c r="G196" i="1"/>
  <c r="G188" i="1"/>
  <c r="G181" i="1"/>
  <c r="E271" i="1"/>
  <c r="F271" i="1" s="1"/>
  <c r="G277" i="1"/>
  <c r="G222" i="1"/>
  <c r="G4" i="1"/>
  <c r="D290" i="1"/>
  <c r="D264" i="1"/>
  <c r="E222" i="1"/>
  <c r="F222" i="1" s="1"/>
  <c r="G198" i="1"/>
  <c r="P152" i="1"/>
  <c r="P288" i="1"/>
  <c r="E268" i="1"/>
  <c r="F268" i="1" s="1"/>
  <c r="E260" i="1"/>
  <c r="F260" i="1" s="1"/>
  <c r="G145" i="1"/>
  <c r="G13" i="1"/>
  <c r="E298" i="1"/>
  <c r="P284" i="1"/>
  <c r="G48" i="1"/>
  <c r="E114" i="1"/>
  <c r="F114" i="1" s="1"/>
  <c r="E4" i="1"/>
  <c r="F4" i="1" s="1"/>
  <c r="P267" i="1"/>
  <c r="G123" i="1"/>
  <c r="E277" i="1"/>
  <c r="D273" i="1"/>
  <c r="D261" i="1"/>
  <c r="P230" i="1"/>
  <c r="P224" i="1"/>
  <c r="G189" i="1"/>
  <c r="G166" i="1"/>
  <c r="P84" i="1"/>
  <c r="P292" i="1"/>
  <c r="E287" i="1"/>
  <c r="P226" i="1"/>
  <c r="G114" i="1"/>
  <c r="G170" i="1"/>
  <c r="G149" i="1"/>
  <c r="P299" i="1"/>
  <c r="G269" i="1"/>
  <c r="G205" i="1"/>
  <c r="G155" i="1"/>
  <c r="G127" i="1"/>
  <c r="G57" i="1"/>
  <c r="D295" i="1"/>
  <c r="D276" i="1"/>
  <c r="G210" i="1"/>
  <c r="E94" i="1"/>
  <c r="F94" i="1" s="1"/>
  <c r="E178" i="1"/>
  <c r="F178" i="1" s="1"/>
  <c r="E198" i="1"/>
  <c r="F198" i="1" s="1"/>
  <c r="E210" i="1"/>
  <c r="F210" i="1" s="1"/>
  <c r="F247" i="1"/>
  <c r="G213" i="1"/>
  <c r="G169" i="1"/>
  <c r="E77" i="1"/>
  <c r="F77" i="1" s="1"/>
  <c r="G65" i="1"/>
  <c r="E297" i="1"/>
  <c r="G293" i="1"/>
  <c r="G264" i="1"/>
  <c r="G245" i="1"/>
  <c r="P241" i="1"/>
  <c r="G178" i="1"/>
  <c r="P149" i="1"/>
  <c r="E101" i="1"/>
  <c r="F101" i="1" s="1"/>
  <c r="G287" i="1"/>
  <c r="G253" i="1"/>
  <c r="E250" i="1"/>
  <c r="F250" i="1" s="1"/>
  <c r="P232" i="1"/>
  <c r="E215" i="1"/>
  <c r="F215" i="1" s="1"/>
  <c r="E167" i="1"/>
  <c r="F167" i="1" s="1"/>
  <c r="D279" i="1"/>
  <c r="P264" i="1"/>
  <c r="Q264" i="1" s="1"/>
  <c r="F253" i="1"/>
  <c r="G234" i="1"/>
  <c r="G230" i="1"/>
  <c r="P227" i="1"/>
  <c r="P222" i="1"/>
  <c r="G201" i="1"/>
  <c r="G77" i="1"/>
  <c r="G299" i="1"/>
  <c r="P293" i="1"/>
  <c r="P281" i="1"/>
  <c r="P251" i="1"/>
  <c r="P249" i="1"/>
  <c r="G244" i="1"/>
  <c r="E242" i="1"/>
  <c r="F242" i="1" s="1"/>
  <c r="G240" i="1"/>
  <c r="E234" i="1"/>
  <c r="F234" i="1" s="1"/>
  <c r="G101" i="1"/>
  <c r="G206" i="1"/>
  <c r="E53" i="1"/>
  <c r="F53" i="1" s="1"/>
  <c r="G42" i="1"/>
  <c r="G29" i="1"/>
  <c r="G288" i="1"/>
  <c r="P274" i="1"/>
  <c r="D258" i="1"/>
  <c r="E226" i="1"/>
  <c r="G226" i="1"/>
  <c r="P61" i="1"/>
  <c r="P10" i="1"/>
  <c r="G217" i="1"/>
  <c r="G107" i="1"/>
  <c r="P289" i="1"/>
  <c r="P244" i="1"/>
  <c r="E237" i="1"/>
  <c r="F237" i="1" s="1"/>
  <c r="P234" i="1"/>
  <c r="P225" i="1"/>
  <c r="P220" i="1"/>
  <c r="G192" i="1"/>
  <c r="G143" i="1"/>
  <c r="G64" i="1"/>
  <c r="P116" i="1"/>
  <c r="P228" i="1"/>
  <c r="G160" i="1"/>
  <c r="G281" i="1"/>
  <c r="G267" i="1"/>
  <c r="G265" i="1"/>
  <c r="E249" i="1"/>
  <c r="F249" i="1" s="1"/>
  <c r="G249" i="1"/>
  <c r="P237" i="1"/>
  <c r="Q237" i="1" s="1"/>
  <c r="P40" i="1"/>
  <c r="P17" i="1"/>
  <c r="G104" i="1"/>
  <c r="G85" i="1"/>
  <c r="G275" i="1"/>
  <c r="E266" i="1"/>
  <c r="G75" i="1"/>
  <c r="P194" i="1"/>
  <c r="G93" i="1"/>
  <c r="P74" i="1"/>
  <c r="G9" i="1"/>
  <c r="P268" i="1"/>
  <c r="P254" i="1"/>
  <c r="G252" i="1"/>
  <c r="G232" i="1"/>
  <c r="E228" i="1"/>
  <c r="G153" i="1"/>
  <c r="E265" i="1"/>
  <c r="G286" i="1"/>
  <c r="P278" i="1"/>
  <c r="P270" i="1"/>
  <c r="E225" i="1"/>
  <c r="F225" i="1" s="1"/>
  <c r="G80" i="1"/>
  <c r="D291" i="1"/>
  <c r="G291" i="1"/>
  <c r="G148" i="1"/>
  <c r="P295" i="1"/>
  <c r="E292" i="1"/>
  <c r="D275" i="1"/>
  <c r="P261" i="1"/>
  <c r="G109" i="1"/>
  <c r="G18" i="1"/>
  <c r="G12" i="1"/>
  <c r="G241" i="1"/>
  <c r="E231" i="1"/>
  <c r="F231" i="1" s="1"/>
  <c r="G61" i="1"/>
  <c r="J61" i="1" s="1"/>
  <c r="K61" i="1" s="1"/>
  <c r="L61" i="1" s="1"/>
  <c r="M61" i="1" s="1"/>
  <c r="G74" i="1"/>
  <c r="G41" i="1"/>
  <c r="E41" i="1"/>
  <c r="G251" i="1"/>
  <c r="G243" i="1"/>
  <c r="P60" i="1"/>
  <c r="E123" i="1"/>
  <c r="G50" i="1"/>
  <c r="P256" i="1"/>
  <c r="Q256" i="1" s="1"/>
  <c r="P235" i="1"/>
  <c r="F227" i="1"/>
  <c r="P156" i="1"/>
  <c r="G83" i="1"/>
  <c r="G67" i="1"/>
  <c r="G94" i="1"/>
  <c r="G38" i="1"/>
  <c r="P38" i="1"/>
  <c r="P9" i="1"/>
  <c r="G154" i="1"/>
  <c r="G86" i="1"/>
  <c r="E48" i="1"/>
  <c r="F48" i="1" s="1"/>
  <c r="E219" i="1"/>
  <c r="P76" i="1"/>
  <c r="P41" i="1"/>
  <c r="P28" i="1"/>
  <c r="G22" i="1"/>
  <c r="P215" i="1"/>
  <c r="P209" i="1"/>
  <c r="P175" i="1"/>
  <c r="G98" i="1"/>
  <c r="E58" i="1"/>
  <c r="F58" i="1" s="1"/>
  <c r="G34" i="1"/>
  <c r="G194" i="1"/>
  <c r="P212" i="1"/>
  <c r="P197" i="1"/>
  <c r="P182" i="1"/>
  <c r="P153" i="1"/>
  <c r="P73" i="1"/>
  <c r="P174" i="1"/>
  <c r="P140" i="1"/>
  <c r="P52" i="1"/>
  <c r="P36" i="1"/>
  <c r="G182" i="1"/>
  <c r="P57" i="1"/>
  <c r="P39" i="1"/>
  <c r="G66" i="1"/>
  <c r="P96" i="1"/>
  <c r="G214" i="1"/>
  <c r="P165" i="1"/>
  <c r="G6" i="1"/>
  <c r="G186" i="1"/>
  <c r="G122" i="1"/>
  <c r="G218" i="1"/>
  <c r="P196" i="1"/>
  <c r="E166" i="1"/>
  <c r="F166" i="1" s="1"/>
  <c r="P158" i="1"/>
  <c r="P126" i="1"/>
  <c r="P102" i="1"/>
  <c r="G58" i="1"/>
  <c r="P32" i="1"/>
  <c r="P69" i="1"/>
  <c r="P55" i="1"/>
  <c r="P200" i="1"/>
  <c r="P186" i="1"/>
  <c r="P128" i="1"/>
  <c r="P199" i="1"/>
  <c r="P35" i="1"/>
  <c r="P54" i="1"/>
  <c r="Q54" i="1" s="1"/>
  <c r="P219" i="1"/>
  <c r="P160" i="1"/>
  <c r="Q160" i="1" s="1"/>
  <c r="P91" i="1"/>
  <c r="P211" i="1"/>
  <c r="P189" i="1"/>
  <c r="P122" i="1"/>
  <c r="P111" i="1"/>
  <c r="P103" i="1"/>
  <c r="P141" i="1"/>
  <c r="P120" i="1"/>
  <c r="P93" i="1"/>
  <c r="P68" i="1"/>
  <c r="P56" i="1"/>
  <c r="P43" i="1"/>
  <c r="P22" i="1"/>
  <c r="P210" i="1"/>
  <c r="P181" i="1"/>
  <c r="P27" i="1"/>
  <c r="G289" i="1"/>
  <c r="P263" i="1"/>
  <c r="G256" i="1"/>
  <c r="P129" i="1"/>
  <c r="G279" i="1"/>
  <c r="G272" i="1"/>
  <c r="G255" i="1"/>
  <c r="P243" i="1"/>
  <c r="P239" i="1"/>
  <c r="P195" i="1"/>
  <c r="P192" i="1"/>
  <c r="P130" i="1"/>
  <c r="G52" i="1"/>
  <c r="G295" i="1"/>
  <c r="G292" i="1"/>
  <c r="E289" i="1"/>
  <c r="G284" i="1"/>
  <c r="P272" i="1"/>
  <c r="P271" i="1"/>
  <c r="P259" i="1"/>
  <c r="D256" i="1"/>
  <c r="E251" i="1"/>
  <c r="F251" i="1" s="1"/>
  <c r="P240" i="1"/>
  <c r="F238" i="1"/>
  <c r="G238" i="1"/>
  <c r="G223" i="1"/>
  <c r="E223" i="1"/>
  <c r="F223" i="1" s="1"/>
  <c r="P205" i="1"/>
  <c r="G197" i="1"/>
  <c r="G171" i="1"/>
  <c r="E171" i="1"/>
  <c r="P167" i="1"/>
  <c r="G102" i="1"/>
  <c r="G187" i="1"/>
  <c r="G151" i="1"/>
  <c r="E286" i="1"/>
  <c r="D274" i="1"/>
  <c r="G274" i="1"/>
  <c r="G224" i="1"/>
  <c r="E224" i="1"/>
  <c r="F224" i="1" s="1"/>
  <c r="G290" i="1"/>
  <c r="D288" i="1"/>
  <c r="D284" i="1"/>
  <c r="G283" i="1"/>
  <c r="P266" i="1"/>
  <c r="P233" i="1"/>
  <c r="G203" i="1"/>
  <c r="E203" i="1"/>
  <c r="F203" i="1" s="1"/>
  <c r="P191" i="1"/>
  <c r="P184" i="1"/>
  <c r="D282" i="1"/>
  <c r="G282" i="1"/>
  <c r="P250" i="1"/>
  <c r="P216" i="1"/>
  <c r="G139" i="1"/>
  <c r="P279" i="1"/>
  <c r="P255" i="1"/>
  <c r="G246" i="1"/>
  <c r="E246" i="1"/>
  <c r="P188" i="1"/>
  <c r="E177" i="1"/>
  <c r="F177" i="1" s="1"/>
  <c r="G177" i="1"/>
  <c r="G296" i="1"/>
  <c r="G278" i="1"/>
  <c r="D278" i="1"/>
  <c r="P275" i="1"/>
  <c r="G280" i="1"/>
  <c r="G262" i="1"/>
  <c r="E262" i="1"/>
  <c r="E259" i="1"/>
  <c r="G259" i="1"/>
  <c r="E211" i="1"/>
  <c r="G211" i="1"/>
  <c r="G184" i="1"/>
  <c r="G176" i="1"/>
  <c r="G92" i="1"/>
  <c r="E236" i="1"/>
  <c r="G239" i="1"/>
  <c r="E239" i="1"/>
  <c r="F239" i="1" s="1"/>
  <c r="G89" i="1"/>
  <c r="E89" i="1"/>
  <c r="D267" i="1"/>
  <c r="G129" i="1"/>
  <c r="G294" i="1"/>
  <c r="G297" i="1"/>
  <c r="E296" i="1"/>
  <c r="P291" i="1"/>
  <c r="Q291" i="1" s="1"/>
  <c r="P283" i="1"/>
  <c r="Q283" i="1" s="1"/>
  <c r="D283" i="1"/>
  <c r="G276" i="1"/>
  <c r="E272" i="1"/>
  <c r="G271" i="1"/>
  <c r="G270" i="1"/>
  <c r="E270" i="1"/>
  <c r="G263" i="1"/>
  <c r="E263" i="1"/>
  <c r="E255" i="1"/>
  <c r="G254" i="1"/>
  <c r="E254" i="1"/>
  <c r="P247" i="1"/>
  <c r="G207" i="1"/>
  <c r="G193" i="1"/>
  <c r="P183" i="1"/>
  <c r="Q183" i="1" s="1"/>
  <c r="G158" i="1"/>
  <c r="P31" i="1"/>
  <c r="E235" i="1"/>
  <c r="G195" i="1"/>
  <c r="P176" i="1"/>
  <c r="G168" i="1"/>
  <c r="P125" i="1"/>
  <c r="E252" i="1"/>
  <c r="F252" i="1" s="1"/>
  <c r="E243" i="1"/>
  <c r="F243" i="1" s="1"/>
  <c r="E221" i="1"/>
  <c r="F221" i="1" s="1"/>
  <c r="E220" i="1"/>
  <c r="F220" i="1" s="1"/>
  <c r="G220" i="1"/>
  <c r="G191" i="1"/>
  <c r="G172" i="1"/>
  <c r="G68" i="1"/>
  <c r="E244" i="1"/>
  <c r="G233" i="1"/>
  <c r="E232" i="1"/>
  <c r="F232" i="1" s="1"/>
  <c r="G227" i="1"/>
  <c r="G208" i="1"/>
  <c r="G161" i="1"/>
  <c r="E161" i="1"/>
  <c r="F161" i="1" s="1"/>
  <c r="G136" i="1"/>
  <c r="G78" i="1"/>
  <c r="E78" i="1"/>
  <c r="G247" i="1"/>
  <c r="G235" i="1"/>
  <c r="P231" i="1"/>
  <c r="F230" i="1"/>
  <c r="E229" i="1"/>
  <c r="F229" i="1" s="1"/>
  <c r="G229" i="1"/>
  <c r="G215" i="1"/>
  <c r="P207" i="1"/>
  <c r="P162" i="1"/>
  <c r="G157" i="1"/>
  <c r="P137" i="1"/>
  <c r="G266" i="1"/>
  <c r="G258" i="1"/>
  <c r="G250" i="1"/>
  <c r="E248" i="1"/>
  <c r="F248" i="1" s="1"/>
  <c r="G242" i="1"/>
  <c r="E240" i="1"/>
  <c r="G228" i="1"/>
  <c r="G225" i="1"/>
  <c r="G219" i="1"/>
  <c r="G216" i="1"/>
  <c r="G199" i="1"/>
  <c r="E127" i="1"/>
  <c r="G76" i="1"/>
  <c r="G180" i="1"/>
  <c r="G179" i="1"/>
  <c r="P172" i="1"/>
  <c r="E154" i="1"/>
  <c r="G147" i="1"/>
  <c r="P131" i="1"/>
  <c r="Q131" i="1" s="1"/>
  <c r="E111" i="1"/>
  <c r="F111" i="1" s="1"/>
  <c r="G111" i="1"/>
  <c r="E100" i="1"/>
  <c r="F100" i="1" s="1"/>
  <c r="G100" i="1"/>
  <c r="G97" i="1"/>
  <c r="P23" i="1"/>
  <c r="P208" i="1"/>
  <c r="P204" i="1"/>
  <c r="Q204" i="1" s="1"/>
  <c r="P180" i="1"/>
  <c r="P164" i="1"/>
  <c r="G152" i="1"/>
  <c r="E113" i="1"/>
  <c r="E213" i="1"/>
  <c r="P151" i="1"/>
  <c r="G138" i="1"/>
  <c r="G130" i="1"/>
  <c r="P106" i="1"/>
  <c r="P82" i="1"/>
  <c r="G183" i="1"/>
  <c r="E181" i="1"/>
  <c r="F181" i="1" s="1"/>
  <c r="G175" i="1"/>
  <c r="G167" i="1"/>
  <c r="G162" i="1"/>
  <c r="G137" i="1"/>
  <c r="G119" i="1"/>
  <c r="G96" i="1"/>
  <c r="E143" i="1"/>
  <c r="G135" i="1"/>
  <c r="G134" i="1"/>
  <c r="G133" i="1"/>
  <c r="P119" i="1"/>
  <c r="P92" i="1"/>
  <c r="E91" i="1"/>
  <c r="F91" i="1" s="1"/>
  <c r="G91" i="1"/>
  <c r="P50" i="1"/>
  <c r="P154" i="1"/>
  <c r="P134" i="1"/>
  <c r="P133" i="1"/>
  <c r="E126" i="1"/>
  <c r="F126" i="1" s="1"/>
  <c r="G126" i="1"/>
  <c r="P124" i="1"/>
  <c r="G117" i="1"/>
  <c r="G115" i="1"/>
  <c r="G81" i="1"/>
  <c r="P47" i="1"/>
  <c r="E33" i="1"/>
  <c r="G33" i="1"/>
  <c r="G150" i="1"/>
  <c r="G142" i="1"/>
  <c r="P114" i="1"/>
  <c r="G70" i="1"/>
  <c r="E70" i="1"/>
  <c r="F70" i="1" s="1"/>
  <c r="P63" i="1"/>
  <c r="G47" i="1"/>
  <c r="G125" i="1"/>
  <c r="G121" i="1"/>
  <c r="P118" i="1"/>
  <c r="G118" i="1"/>
  <c r="G99" i="1"/>
  <c r="P95" i="1"/>
  <c r="G90" i="1"/>
  <c r="E57" i="1"/>
  <c r="G36" i="1"/>
  <c r="P19" i="1"/>
  <c r="G15" i="1"/>
  <c r="P13" i="1"/>
  <c r="Q13" i="1" s="1"/>
  <c r="P85" i="1"/>
  <c r="P71" i="1"/>
  <c r="P64" i="1"/>
  <c r="P104" i="1"/>
  <c r="P72" i="1"/>
  <c r="Q72" i="1" s="1"/>
  <c r="P58" i="1"/>
  <c r="P42" i="1"/>
  <c r="G35" i="1"/>
  <c r="G62" i="1"/>
  <c r="G60" i="1"/>
  <c r="G56" i="1"/>
  <c r="G49" i="1"/>
  <c r="G113" i="1"/>
  <c r="G87" i="1"/>
  <c r="P34" i="1"/>
  <c r="P51" i="1"/>
  <c r="E25" i="1"/>
  <c r="F25" i="1" s="1"/>
  <c r="G25" i="1"/>
  <c r="G17" i="1"/>
  <c r="P107" i="1"/>
  <c r="P83" i="1"/>
  <c r="P24" i="1"/>
  <c r="E23" i="1"/>
  <c r="G23" i="1"/>
  <c r="E13" i="1"/>
  <c r="G79" i="1"/>
  <c r="H79" i="1" s="1"/>
  <c r="G71" i="1"/>
  <c r="G63" i="1"/>
  <c r="G31" i="1"/>
  <c r="G59" i="1"/>
  <c r="E45" i="1"/>
  <c r="G11" i="1"/>
  <c r="G55" i="1"/>
  <c r="G19" i="1"/>
  <c r="G39" i="1"/>
  <c r="P11" i="1"/>
  <c r="G7" i="1"/>
  <c r="P5" i="1"/>
  <c r="AM6" i="1"/>
  <c r="AN5" i="1"/>
  <c r="AO4" i="1"/>
  <c r="AY13" i="1"/>
  <c r="AZ13" i="1" s="1"/>
  <c r="BA13" i="1" s="1"/>
  <c r="BB13" i="1" s="1"/>
  <c r="AY14" i="1"/>
  <c r="AZ14" i="1" s="1"/>
  <c r="BA14" i="1" s="1"/>
  <c r="BB14" i="1" s="1"/>
  <c r="AY11" i="1"/>
  <c r="AZ11" i="1" s="1"/>
  <c r="AY10" i="1"/>
  <c r="AZ10" i="1" s="1"/>
  <c r="AY9" i="1"/>
  <c r="AY8" i="1"/>
  <c r="AZ8" i="1" s="1"/>
  <c r="BA8" i="1" s="1"/>
  <c r="BB8" i="1" s="1"/>
  <c r="AA4" i="1"/>
  <c r="AB4" i="1" s="1"/>
  <c r="AA5" i="1"/>
  <c r="AB5" i="1" s="1"/>
  <c r="AA6" i="1"/>
  <c r="AB6" i="1" s="1"/>
  <c r="AA7" i="1"/>
  <c r="AB7" i="1" s="1"/>
  <c r="AA8" i="1"/>
  <c r="AB8" i="1" s="1"/>
  <c r="AA9" i="1"/>
  <c r="AB9" i="1" s="1"/>
  <c r="AA10" i="1"/>
  <c r="AB10" i="1" s="1"/>
  <c r="AA11" i="1"/>
  <c r="AB11" i="1" s="1"/>
  <c r="AA12" i="1"/>
  <c r="AB12" i="1" s="1"/>
  <c r="AA13" i="1"/>
  <c r="AB13" i="1" s="1"/>
  <c r="AA14" i="1"/>
  <c r="AB14" i="1" s="1"/>
  <c r="AA16" i="1"/>
  <c r="AB16" i="1" s="1"/>
  <c r="AA17" i="1"/>
  <c r="AB17" i="1" s="1"/>
  <c r="AA18" i="1"/>
  <c r="AB18" i="1" s="1"/>
  <c r="AA19" i="1"/>
  <c r="AB19" i="1" s="1"/>
  <c r="AA20" i="1"/>
  <c r="AB20" i="1" s="1"/>
  <c r="AA21" i="1"/>
  <c r="AB21" i="1" s="1"/>
  <c r="AA22" i="1"/>
  <c r="AB22" i="1" s="1"/>
  <c r="AA23" i="1"/>
  <c r="AB23" i="1" s="1"/>
  <c r="AA24" i="1"/>
  <c r="AB24" i="1" s="1"/>
  <c r="AA25" i="1"/>
  <c r="AB25" i="1" s="1"/>
  <c r="AA26" i="1"/>
  <c r="AB26" i="1" s="1"/>
  <c r="AA27" i="1"/>
  <c r="AB27" i="1" s="1"/>
  <c r="AA28" i="1"/>
  <c r="AB28" i="1" s="1"/>
  <c r="AA29" i="1"/>
  <c r="AB29" i="1" s="1"/>
  <c r="AA30" i="1"/>
  <c r="AB30" i="1" s="1"/>
  <c r="AA31" i="1"/>
  <c r="AB31" i="1" s="1"/>
  <c r="AA32" i="1"/>
  <c r="AB32" i="1" s="1"/>
  <c r="AA33" i="1"/>
  <c r="AB33" i="1" s="1"/>
  <c r="AA34" i="1"/>
  <c r="AB34" i="1" s="1"/>
  <c r="AB35" i="1"/>
  <c r="AA36" i="1"/>
  <c r="AB36" i="1" s="1"/>
  <c r="AA37" i="1"/>
  <c r="AB37" i="1" s="1"/>
  <c r="AA38" i="1"/>
  <c r="AA39" i="1"/>
  <c r="AB39" i="1" s="1"/>
  <c r="AA40" i="1"/>
  <c r="AB40" i="1" s="1"/>
  <c r="AA41" i="1"/>
  <c r="AB41" i="1" s="1"/>
  <c r="AA42" i="1"/>
  <c r="AB42" i="1" s="1"/>
  <c r="AA43" i="1"/>
  <c r="AB43" i="1" s="1"/>
  <c r="AA44" i="1"/>
  <c r="AB44" i="1" s="1"/>
  <c r="AA45" i="1"/>
  <c r="AB45" i="1" s="1"/>
  <c r="AA46" i="1"/>
  <c r="AB46" i="1" s="1"/>
  <c r="AA47" i="1"/>
  <c r="AB47" i="1" s="1"/>
  <c r="AA48" i="1"/>
  <c r="AB48" i="1" s="1"/>
  <c r="AA49" i="1"/>
  <c r="AB49" i="1" s="1"/>
  <c r="AA50" i="1"/>
  <c r="AB50" i="1" s="1"/>
  <c r="AA51" i="1"/>
  <c r="AB51" i="1" s="1"/>
  <c r="AA52" i="1"/>
  <c r="AB52" i="1" s="1"/>
  <c r="AA53" i="1"/>
  <c r="AB53" i="1" s="1"/>
  <c r="AA54" i="1"/>
  <c r="AB54" i="1" s="1"/>
  <c r="AA55" i="1"/>
  <c r="AB55" i="1" s="1"/>
  <c r="AA56" i="1"/>
  <c r="AB56" i="1" s="1"/>
  <c r="AA57" i="1"/>
  <c r="AB57" i="1" s="1"/>
  <c r="AA58" i="1"/>
  <c r="AB58" i="1" s="1"/>
  <c r="AA59" i="1"/>
  <c r="AB59" i="1" s="1"/>
  <c r="AA60" i="1"/>
  <c r="AB60" i="1" s="1"/>
  <c r="AA61" i="1"/>
  <c r="AB61" i="1" s="1"/>
  <c r="AA62" i="1"/>
  <c r="AB62" i="1" s="1"/>
  <c r="AA63" i="1"/>
  <c r="AB63" i="1" s="1"/>
  <c r="AA64" i="1"/>
  <c r="AB64" i="1" s="1"/>
  <c r="AA65" i="1"/>
  <c r="AB65" i="1" s="1"/>
  <c r="AA66" i="1"/>
  <c r="AB66" i="1" s="1"/>
  <c r="AA67" i="1"/>
  <c r="AB67" i="1" s="1"/>
  <c r="AA68" i="1"/>
  <c r="AB68" i="1" s="1"/>
  <c r="AA69" i="1"/>
  <c r="AB69" i="1" s="1"/>
  <c r="AA70" i="1"/>
  <c r="AA71" i="1"/>
  <c r="AB71" i="1" s="1"/>
  <c r="AA72" i="1"/>
  <c r="AB72" i="1" s="1"/>
  <c r="AA73" i="1"/>
  <c r="AB73" i="1" s="1"/>
  <c r="AA74" i="1"/>
  <c r="AB74" i="1" s="1"/>
  <c r="AA75" i="1"/>
  <c r="AB75" i="1" s="1"/>
  <c r="AA76" i="1"/>
  <c r="AB76" i="1" s="1"/>
  <c r="AA77" i="1"/>
  <c r="AB77" i="1" s="1"/>
  <c r="AA78" i="1"/>
  <c r="AB78" i="1" s="1"/>
  <c r="AA79" i="1"/>
  <c r="AA80" i="1"/>
  <c r="AB80" i="1" s="1"/>
  <c r="AA81" i="1"/>
  <c r="AB81" i="1" s="1"/>
  <c r="AA82" i="1"/>
  <c r="AB82" i="1" s="1"/>
  <c r="AA83" i="1"/>
  <c r="AB83" i="1" s="1"/>
  <c r="AA84" i="1"/>
  <c r="AB84" i="1" s="1"/>
  <c r="AA85" i="1"/>
  <c r="AB85" i="1" s="1"/>
  <c r="AA86" i="1"/>
  <c r="AB86" i="1" s="1"/>
  <c r="AA87" i="1"/>
  <c r="AB87" i="1" s="1"/>
  <c r="AA88" i="1"/>
  <c r="AB88" i="1" s="1"/>
  <c r="AA89" i="1"/>
  <c r="AB89" i="1" s="1"/>
  <c r="AA90" i="1"/>
  <c r="AB90" i="1" s="1"/>
  <c r="AA91" i="1"/>
  <c r="AB91" i="1" s="1"/>
  <c r="AA92" i="1"/>
  <c r="AB92" i="1" s="1"/>
  <c r="AA93" i="1"/>
  <c r="AB93" i="1" s="1"/>
  <c r="AA94" i="1"/>
  <c r="AB94" i="1" s="1"/>
  <c r="AA95" i="1"/>
  <c r="AB95" i="1" s="1"/>
  <c r="AA96" i="1"/>
  <c r="AB96" i="1" s="1"/>
  <c r="AA97" i="1"/>
  <c r="AB97" i="1" s="1"/>
  <c r="AA98" i="1"/>
  <c r="AB98" i="1" s="1"/>
  <c r="AA99" i="1"/>
  <c r="AB99" i="1" s="1"/>
  <c r="AA100" i="1"/>
  <c r="AB100" i="1" s="1"/>
  <c r="AA101" i="1"/>
  <c r="AB101" i="1" s="1"/>
  <c r="AA102" i="1"/>
  <c r="AB102" i="1" s="1"/>
  <c r="AA103" i="1"/>
  <c r="AB103" i="1" s="1"/>
  <c r="AA104" i="1"/>
  <c r="AB104" i="1" s="1"/>
  <c r="AA105" i="1"/>
  <c r="AB105" i="1" s="1"/>
  <c r="AA106" i="1"/>
  <c r="AB106" i="1" s="1"/>
  <c r="AA107" i="1"/>
  <c r="AB107" i="1" s="1"/>
  <c r="AA108" i="1"/>
  <c r="AB108" i="1" s="1"/>
  <c r="AA109" i="1"/>
  <c r="AB109" i="1" s="1"/>
  <c r="AA110" i="1"/>
  <c r="AB110" i="1" s="1"/>
  <c r="AA111" i="1"/>
  <c r="AB111" i="1" s="1"/>
  <c r="AA112" i="1"/>
  <c r="AB112" i="1" s="1"/>
  <c r="AA113" i="1"/>
  <c r="AB113" i="1" s="1"/>
  <c r="AA114" i="1"/>
  <c r="AB114" i="1" s="1"/>
  <c r="AA115" i="1"/>
  <c r="AB115" i="1" s="1"/>
  <c r="AA116" i="1"/>
  <c r="AB116" i="1" s="1"/>
  <c r="AA117" i="1"/>
  <c r="AB117" i="1" s="1"/>
  <c r="AA118" i="1"/>
  <c r="AB118" i="1" s="1"/>
  <c r="AA119" i="1"/>
  <c r="AB119" i="1" s="1"/>
  <c r="AA120" i="1"/>
  <c r="AB120" i="1" s="1"/>
  <c r="AA121" i="1"/>
  <c r="AB121" i="1" s="1"/>
  <c r="AA122" i="1"/>
  <c r="AB122" i="1" s="1"/>
  <c r="AA123" i="1"/>
  <c r="AB123" i="1" s="1"/>
  <c r="AA124" i="1"/>
  <c r="AB124" i="1" s="1"/>
  <c r="AA125" i="1"/>
  <c r="AB125" i="1" s="1"/>
  <c r="AA126" i="1"/>
  <c r="AB126" i="1" s="1"/>
  <c r="AA127" i="1"/>
  <c r="AB127" i="1" s="1"/>
  <c r="AA128" i="1"/>
  <c r="AB128" i="1" s="1"/>
  <c r="AA129" i="1"/>
  <c r="AB129" i="1" s="1"/>
  <c r="AA130" i="1"/>
  <c r="AB130" i="1" s="1"/>
  <c r="AA131" i="1"/>
  <c r="AB131" i="1" s="1"/>
  <c r="AA132" i="1"/>
  <c r="AB132" i="1" s="1"/>
  <c r="AA133" i="1"/>
  <c r="AB133" i="1" s="1"/>
  <c r="AA134" i="1"/>
  <c r="AB134" i="1" s="1"/>
  <c r="AA135" i="1"/>
  <c r="AB135" i="1" s="1"/>
  <c r="AA136" i="1"/>
  <c r="AB136" i="1" s="1"/>
  <c r="AA137" i="1"/>
  <c r="AB137" i="1" s="1"/>
  <c r="AA138" i="1"/>
  <c r="AB138" i="1" s="1"/>
  <c r="AA139" i="1"/>
  <c r="AB139" i="1" s="1"/>
  <c r="AA140" i="1"/>
  <c r="AB140" i="1" s="1"/>
  <c r="AA141" i="1"/>
  <c r="AB141" i="1" s="1"/>
  <c r="AA142" i="1"/>
  <c r="AB142" i="1" s="1"/>
  <c r="AA143" i="1"/>
  <c r="AB143" i="1" s="1"/>
  <c r="AA144" i="1"/>
  <c r="AB144" i="1" s="1"/>
  <c r="AA145" i="1"/>
  <c r="AB145" i="1" s="1"/>
  <c r="AA146" i="1"/>
  <c r="AB146" i="1" s="1"/>
  <c r="AA147" i="1"/>
  <c r="AB147" i="1" s="1"/>
  <c r="AA148" i="1"/>
  <c r="AB148" i="1" s="1"/>
  <c r="AA149" i="1"/>
  <c r="AB149" i="1" s="1"/>
  <c r="AA150" i="1"/>
  <c r="AB150" i="1" s="1"/>
  <c r="AA151" i="1"/>
  <c r="AB151" i="1" s="1"/>
  <c r="AA152" i="1"/>
  <c r="AB152" i="1" s="1"/>
  <c r="AA153" i="1"/>
  <c r="AB153" i="1" s="1"/>
  <c r="AA154" i="1"/>
  <c r="AB154" i="1" s="1"/>
  <c r="AA155" i="1"/>
  <c r="AB155" i="1" s="1"/>
  <c r="AA156" i="1"/>
  <c r="AB156" i="1" s="1"/>
  <c r="AA157" i="1"/>
  <c r="AB157" i="1" s="1"/>
  <c r="AA158" i="1"/>
  <c r="AB158" i="1" s="1"/>
  <c r="AA159" i="1"/>
  <c r="AB159" i="1" s="1"/>
  <c r="AA160" i="1"/>
  <c r="AB160" i="1" s="1"/>
  <c r="AA161" i="1"/>
  <c r="AB161" i="1" s="1"/>
  <c r="AA162" i="1"/>
  <c r="AB162" i="1" s="1"/>
  <c r="AA163" i="1"/>
  <c r="AB163" i="1" s="1"/>
  <c r="AA164" i="1"/>
  <c r="AB164" i="1" s="1"/>
  <c r="AA165" i="1"/>
  <c r="AB165" i="1" s="1"/>
  <c r="AA166" i="1"/>
  <c r="AB166" i="1" s="1"/>
  <c r="AA167" i="1"/>
  <c r="AB167" i="1" s="1"/>
  <c r="AA168" i="1"/>
  <c r="AB168" i="1" s="1"/>
  <c r="AA169" i="1"/>
  <c r="AB169" i="1" s="1"/>
  <c r="AA170" i="1"/>
  <c r="AB170" i="1" s="1"/>
  <c r="AA171" i="1"/>
  <c r="AB171" i="1" s="1"/>
  <c r="AA172" i="1"/>
  <c r="AB172" i="1" s="1"/>
  <c r="AA173" i="1"/>
  <c r="AB173" i="1" s="1"/>
  <c r="AA174" i="1"/>
  <c r="AB174" i="1" s="1"/>
  <c r="AA175" i="1"/>
  <c r="AB175" i="1" s="1"/>
  <c r="AA176" i="1"/>
  <c r="AB176" i="1" s="1"/>
  <c r="AA177" i="1"/>
  <c r="AB177" i="1" s="1"/>
  <c r="AA178" i="1"/>
  <c r="AB178" i="1" s="1"/>
  <c r="AA179" i="1"/>
  <c r="AB179" i="1" s="1"/>
  <c r="AA180" i="1"/>
  <c r="AB180" i="1" s="1"/>
  <c r="AA181" i="1"/>
  <c r="AB181" i="1" s="1"/>
  <c r="AA182" i="1"/>
  <c r="AB182" i="1" s="1"/>
  <c r="AA183" i="1"/>
  <c r="AB183" i="1" s="1"/>
  <c r="AA184" i="1"/>
  <c r="AB184" i="1" s="1"/>
  <c r="AA185" i="1"/>
  <c r="AB185" i="1" s="1"/>
  <c r="AA186" i="1"/>
  <c r="AB186" i="1" s="1"/>
  <c r="AA187" i="1"/>
  <c r="AB187" i="1" s="1"/>
  <c r="AA188" i="1"/>
  <c r="AB188" i="1" s="1"/>
  <c r="AA189" i="1"/>
  <c r="AB189" i="1" s="1"/>
  <c r="AA190" i="1"/>
  <c r="AB190" i="1" s="1"/>
  <c r="AA191" i="1"/>
  <c r="AB191" i="1" s="1"/>
  <c r="AA192" i="1"/>
  <c r="AB192" i="1" s="1"/>
  <c r="AA193" i="1"/>
  <c r="AB193" i="1" s="1"/>
  <c r="AA194" i="1"/>
  <c r="AB194" i="1" s="1"/>
  <c r="AA195" i="1"/>
  <c r="AB195" i="1" s="1"/>
  <c r="AA196" i="1"/>
  <c r="AB196" i="1" s="1"/>
  <c r="AA197" i="1"/>
  <c r="AB197" i="1" s="1"/>
  <c r="AA198" i="1"/>
  <c r="AB198" i="1" s="1"/>
  <c r="AA199" i="1"/>
  <c r="AB199" i="1" s="1"/>
  <c r="AA200" i="1"/>
  <c r="AB200" i="1" s="1"/>
  <c r="AA201" i="1"/>
  <c r="AB201" i="1" s="1"/>
  <c r="AA202" i="1"/>
  <c r="AB202" i="1" s="1"/>
  <c r="AA203" i="1"/>
  <c r="AB203" i="1" s="1"/>
  <c r="AA204" i="1"/>
  <c r="AB204" i="1" s="1"/>
  <c r="AA205" i="1"/>
  <c r="AB205" i="1" s="1"/>
  <c r="AA206" i="1"/>
  <c r="AB206" i="1" s="1"/>
  <c r="AA207" i="1"/>
  <c r="AB207" i="1" s="1"/>
  <c r="AA208" i="1"/>
  <c r="AB208" i="1" s="1"/>
  <c r="AA209" i="1"/>
  <c r="AB209" i="1" s="1"/>
  <c r="AA210" i="1"/>
  <c r="AB210" i="1" s="1"/>
  <c r="AA211" i="1"/>
  <c r="AB211" i="1" s="1"/>
  <c r="AA212" i="1"/>
  <c r="AB212" i="1" s="1"/>
  <c r="AA213" i="1"/>
  <c r="AB213" i="1" s="1"/>
  <c r="AA222" i="1"/>
  <c r="AB222" i="1" s="1"/>
  <c r="AA223" i="1"/>
  <c r="AB223" i="1" s="1"/>
  <c r="AA224" i="1"/>
  <c r="AB224" i="1" s="1"/>
  <c r="AA225" i="1"/>
  <c r="AB225" i="1" s="1"/>
  <c r="AA226" i="1"/>
  <c r="AB226" i="1" s="1"/>
  <c r="AA227" i="1"/>
  <c r="AB227" i="1" s="1"/>
  <c r="AA228" i="1"/>
  <c r="AB228" i="1" s="1"/>
  <c r="AA229" i="1"/>
  <c r="AB229" i="1" s="1"/>
  <c r="AA230" i="1"/>
  <c r="AB230" i="1" s="1"/>
  <c r="AA231" i="1"/>
  <c r="AB231" i="1" s="1"/>
  <c r="AA232" i="1"/>
  <c r="AB232" i="1" s="1"/>
  <c r="AA233" i="1"/>
  <c r="AB233" i="1" s="1"/>
  <c r="AA234" i="1"/>
  <c r="AB234" i="1" s="1"/>
  <c r="AA235" i="1"/>
  <c r="AB235" i="1" s="1"/>
  <c r="AA236" i="1"/>
  <c r="AB236" i="1" s="1"/>
  <c r="AA237" i="1"/>
  <c r="AB237" i="1" s="1"/>
  <c r="AA238" i="1"/>
  <c r="AB238" i="1" s="1"/>
  <c r="AA239" i="1"/>
  <c r="AB239" i="1" s="1"/>
  <c r="AA240" i="1"/>
  <c r="AB240" i="1" s="1"/>
  <c r="AA241" i="1"/>
  <c r="AB241" i="1" s="1"/>
  <c r="AA242" i="1"/>
  <c r="AB242" i="1" s="1"/>
  <c r="AA243" i="1"/>
  <c r="AB243" i="1" s="1"/>
  <c r="AA244" i="1"/>
  <c r="AB244" i="1" s="1"/>
  <c r="AA245" i="1"/>
  <c r="AB245" i="1" s="1"/>
  <c r="AA246" i="1"/>
  <c r="AB246" i="1" s="1"/>
  <c r="AA247" i="1"/>
  <c r="AB247" i="1" s="1"/>
  <c r="AA248" i="1"/>
  <c r="AB248" i="1" s="1"/>
  <c r="AA249" i="1"/>
  <c r="AB249" i="1" s="1"/>
  <c r="AA250" i="1"/>
  <c r="AB250" i="1" s="1"/>
  <c r="AA251" i="1"/>
  <c r="AB251" i="1" s="1"/>
  <c r="AA252" i="1"/>
  <c r="AB252" i="1" s="1"/>
  <c r="AA253" i="1"/>
  <c r="AB253" i="1" s="1"/>
  <c r="AA254" i="1"/>
  <c r="AB254" i="1" s="1"/>
  <c r="AA255" i="1"/>
  <c r="AB255" i="1" s="1"/>
  <c r="AA256" i="1"/>
  <c r="AB256" i="1" s="1"/>
  <c r="AA257" i="1"/>
  <c r="AB257" i="1" s="1"/>
  <c r="AA258" i="1"/>
  <c r="AB258" i="1" s="1"/>
  <c r="AA259" i="1"/>
  <c r="AB259" i="1" s="1"/>
  <c r="AA260" i="1"/>
  <c r="AB260" i="1" s="1"/>
  <c r="AA261" i="1"/>
  <c r="AB261" i="1" s="1"/>
  <c r="AA262" i="1"/>
  <c r="AB262" i="1" s="1"/>
  <c r="AA263" i="1"/>
  <c r="AB263" i="1" s="1"/>
  <c r="AA264" i="1"/>
  <c r="AB264" i="1" s="1"/>
  <c r="AA265" i="1"/>
  <c r="AB265" i="1" s="1"/>
  <c r="AA266" i="1"/>
  <c r="AB266" i="1" s="1"/>
  <c r="AA267" i="1"/>
  <c r="AB267" i="1" s="1"/>
  <c r="AA268" i="1"/>
  <c r="AB268" i="1" s="1"/>
  <c r="AA269" i="1"/>
  <c r="AB269" i="1" s="1"/>
  <c r="AA270" i="1"/>
  <c r="AB270" i="1" s="1"/>
  <c r="AA271" i="1"/>
  <c r="AB271" i="1" s="1"/>
  <c r="AA272" i="1"/>
  <c r="AB272" i="1" s="1"/>
  <c r="AA273" i="1"/>
  <c r="AB273" i="1" s="1"/>
  <c r="AA274" i="1"/>
  <c r="AB274" i="1" s="1"/>
  <c r="AA275" i="1"/>
  <c r="AB275" i="1" s="1"/>
  <c r="AA276" i="1"/>
  <c r="AB276" i="1" s="1"/>
  <c r="AA277" i="1"/>
  <c r="AB277" i="1" s="1"/>
  <c r="AA278" i="1"/>
  <c r="AB278" i="1" s="1"/>
  <c r="AA279" i="1"/>
  <c r="AB279" i="1" s="1"/>
  <c r="AA280" i="1"/>
  <c r="AB280" i="1" s="1"/>
  <c r="AA281" i="1"/>
  <c r="AB281" i="1" s="1"/>
  <c r="AA282" i="1"/>
  <c r="AB282" i="1" s="1"/>
  <c r="AA283" i="1"/>
  <c r="AB283" i="1" s="1"/>
  <c r="AA284" i="1"/>
  <c r="AB284" i="1" s="1"/>
  <c r="AA285" i="1"/>
  <c r="AB285" i="1" s="1"/>
  <c r="AA286" i="1"/>
  <c r="AB286" i="1" s="1"/>
  <c r="AA287" i="1"/>
  <c r="AB287" i="1" s="1"/>
  <c r="AA288" i="1"/>
  <c r="AB288" i="1" s="1"/>
  <c r="AA289" i="1"/>
  <c r="AB289" i="1" s="1"/>
  <c r="AA290" i="1"/>
  <c r="AB290" i="1" s="1"/>
  <c r="AA291" i="1"/>
  <c r="AB291" i="1" s="1"/>
  <c r="AA292" i="1"/>
  <c r="AB292" i="1" s="1"/>
  <c r="AA293" i="1"/>
  <c r="AB293" i="1" s="1"/>
  <c r="AA294" i="1"/>
  <c r="AB294" i="1" s="1"/>
  <c r="AA295" i="1"/>
  <c r="AB295" i="1" s="1"/>
  <c r="AA296" i="1"/>
  <c r="AB296" i="1" s="1"/>
  <c r="AA297" i="1"/>
  <c r="AB297" i="1" s="1"/>
  <c r="AA298" i="1"/>
  <c r="AB298" i="1" s="1"/>
  <c r="AA299" i="1"/>
  <c r="AB299" i="1" s="1"/>
  <c r="AA300" i="1"/>
  <c r="AB300" i="1" s="1"/>
  <c r="AA301" i="1"/>
  <c r="AB301" i="1" s="1"/>
  <c r="AA15" i="1"/>
  <c r="AB15" i="1" s="1"/>
  <c r="Y5" i="1"/>
  <c r="Y6" i="1"/>
  <c r="Y7" i="1"/>
  <c r="Y8" i="1"/>
  <c r="Y9" i="1"/>
  <c r="AI9" i="1" s="1"/>
  <c r="Y10" i="1"/>
  <c r="Y11" i="1"/>
  <c r="Y12" i="1"/>
  <c r="Y13" i="1"/>
  <c r="Y14" i="1"/>
  <c r="AI14" i="1" s="1"/>
  <c r="Y15" i="1"/>
  <c r="Y16" i="1"/>
  <c r="Y17" i="1"/>
  <c r="Y18" i="1"/>
  <c r="Y19" i="1"/>
  <c r="AI19" i="1" s="1"/>
  <c r="Y20" i="1"/>
  <c r="Y21" i="1"/>
  <c r="Y22" i="1"/>
  <c r="Y23" i="1"/>
  <c r="Y24" i="1"/>
  <c r="AI24" i="1" s="1"/>
  <c r="Y25" i="1"/>
  <c r="Y26" i="1"/>
  <c r="Y27" i="1"/>
  <c r="Y28" i="1"/>
  <c r="AI28" i="1" s="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AI60" i="1" s="1"/>
  <c r="Y61" i="1"/>
  <c r="Y62" i="1"/>
  <c r="Y63" i="1"/>
  <c r="Y64" i="1"/>
  <c r="Y65" i="1"/>
  <c r="Y66" i="1"/>
  <c r="Y67" i="1"/>
  <c r="Y68" i="1"/>
  <c r="Y69" i="1"/>
  <c r="Y70" i="1"/>
  <c r="Y71" i="1"/>
  <c r="Y72" i="1"/>
  <c r="Y73" i="1"/>
  <c r="Y74" i="1"/>
  <c r="Y75" i="1"/>
  <c r="Y76" i="1"/>
  <c r="Y77" i="1"/>
  <c r="Y78" i="1"/>
  <c r="Y79" i="1"/>
  <c r="Y80" i="1"/>
  <c r="Y81" i="1"/>
  <c r="Y82" i="1"/>
  <c r="Y83" i="1"/>
  <c r="Y84" i="1"/>
  <c r="Y85" i="1"/>
  <c r="AI85" i="1" s="1"/>
  <c r="Y86" i="1"/>
  <c r="Y87" i="1"/>
  <c r="Y88" i="1"/>
  <c r="Y89" i="1"/>
  <c r="Y90" i="1"/>
  <c r="Y91" i="1"/>
  <c r="AI91" i="1" s="1"/>
  <c r="Y92" i="1"/>
  <c r="Y93" i="1"/>
  <c r="AI93" i="1" s="1"/>
  <c r="Y94" i="1"/>
  <c r="Y95" i="1"/>
  <c r="Y96" i="1"/>
  <c r="Y97" i="1"/>
  <c r="Y98" i="1"/>
  <c r="Y99" i="1"/>
  <c r="Y100" i="1"/>
  <c r="Y101" i="1"/>
  <c r="Y102" i="1"/>
  <c r="Y103" i="1"/>
  <c r="Y104" i="1"/>
  <c r="Y105" i="1"/>
  <c r="Y106" i="1"/>
  <c r="Y107" i="1"/>
  <c r="Y108" i="1"/>
  <c r="Y109" i="1"/>
  <c r="Y110" i="1"/>
  <c r="Y111" i="1"/>
  <c r="Y112" i="1"/>
  <c r="Y113" i="1"/>
  <c r="Y114" i="1"/>
  <c r="Y115" i="1"/>
  <c r="Y116" i="1"/>
  <c r="AI116" i="1" s="1"/>
  <c r="Y117" i="1"/>
  <c r="Y118" i="1"/>
  <c r="Y119" i="1"/>
  <c r="Y120" i="1"/>
  <c r="Y121" i="1"/>
  <c r="Y122" i="1"/>
  <c r="Y123" i="1"/>
  <c r="Y124" i="1"/>
  <c r="Y125" i="1"/>
  <c r="AI125" i="1" s="1"/>
  <c r="Y126" i="1"/>
  <c r="Y127" i="1"/>
  <c r="Y128" i="1"/>
  <c r="Y129" i="1"/>
  <c r="Y130" i="1"/>
  <c r="Y131" i="1"/>
  <c r="Y132" i="1"/>
  <c r="AI132" i="1" s="1"/>
  <c r="Y133" i="1"/>
  <c r="Y134" i="1"/>
  <c r="Y135" i="1"/>
  <c r="Y136" i="1"/>
  <c r="Y137" i="1"/>
  <c r="AI137" i="1" s="1"/>
  <c r="Y138" i="1"/>
  <c r="AI138" i="1" s="1"/>
  <c r="Y139" i="1"/>
  <c r="Y140" i="1"/>
  <c r="Y141" i="1"/>
  <c r="Y142" i="1"/>
  <c r="AI142" i="1" s="1"/>
  <c r="Y143" i="1"/>
  <c r="Y144" i="1"/>
  <c r="Y145" i="1"/>
  <c r="Y146" i="1"/>
  <c r="Y147" i="1"/>
  <c r="Y148" i="1"/>
  <c r="Y149" i="1"/>
  <c r="Y150" i="1"/>
  <c r="Y151" i="1"/>
  <c r="AI151" i="1" s="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AI177" i="1" s="1"/>
  <c r="Y178" i="1"/>
  <c r="Y179" i="1"/>
  <c r="Y180" i="1"/>
  <c r="Y181" i="1"/>
  <c r="Y182" i="1"/>
  <c r="Y183" i="1"/>
  <c r="Y184" i="1"/>
  <c r="AI184" i="1" s="1"/>
  <c r="Y185" i="1"/>
  <c r="Y186" i="1"/>
  <c r="Y187" i="1"/>
  <c r="Y188" i="1"/>
  <c r="Y189" i="1"/>
  <c r="Y190" i="1"/>
  <c r="Y191" i="1"/>
  <c r="Y192" i="1"/>
  <c r="Y193" i="1"/>
  <c r="AI193" i="1" s="1"/>
  <c r="Y194" i="1"/>
  <c r="Y195" i="1"/>
  <c r="Y196" i="1"/>
  <c r="Y197" i="1"/>
  <c r="Y198" i="1"/>
  <c r="Y199" i="1"/>
  <c r="Y200" i="1"/>
  <c r="AI200" i="1" s="1"/>
  <c r="Y201" i="1"/>
  <c r="Y202" i="1"/>
  <c r="Y203" i="1"/>
  <c r="Y204" i="1"/>
  <c r="Y205" i="1"/>
  <c r="Y206" i="1"/>
  <c r="Y207" i="1"/>
  <c r="Y208" i="1"/>
  <c r="Y209" i="1"/>
  <c r="AI209" i="1" s="1"/>
  <c r="Y210" i="1"/>
  <c r="Y211" i="1"/>
  <c r="Y212" i="1"/>
  <c r="Y213" i="1"/>
  <c r="Y222" i="1"/>
  <c r="Y223" i="1"/>
  <c r="Y224" i="1"/>
  <c r="Y225" i="1"/>
  <c r="AI225" i="1" s="1"/>
  <c r="Y226" i="1"/>
  <c r="Y227" i="1"/>
  <c r="Y228" i="1"/>
  <c r="Y229" i="1"/>
  <c r="Y230" i="1"/>
  <c r="Y231" i="1"/>
  <c r="Y232" i="1"/>
  <c r="AI232" i="1" s="1"/>
  <c r="Y233" i="1"/>
  <c r="Y234" i="1"/>
  <c r="Y235" i="1"/>
  <c r="Y236" i="1"/>
  <c r="AI236" i="1" s="1"/>
  <c r="Y237" i="1"/>
  <c r="Y238" i="1"/>
  <c r="Y239" i="1"/>
  <c r="Y240" i="1"/>
  <c r="AI240" i="1" s="1"/>
  <c r="Y241" i="1"/>
  <c r="Y242" i="1"/>
  <c r="Y243" i="1"/>
  <c r="Y244" i="1"/>
  <c r="AI244" i="1" s="1"/>
  <c r="Y245" i="1"/>
  <c r="Y246" i="1"/>
  <c r="Y247" i="1"/>
  <c r="Y248" i="1"/>
  <c r="AI248" i="1" s="1"/>
  <c r="Y249" i="1"/>
  <c r="Y250" i="1"/>
  <c r="Y251" i="1"/>
  <c r="Y252" i="1"/>
  <c r="AI252" i="1" s="1"/>
  <c r="Y253" i="1"/>
  <c r="Y254" i="1"/>
  <c r="Y255" i="1"/>
  <c r="Y256" i="1"/>
  <c r="AI256" i="1" s="1"/>
  <c r="Y257" i="1"/>
  <c r="Y258" i="1"/>
  <c r="Y259" i="1"/>
  <c r="Y260" i="1"/>
  <c r="AI260" i="1" s="1"/>
  <c r="Y261" i="1"/>
  <c r="Y262" i="1"/>
  <c r="AI262" i="1" s="1"/>
  <c r="Y263" i="1"/>
  <c r="Y264" i="1"/>
  <c r="AI264" i="1" s="1"/>
  <c r="Y265" i="1"/>
  <c r="Y266" i="1"/>
  <c r="Y267" i="1"/>
  <c r="Y268" i="1"/>
  <c r="AI268" i="1" s="1"/>
  <c r="Y269" i="1"/>
  <c r="Y270" i="1"/>
  <c r="Y271" i="1"/>
  <c r="Y272" i="1"/>
  <c r="AI272" i="1" s="1"/>
  <c r="Y273" i="1"/>
  <c r="Y274" i="1"/>
  <c r="Y275" i="1"/>
  <c r="Y276" i="1"/>
  <c r="AI276" i="1" s="1"/>
  <c r="Y277" i="1"/>
  <c r="Y278" i="1"/>
  <c r="Y279" i="1"/>
  <c r="Y280" i="1"/>
  <c r="AI280" i="1" s="1"/>
  <c r="Y281" i="1"/>
  <c r="Y282" i="1"/>
  <c r="Y283" i="1"/>
  <c r="AI283" i="1" s="1"/>
  <c r="Y284" i="1"/>
  <c r="AI284" i="1" s="1"/>
  <c r="Y285" i="1"/>
  <c r="Y286" i="1"/>
  <c r="Y287" i="1"/>
  <c r="AI287" i="1" s="1"/>
  <c r="Y288" i="1"/>
  <c r="AI288" i="1" s="1"/>
  <c r="Y289" i="1"/>
  <c r="Y290" i="1"/>
  <c r="Y291" i="1"/>
  <c r="AI291" i="1" s="1"/>
  <c r="Y292" i="1"/>
  <c r="AI292" i="1" s="1"/>
  <c r="Y293" i="1"/>
  <c r="Y294" i="1"/>
  <c r="Y295" i="1"/>
  <c r="Y296" i="1"/>
  <c r="AI296" i="1" s="1"/>
  <c r="Y297" i="1"/>
  <c r="Y298" i="1"/>
  <c r="Y299" i="1"/>
  <c r="AI299" i="1" s="1"/>
  <c r="Y300" i="1"/>
  <c r="AI300" i="1" s="1"/>
  <c r="Y301" i="1"/>
  <c r="Y4" i="1"/>
  <c r="AD3" i="1"/>
  <c r="Q184" i="1" l="1"/>
  <c r="V486" i="1"/>
  <c r="X486" i="1"/>
  <c r="W486" i="1"/>
  <c r="Q195" i="1"/>
  <c r="Q254" i="1"/>
  <c r="Q274" i="1"/>
  <c r="V449" i="1"/>
  <c r="X449" i="1"/>
  <c r="W449" i="1"/>
  <c r="W448" i="1"/>
  <c r="V448" i="1"/>
  <c r="X448" i="1"/>
  <c r="V470" i="1"/>
  <c r="W470" i="1"/>
  <c r="X470" i="1"/>
  <c r="X430" i="1"/>
  <c r="V430" i="1"/>
  <c r="W430" i="1"/>
  <c r="X413" i="1"/>
  <c r="W413" i="1"/>
  <c r="V413" i="1"/>
  <c r="V436" i="1"/>
  <c r="X436" i="1"/>
  <c r="W436" i="1"/>
  <c r="W415" i="1"/>
  <c r="V415" i="1"/>
  <c r="X415" i="1"/>
  <c r="W408" i="1"/>
  <c r="X408" i="1"/>
  <c r="V408" i="1"/>
  <c r="Q199" i="1"/>
  <c r="Q200" i="1"/>
  <c r="Q267" i="1"/>
  <c r="Q215" i="1"/>
  <c r="Q5" i="1"/>
  <c r="Q180" i="1"/>
  <c r="Q60" i="1"/>
  <c r="Q71" i="1"/>
  <c r="Q228" i="1"/>
  <c r="Q197" i="1"/>
  <c r="Q216" i="1"/>
  <c r="Q153" i="1"/>
  <c r="Q292" i="1"/>
  <c r="Q51" i="1"/>
  <c r="Q93" i="1"/>
  <c r="Q36" i="1"/>
  <c r="Q297" i="1"/>
  <c r="V396" i="1"/>
  <c r="W396" i="1"/>
  <c r="X396" i="1"/>
  <c r="V406" i="1"/>
  <c r="X406" i="1"/>
  <c r="W406" i="1"/>
  <c r="Q239" i="1"/>
  <c r="Q226" i="1"/>
  <c r="W395" i="1"/>
  <c r="X395" i="1"/>
  <c r="V395" i="1"/>
  <c r="W385" i="1"/>
  <c r="X385" i="1"/>
  <c r="V385" i="1"/>
  <c r="Q271" i="1"/>
  <c r="Q288" i="1"/>
  <c r="Q284" i="1"/>
  <c r="Q92" i="1"/>
  <c r="Q103" i="1"/>
  <c r="Q17" i="1"/>
  <c r="Q84" i="1"/>
  <c r="Q295" i="1"/>
  <c r="Q244" i="1"/>
  <c r="Q104" i="1"/>
  <c r="Q23" i="1"/>
  <c r="Q43" i="1"/>
  <c r="Q122" i="1"/>
  <c r="Q27" i="1"/>
  <c r="Q232" i="1"/>
  <c r="Q259" i="1"/>
  <c r="Q266" i="1"/>
  <c r="Q220" i="1"/>
  <c r="Q235" i="1"/>
  <c r="Q194" i="1"/>
  <c r="Q82" i="1"/>
  <c r="Q258" i="1"/>
  <c r="Q257" i="1"/>
  <c r="Q245" i="1"/>
  <c r="Q299" i="1"/>
  <c r="Q298" i="1"/>
  <c r="Q282" i="1"/>
  <c r="Q249" i="1"/>
  <c r="Q273" i="1"/>
  <c r="Q167" i="1"/>
  <c r="Q55" i="1"/>
  <c r="Q230" i="1"/>
  <c r="Q231" i="1"/>
  <c r="Q229" i="1"/>
  <c r="Q174" i="1"/>
  <c r="Q140" i="1"/>
  <c r="Q133" i="1"/>
  <c r="Q83" i="1"/>
  <c r="Q22" i="1"/>
  <c r="Q253" i="1"/>
  <c r="Q137" i="1"/>
  <c r="Q128" i="1"/>
  <c r="Q52" i="1"/>
  <c r="Q129" i="1"/>
  <c r="Q32" i="1"/>
  <c r="Q287" i="1"/>
  <c r="Q118" i="1"/>
  <c r="Q246" i="1"/>
  <c r="Q221" i="1"/>
  <c r="Q280" i="1"/>
  <c r="Q272" i="1"/>
  <c r="Q53" i="1"/>
  <c r="Q255" i="1"/>
  <c r="Q281" i="1"/>
  <c r="Q177" i="1"/>
  <c r="Q223" i="1"/>
  <c r="Q248" i="1"/>
  <c r="Q186" i="1"/>
  <c r="Q134" i="1"/>
  <c r="Q56" i="1"/>
  <c r="Q222" i="1"/>
  <c r="Q11" i="1"/>
  <c r="Q107" i="1"/>
  <c r="Q227" i="1"/>
  <c r="Q219" i="1"/>
  <c r="Q279" i="1"/>
  <c r="Q116" i="1"/>
  <c r="Q181" i="1"/>
  <c r="Q69" i="1"/>
  <c r="Q247" i="1"/>
  <c r="Q149" i="1"/>
  <c r="Q119" i="1"/>
  <c r="Q182" i="1"/>
  <c r="Q7" i="1"/>
  <c r="Q127" i="1"/>
  <c r="Q39" i="1"/>
  <c r="Q196" i="1"/>
  <c r="D260" i="1"/>
  <c r="Q270" i="1"/>
  <c r="Q188" i="1"/>
  <c r="Q276" i="1"/>
  <c r="Q252" i="1"/>
  <c r="Q260" i="1"/>
  <c r="Q59" i="1"/>
  <c r="Q155" i="1"/>
  <c r="Q144" i="1"/>
  <c r="Q38" i="1"/>
  <c r="Q42" i="1"/>
  <c r="Q130" i="1"/>
  <c r="Q145" i="1"/>
  <c r="Q126" i="1"/>
  <c r="Q217" i="1"/>
  <c r="Q289" i="1"/>
  <c r="Q15" i="1"/>
  <c r="Q135" i="1"/>
  <c r="Q294" i="1"/>
  <c r="Q30" i="1"/>
  <c r="Q78" i="1"/>
  <c r="Q142" i="1"/>
  <c r="Q198" i="1"/>
  <c r="Q37" i="1"/>
  <c r="Q173" i="1"/>
  <c r="Q100" i="1"/>
  <c r="Q139" i="1"/>
  <c r="Q90" i="1"/>
  <c r="Q170" i="1"/>
  <c r="Q25" i="1"/>
  <c r="Q296" i="1"/>
  <c r="Q290" i="1"/>
  <c r="Q269" i="1"/>
  <c r="Q143" i="1"/>
  <c r="Q277" i="1"/>
  <c r="Q86" i="1"/>
  <c r="Q206" i="1"/>
  <c r="Q45" i="1"/>
  <c r="Q213" i="1"/>
  <c r="Q147" i="1"/>
  <c r="Q18" i="1"/>
  <c r="Q178" i="1"/>
  <c r="Q80" i="1"/>
  <c r="Q120" i="1"/>
  <c r="Q208" i="1"/>
  <c r="Q262" i="1"/>
  <c r="Q268" i="1"/>
  <c r="Q156" i="1"/>
  <c r="Q33" i="1"/>
  <c r="Q263" i="1"/>
  <c r="Q95" i="1"/>
  <c r="Q48" i="1"/>
  <c r="Q136" i="1"/>
  <c r="Q286" i="1"/>
  <c r="Q212" i="1"/>
  <c r="Q24" i="1"/>
  <c r="Q157" i="1"/>
  <c r="Q148" i="1"/>
  <c r="Q67" i="1"/>
  <c r="Q203" i="1"/>
  <c r="Q218" i="1"/>
  <c r="Q65" i="1"/>
  <c r="Q161" i="1"/>
  <c r="Q234" i="1"/>
  <c r="Q9" i="1"/>
  <c r="Q73" i="1"/>
  <c r="Q185" i="1"/>
  <c r="Q242" i="1"/>
  <c r="Q47" i="1"/>
  <c r="Q64" i="1"/>
  <c r="Q176" i="1"/>
  <c r="Q151" i="1"/>
  <c r="Q191" i="1"/>
  <c r="Q68" i="1"/>
  <c r="Q14" i="1"/>
  <c r="Q110" i="1"/>
  <c r="Q105" i="1"/>
  <c r="Q61" i="1"/>
  <c r="Q125" i="1"/>
  <c r="Q165" i="1"/>
  <c r="Q205" i="1"/>
  <c r="Q76" i="1"/>
  <c r="Q275" i="1"/>
  <c r="Q35" i="1"/>
  <c r="Q91" i="1"/>
  <c r="Q211" i="1"/>
  <c r="Q251" i="1"/>
  <c r="Q66" i="1"/>
  <c r="Q57" i="1"/>
  <c r="Q159" i="1"/>
  <c r="Q94" i="1"/>
  <c r="Q214" i="1"/>
  <c r="Q49" i="1"/>
  <c r="Q113" i="1"/>
  <c r="Q26" i="1"/>
  <c r="Q202" i="1"/>
  <c r="Q34" i="1"/>
  <c r="Q74" i="1"/>
  <c r="Q163" i="1"/>
  <c r="Q16" i="1"/>
  <c r="Q168" i="1"/>
  <c r="Q238" i="1"/>
  <c r="Q29" i="1"/>
  <c r="Q6" i="1"/>
  <c r="Q8" i="1"/>
  <c r="Q89" i="1"/>
  <c r="Q102" i="1"/>
  <c r="Q158" i="1"/>
  <c r="Q240" i="1"/>
  <c r="Q164" i="1"/>
  <c r="Q41" i="1"/>
  <c r="Q21" i="1"/>
  <c r="Q117" i="1"/>
  <c r="Q108" i="1"/>
  <c r="Q123" i="1"/>
  <c r="Q10" i="1"/>
  <c r="Q58" i="1"/>
  <c r="Q114" i="1"/>
  <c r="Q162" i="1"/>
  <c r="Q225" i="1"/>
  <c r="Q265" i="1"/>
  <c r="Q40" i="1"/>
  <c r="Q96" i="1"/>
  <c r="Q152" i="1"/>
  <c r="Q192" i="1"/>
  <c r="Q293" i="1"/>
  <c r="Q31" i="1"/>
  <c r="Q63" i="1"/>
  <c r="Q111" i="1"/>
  <c r="Q175" i="1"/>
  <c r="Q207" i="1"/>
  <c r="Q241" i="1"/>
  <c r="Q278" i="1"/>
  <c r="Q261" i="1"/>
  <c r="Q124" i="1"/>
  <c r="Q224" i="1"/>
  <c r="Q70" i="1"/>
  <c r="Q190" i="1"/>
  <c r="Q81" i="1"/>
  <c r="Q109" i="1"/>
  <c r="Q44" i="1"/>
  <c r="Q85" i="1"/>
  <c r="Q141" i="1"/>
  <c r="Q189" i="1"/>
  <c r="Q233" i="1"/>
  <c r="Q172" i="1"/>
  <c r="Q243" i="1"/>
  <c r="Q28" i="1"/>
  <c r="Q209" i="1"/>
  <c r="Q115" i="1"/>
  <c r="Q187" i="1"/>
  <c r="Q19" i="1"/>
  <c r="Q146" i="1"/>
  <c r="Q236" i="1"/>
  <c r="Q112" i="1"/>
  <c r="Q87" i="1"/>
  <c r="Q285" i="1"/>
  <c r="Q62" i="1"/>
  <c r="Q166" i="1"/>
  <c r="Q132" i="1"/>
  <c r="Q101" i="1"/>
  <c r="Q12" i="1"/>
  <c r="Q193" i="1"/>
  <c r="Q99" i="1"/>
  <c r="Q179" i="1"/>
  <c r="Q138" i="1"/>
  <c r="Q169" i="1"/>
  <c r="Q50" i="1"/>
  <c r="Q106" i="1"/>
  <c r="Q154" i="1"/>
  <c r="Q210" i="1"/>
  <c r="Q250" i="1"/>
  <c r="Q88" i="1"/>
  <c r="Q79" i="1"/>
  <c r="Q46" i="1"/>
  <c r="Q150" i="1"/>
  <c r="Q20" i="1"/>
  <c r="Q77" i="1"/>
  <c r="Q4" i="1"/>
  <c r="Q201" i="1"/>
  <c r="Q121" i="1"/>
  <c r="Q75" i="1"/>
  <c r="Q171" i="1"/>
  <c r="Q98" i="1"/>
  <c r="Q97" i="1"/>
  <c r="W325" i="1"/>
  <c r="V325" i="1"/>
  <c r="X325" i="1"/>
  <c r="X336" i="1"/>
  <c r="V336" i="1"/>
  <c r="W336" i="1"/>
  <c r="X331" i="1"/>
  <c r="W331" i="1"/>
  <c r="V331" i="1"/>
  <c r="X329" i="1"/>
  <c r="V329" i="1"/>
  <c r="W329" i="1"/>
  <c r="X337" i="1"/>
  <c r="V337" i="1"/>
  <c r="W337" i="1"/>
  <c r="X334" i="1"/>
  <c r="W334" i="1"/>
  <c r="V334" i="1"/>
  <c r="W318" i="1"/>
  <c r="V318" i="1"/>
  <c r="X318" i="1"/>
  <c r="X320" i="1"/>
  <c r="V320" i="1"/>
  <c r="W320" i="1"/>
  <c r="D271" i="1"/>
  <c r="E294" i="1"/>
  <c r="F294" i="1" s="1"/>
  <c r="H294" i="1" s="1"/>
  <c r="I294" i="1" s="1"/>
  <c r="U294" i="1" s="1"/>
  <c r="X311" i="1"/>
  <c r="V311" i="1"/>
  <c r="AJ311" i="1"/>
  <c r="W311" i="1"/>
  <c r="E280" i="1"/>
  <c r="F280" i="1" s="1"/>
  <c r="J280" i="1" s="1"/>
  <c r="K280" i="1" s="1"/>
  <c r="L280" i="1" s="1"/>
  <c r="M280" i="1" s="1"/>
  <c r="E275" i="1"/>
  <c r="F275" i="1" s="1"/>
  <c r="H275" i="1" s="1"/>
  <c r="I275" i="1" s="1"/>
  <c r="D299" i="1"/>
  <c r="AG266" i="1"/>
  <c r="E290" i="1"/>
  <c r="F290" i="1" s="1"/>
  <c r="H290" i="1" s="1"/>
  <c r="I290" i="1" s="1"/>
  <c r="E264" i="1"/>
  <c r="F264" i="1" s="1"/>
  <c r="H264" i="1" s="1"/>
  <c r="I264" i="1" s="1"/>
  <c r="U264" i="1" s="1"/>
  <c r="AG301" i="1"/>
  <c r="AG293" i="1"/>
  <c r="AG285" i="1"/>
  <c r="AG277" i="1"/>
  <c r="AG269" i="1"/>
  <c r="AG261" i="1"/>
  <c r="D257" i="1"/>
  <c r="E276" i="1"/>
  <c r="F276" i="1" s="1"/>
  <c r="J276" i="1" s="1"/>
  <c r="K276" i="1" s="1"/>
  <c r="L276" i="1" s="1"/>
  <c r="M276" i="1" s="1"/>
  <c r="E279" i="1"/>
  <c r="F279" i="1" s="1"/>
  <c r="J279" i="1" s="1"/>
  <c r="K279" i="1" s="1"/>
  <c r="L279" i="1" s="1"/>
  <c r="M279" i="1" s="1"/>
  <c r="AG295" i="1"/>
  <c r="AG279" i="1"/>
  <c r="AG271" i="1"/>
  <c r="AG263" i="1"/>
  <c r="AG255" i="1"/>
  <c r="D293" i="1"/>
  <c r="E288" i="1"/>
  <c r="F288" i="1" s="1"/>
  <c r="J288" i="1" s="1"/>
  <c r="K288" i="1" s="1"/>
  <c r="L288" i="1" s="1"/>
  <c r="M288" i="1" s="1"/>
  <c r="D269" i="1"/>
  <c r="AG273" i="1"/>
  <c r="E281" i="1"/>
  <c r="F281" i="1" s="1"/>
  <c r="H281" i="1" s="1"/>
  <c r="I281" i="1" s="1"/>
  <c r="U281" i="1" s="1"/>
  <c r="AG258" i="1"/>
  <c r="E291" i="1"/>
  <c r="F291" i="1" s="1"/>
  <c r="J291" i="1" s="1"/>
  <c r="K291" i="1" s="1"/>
  <c r="L291" i="1" s="1"/>
  <c r="M291" i="1" s="1"/>
  <c r="AG297" i="1"/>
  <c r="AG289" i="1"/>
  <c r="AG281" i="1"/>
  <c r="AG265" i="1"/>
  <c r="AG257" i="1"/>
  <c r="E285" i="1"/>
  <c r="F285" i="1" s="1"/>
  <c r="U301" i="1"/>
  <c r="D289" i="1"/>
  <c r="E274" i="1"/>
  <c r="F274" i="1" s="1"/>
  <c r="H274" i="1" s="1"/>
  <c r="I274" i="1" s="1"/>
  <c r="U274" i="1" s="1"/>
  <c r="E273" i="1"/>
  <c r="AG286" i="1"/>
  <c r="AG278" i="1"/>
  <c r="AG270" i="1"/>
  <c r="AG294" i="1"/>
  <c r="D298" i="1"/>
  <c r="E295" i="1"/>
  <c r="F295" i="1" s="1"/>
  <c r="J295" i="1" s="1"/>
  <c r="K295" i="1" s="1"/>
  <c r="L295" i="1" s="1"/>
  <c r="M295" i="1" s="1"/>
  <c r="D277" i="1"/>
  <c r="D286" i="1"/>
  <c r="AG275" i="1"/>
  <c r="AG267" i="1"/>
  <c r="AG259" i="1"/>
  <c r="E284" i="1"/>
  <c r="F284" i="1" s="1"/>
  <c r="J284" i="1" s="1"/>
  <c r="K284" i="1" s="1"/>
  <c r="L284" i="1" s="1"/>
  <c r="M284" i="1" s="1"/>
  <c r="F297" i="1"/>
  <c r="H297" i="1" s="1"/>
  <c r="I297" i="1" s="1"/>
  <c r="U297" i="1" s="1"/>
  <c r="F277" i="1"/>
  <c r="J277" i="1" s="1"/>
  <c r="K277" i="1" s="1"/>
  <c r="L277" i="1" s="1"/>
  <c r="M277" i="1" s="1"/>
  <c r="F287" i="1"/>
  <c r="J287" i="1" s="1"/>
  <c r="K287" i="1" s="1"/>
  <c r="L287" i="1" s="1"/>
  <c r="M287" i="1" s="1"/>
  <c r="F296" i="1"/>
  <c r="H296" i="1" s="1"/>
  <c r="I296" i="1" s="1"/>
  <c r="F272" i="1"/>
  <c r="H272" i="1" s="1"/>
  <c r="I272" i="1" s="1"/>
  <c r="F286" i="1"/>
  <c r="H286" i="1" s="1"/>
  <c r="I286" i="1" s="1"/>
  <c r="U286" i="1" s="1"/>
  <c r="F289" i="1"/>
  <c r="H289" i="1" s="1"/>
  <c r="I289" i="1" s="1"/>
  <c r="U289" i="1" s="1"/>
  <c r="F292" i="1"/>
  <c r="H292" i="1" s="1"/>
  <c r="I292" i="1" s="1"/>
  <c r="F298" i="1"/>
  <c r="H298" i="1" s="1"/>
  <c r="I298" i="1" s="1"/>
  <c r="U298" i="1" s="1"/>
  <c r="AG274" i="1"/>
  <c r="AG276" i="1"/>
  <c r="AG282" i="1"/>
  <c r="AG300" i="1"/>
  <c r="AG292" i="1"/>
  <c r="AG284" i="1"/>
  <c r="D296" i="1"/>
  <c r="D287" i="1"/>
  <c r="D272" i="1"/>
  <c r="E282" i="1"/>
  <c r="D292" i="1"/>
  <c r="E278" i="1"/>
  <c r="AG287" i="1"/>
  <c r="D268" i="1"/>
  <c r="AG290" i="1"/>
  <c r="AG296" i="1"/>
  <c r="AG288" i="1"/>
  <c r="AG280" i="1"/>
  <c r="AG272" i="1"/>
  <c r="E283" i="1"/>
  <c r="F299" i="1"/>
  <c r="J299" i="1" s="1"/>
  <c r="K299" i="1" s="1"/>
  <c r="L299" i="1" s="1"/>
  <c r="M299" i="1" s="1"/>
  <c r="D297" i="1"/>
  <c r="AG298" i="1"/>
  <c r="AG299" i="1"/>
  <c r="AG291" i="1"/>
  <c r="AG283" i="1"/>
  <c r="F270" i="1"/>
  <c r="J270" i="1" s="1"/>
  <c r="K270" i="1" s="1"/>
  <c r="L270" i="1" s="1"/>
  <c r="M270" i="1" s="1"/>
  <c r="E256" i="1"/>
  <c r="F256" i="1" s="1"/>
  <c r="J256" i="1" s="1"/>
  <c r="K256" i="1" s="1"/>
  <c r="L256" i="1" s="1"/>
  <c r="M256" i="1" s="1"/>
  <c r="D270" i="1"/>
  <c r="E261" i="1"/>
  <c r="F261" i="1" s="1"/>
  <c r="J261" i="1" s="1"/>
  <c r="K261" i="1" s="1"/>
  <c r="L261" i="1" s="1"/>
  <c r="M261" i="1" s="1"/>
  <c r="D259" i="1"/>
  <c r="D262" i="1"/>
  <c r="D255" i="1"/>
  <c r="F254" i="1"/>
  <c r="H254" i="1" s="1"/>
  <c r="I254" i="1" s="1"/>
  <c r="U254" i="1" s="1"/>
  <c r="F266" i="1"/>
  <c r="H266" i="1" s="1"/>
  <c r="I266" i="1" s="1"/>
  <c r="U266" i="1" s="1"/>
  <c r="F265" i="1"/>
  <c r="J265" i="1" s="1"/>
  <c r="K265" i="1" s="1"/>
  <c r="L265" i="1" s="1"/>
  <c r="M265" i="1" s="1"/>
  <c r="F262" i="1"/>
  <c r="H262" i="1" s="1"/>
  <c r="I262" i="1" s="1"/>
  <c r="U262" i="1" s="1"/>
  <c r="F269" i="1"/>
  <c r="H269" i="1" s="1"/>
  <c r="I269" i="1" s="1"/>
  <c r="F263" i="1"/>
  <c r="J263" i="1" s="1"/>
  <c r="K263" i="1" s="1"/>
  <c r="L263" i="1" s="1"/>
  <c r="M263" i="1" s="1"/>
  <c r="F255" i="1"/>
  <c r="J255" i="1" s="1"/>
  <c r="K255" i="1" s="1"/>
  <c r="L255" i="1" s="1"/>
  <c r="M255" i="1" s="1"/>
  <c r="F259" i="1"/>
  <c r="J259" i="1" s="1"/>
  <c r="K259" i="1" s="1"/>
  <c r="L259" i="1" s="1"/>
  <c r="M259" i="1" s="1"/>
  <c r="D265" i="1"/>
  <c r="E267" i="1"/>
  <c r="AG262" i="1"/>
  <c r="D254" i="1"/>
  <c r="D263" i="1"/>
  <c r="D266" i="1"/>
  <c r="E258" i="1"/>
  <c r="AG264" i="1"/>
  <c r="AG256" i="1"/>
  <c r="H257" i="1"/>
  <c r="I257" i="1" s="1"/>
  <c r="AG268" i="1"/>
  <c r="AG260" i="1"/>
  <c r="AG254" i="1"/>
  <c r="AG253" i="1"/>
  <c r="AG228" i="1"/>
  <c r="H224" i="1"/>
  <c r="I224" i="1" s="1"/>
  <c r="AG247" i="1"/>
  <c r="F246" i="1"/>
  <c r="H246" i="1" s="1"/>
  <c r="I246" i="1" s="1"/>
  <c r="J251" i="1"/>
  <c r="K251" i="1" s="1"/>
  <c r="L251" i="1" s="1"/>
  <c r="M251" i="1" s="1"/>
  <c r="J243" i="1"/>
  <c r="K243" i="1" s="1"/>
  <c r="L243" i="1" s="1"/>
  <c r="M243" i="1" s="1"/>
  <c r="F244" i="1"/>
  <c r="J244" i="1" s="1"/>
  <c r="K244" i="1" s="1"/>
  <c r="L244" i="1" s="1"/>
  <c r="M244" i="1" s="1"/>
  <c r="H222" i="1"/>
  <c r="I222" i="1" s="1"/>
  <c r="U222" i="1" s="1"/>
  <c r="W222" i="1" s="1"/>
  <c r="AG239" i="1"/>
  <c r="AG231" i="1"/>
  <c r="F228" i="1"/>
  <c r="J228" i="1" s="1"/>
  <c r="K228" i="1" s="1"/>
  <c r="L228" i="1" s="1"/>
  <c r="M228" i="1" s="1"/>
  <c r="F226" i="1"/>
  <c r="H226" i="1" s="1"/>
  <c r="I226" i="1" s="1"/>
  <c r="F240" i="1"/>
  <c r="J240" i="1" s="1"/>
  <c r="K240" i="1" s="1"/>
  <c r="L240" i="1" s="1"/>
  <c r="M240" i="1" s="1"/>
  <c r="F236" i="1"/>
  <c r="H236" i="1" s="1"/>
  <c r="I236" i="1" s="1"/>
  <c r="F235" i="1"/>
  <c r="J235" i="1" s="1"/>
  <c r="K235" i="1" s="1"/>
  <c r="L235" i="1" s="1"/>
  <c r="M235" i="1" s="1"/>
  <c r="F219" i="1"/>
  <c r="H219" i="1" s="1"/>
  <c r="I219" i="1" s="1"/>
  <c r="U219" i="1" s="1"/>
  <c r="AG245" i="1"/>
  <c r="AG237" i="1"/>
  <c r="AG229" i="1"/>
  <c r="AG251" i="1"/>
  <c r="AG243" i="1"/>
  <c r="AG235" i="1"/>
  <c r="AG227" i="1"/>
  <c r="AG249" i="1"/>
  <c r="AG241" i="1"/>
  <c r="AG233" i="1"/>
  <c r="AG250" i="1"/>
  <c r="AG242" i="1"/>
  <c r="AG234" i="1"/>
  <c r="AG226" i="1"/>
  <c r="AG224" i="1"/>
  <c r="AG246" i="1"/>
  <c r="AG238" i="1"/>
  <c r="AG230" i="1"/>
  <c r="AG225" i="1"/>
  <c r="AG240" i="1"/>
  <c r="AG248" i="1"/>
  <c r="AG252" i="1"/>
  <c r="AG244" i="1"/>
  <c r="AG236" i="1"/>
  <c r="AG232" i="1"/>
  <c r="E34" i="1"/>
  <c r="F34" i="1" s="1"/>
  <c r="H34" i="1" s="1"/>
  <c r="I34" i="1" s="1"/>
  <c r="F41" i="1"/>
  <c r="J41" i="1" s="1"/>
  <c r="K41" i="1" s="1"/>
  <c r="L41" i="1" s="1"/>
  <c r="M41" i="1" s="1"/>
  <c r="F123" i="1"/>
  <c r="H123" i="1" s="1"/>
  <c r="I123" i="1" s="1"/>
  <c r="E218" i="1"/>
  <c r="F218" i="1" s="1"/>
  <c r="H218" i="1" s="1"/>
  <c r="I218" i="1" s="1"/>
  <c r="U218" i="1" s="1"/>
  <c r="E109" i="1"/>
  <c r="E93" i="1"/>
  <c r="E121" i="1"/>
  <c r="E136" i="1"/>
  <c r="AG100" i="1"/>
  <c r="E75" i="1"/>
  <c r="E164" i="1"/>
  <c r="E155" i="1"/>
  <c r="E147" i="1"/>
  <c r="AG164" i="1"/>
  <c r="H245" i="1"/>
  <c r="I245" i="1" s="1"/>
  <c r="E110" i="1"/>
  <c r="F110" i="1" s="1"/>
  <c r="H110" i="1" s="1"/>
  <c r="I110" i="1" s="1"/>
  <c r="E63" i="1"/>
  <c r="F63" i="1" s="1"/>
  <c r="H63" i="1" s="1"/>
  <c r="I63" i="1" s="1"/>
  <c r="J257" i="1"/>
  <c r="K257" i="1" s="1"/>
  <c r="L257" i="1" s="1"/>
  <c r="M257" i="1" s="1"/>
  <c r="E168" i="1"/>
  <c r="F168" i="1" s="1"/>
  <c r="H168" i="1" s="1"/>
  <c r="I168" i="1" s="1"/>
  <c r="H243" i="1"/>
  <c r="I243" i="1" s="1"/>
  <c r="J245" i="1"/>
  <c r="K245" i="1" s="1"/>
  <c r="L245" i="1" s="1"/>
  <c r="M245" i="1" s="1"/>
  <c r="H260" i="1"/>
  <c r="I260" i="1" s="1"/>
  <c r="J260" i="1"/>
  <c r="K260" i="1" s="1"/>
  <c r="L260" i="1" s="1"/>
  <c r="M260" i="1" s="1"/>
  <c r="J271" i="1"/>
  <c r="K271" i="1" s="1"/>
  <c r="L271" i="1" s="1"/>
  <c r="M271" i="1" s="1"/>
  <c r="H271" i="1"/>
  <c r="I271" i="1" s="1"/>
  <c r="U271" i="1" s="1"/>
  <c r="AJ271" i="1" s="1"/>
  <c r="J247" i="1"/>
  <c r="K247" i="1" s="1"/>
  <c r="L247" i="1" s="1"/>
  <c r="M247" i="1" s="1"/>
  <c r="H247" i="1"/>
  <c r="I247" i="1" s="1"/>
  <c r="J230" i="1"/>
  <c r="K230" i="1" s="1"/>
  <c r="L230" i="1" s="1"/>
  <c r="M230" i="1" s="1"/>
  <c r="H230" i="1"/>
  <c r="I230" i="1" s="1"/>
  <c r="U230" i="1" s="1"/>
  <c r="J238" i="1"/>
  <c r="K238" i="1" s="1"/>
  <c r="L238" i="1" s="1"/>
  <c r="M238" i="1" s="1"/>
  <c r="H238" i="1"/>
  <c r="I238" i="1" s="1"/>
  <c r="H227" i="1"/>
  <c r="I227" i="1" s="1"/>
  <c r="J227" i="1"/>
  <c r="K227" i="1" s="1"/>
  <c r="L227" i="1" s="1"/>
  <c r="M227" i="1" s="1"/>
  <c r="E69" i="1"/>
  <c r="F69" i="1" s="1"/>
  <c r="J69" i="1" s="1"/>
  <c r="K69" i="1" s="1"/>
  <c r="L69" i="1" s="1"/>
  <c r="M69" i="1" s="1"/>
  <c r="H241" i="1"/>
  <c r="I241" i="1" s="1"/>
  <c r="U241" i="1" s="1"/>
  <c r="V241" i="1" s="1"/>
  <c r="J241" i="1"/>
  <c r="K241" i="1" s="1"/>
  <c r="L241" i="1" s="1"/>
  <c r="M241" i="1" s="1"/>
  <c r="H251" i="1"/>
  <c r="I251" i="1" s="1"/>
  <c r="J242" i="1"/>
  <c r="K242" i="1" s="1"/>
  <c r="L242" i="1" s="1"/>
  <c r="M242" i="1" s="1"/>
  <c r="H242" i="1"/>
  <c r="I242" i="1" s="1"/>
  <c r="U242" i="1" s="1"/>
  <c r="H250" i="1"/>
  <c r="I250" i="1" s="1"/>
  <c r="J250" i="1"/>
  <c r="K250" i="1" s="1"/>
  <c r="L250" i="1" s="1"/>
  <c r="M250" i="1" s="1"/>
  <c r="H232" i="1"/>
  <c r="I232" i="1" s="1"/>
  <c r="U232" i="1" s="1"/>
  <c r="J232" i="1"/>
  <c r="K232" i="1" s="1"/>
  <c r="L232" i="1" s="1"/>
  <c r="M232" i="1" s="1"/>
  <c r="J222" i="1"/>
  <c r="K222" i="1" s="1"/>
  <c r="L222" i="1" s="1"/>
  <c r="M222" i="1" s="1"/>
  <c r="H239" i="1"/>
  <c r="I239" i="1" s="1"/>
  <c r="J239" i="1"/>
  <c r="K239" i="1" s="1"/>
  <c r="L239" i="1" s="1"/>
  <c r="M239" i="1" s="1"/>
  <c r="H249" i="1"/>
  <c r="I249" i="1" s="1"/>
  <c r="J249" i="1"/>
  <c r="K249" i="1" s="1"/>
  <c r="L249" i="1" s="1"/>
  <c r="M249" i="1" s="1"/>
  <c r="H248" i="1"/>
  <c r="I248" i="1" s="1"/>
  <c r="U248" i="1" s="1"/>
  <c r="J248" i="1"/>
  <c r="K248" i="1" s="1"/>
  <c r="L248" i="1" s="1"/>
  <c r="M248" i="1" s="1"/>
  <c r="J233" i="1"/>
  <c r="K233" i="1" s="1"/>
  <c r="L233" i="1" s="1"/>
  <c r="M233" i="1" s="1"/>
  <c r="H233" i="1"/>
  <c r="I233" i="1" s="1"/>
  <c r="J293" i="1"/>
  <c r="K293" i="1" s="1"/>
  <c r="L293" i="1" s="1"/>
  <c r="M293" i="1" s="1"/>
  <c r="H293" i="1"/>
  <c r="I293" i="1" s="1"/>
  <c r="J221" i="1"/>
  <c r="K221" i="1" s="1"/>
  <c r="L221" i="1" s="1"/>
  <c r="M221" i="1" s="1"/>
  <c r="H221" i="1"/>
  <c r="I221" i="1" s="1"/>
  <c r="U221" i="1" s="1"/>
  <c r="H252" i="1"/>
  <c r="I252" i="1" s="1"/>
  <c r="J252" i="1"/>
  <c r="K252" i="1" s="1"/>
  <c r="L252" i="1" s="1"/>
  <c r="M252" i="1" s="1"/>
  <c r="J253" i="1"/>
  <c r="K253" i="1" s="1"/>
  <c r="L253" i="1" s="1"/>
  <c r="M253" i="1" s="1"/>
  <c r="H253" i="1"/>
  <c r="I253" i="1" s="1"/>
  <c r="J229" i="1"/>
  <c r="K229" i="1" s="1"/>
  <c r="L229" i="1" s="1"/>
  <c r="M229" i="1" s="1"/>
  <c r="H229" i="1"/>
  <c r="I229" i="1" s="1"/>
  <c r="H280" i="1"/>
  <c r="I280" i="1" s="1"/>
  <c r="U280" i="1" s="1"/>
  <c r="J268" i="1"/>
  <c r="K268" i="1" s="1"/>
  <c r="L268" i="1" s="1"/>
  <c r="M268" i="1" s="1"/>
  <c r="H268" i="1"/>
  <c r="I268" i="1" s="1"/>
  <c r="J224" i="1"/>
  <c r="K224" i="1" s="1"/>
  <c r="L224" i="1" s="1"/>
  <c r="M224" i="1" s="1"/>
  <c r="J223" i="1"/>
  <c r="K223" i="1" s="1"/>
  <c r="L223" i="1" s="1"/>
  <c r="M223" i="1" s="1"/>
  <c r="H223" i="1"/>
  <c r="I223" i="1" s="1"/>
  <c r="H220" i="1"/>
  <c r="I220" i="1" s="1"/>
  <c r="U220" i="1" s="1"/>
  <c r="J220" i="1"/>
  <c r="K220" i="1" s="1"/>
  <c r="L220" i="1" s="1"/>
  <c r="M220" i="1" s="1"/>
  <c r="H231" i="1"/>
  <c r="I231" i="1" s="1"/>
  <c r="U231" i="1" s="1"/>
  <c r="J231" i="1"/>
  <c r="K231" i="1" s="1"/>
  <c r="L231" i="1" s="1"/>
  <c r="M231" i="1" s="1"/>
  <c r="E97" i="1"/>
  <c r="F97" i="1" s="1"/>
  <c r="H97" i="1" s="1"/>
  <c r="I97" i="1" s="1"/>
  <c r="J294" i="1"/>
  <c r="K294" i="1" s="1"/>
  <c r="L294" i="1" s="1"/>
  <c r="M294" i="1" s="1"/>
  <c r="J234" i="1"/>
  <c r="K234" i="1" s="1"/>
  <c r="L234" i="1" s="1"/>
  <c r="M234" i="1" s="1"/>
  <c r="H234" i="1"/>
  <c r="I234" i="1" s="1"/>
  <c r="H225" i="1"/>
  <c r="I225" i="1" s="1"/>
  <c r="J225" i="1"/>
  <c r="K225" i="1" s="1"/>
  <c r="L225" i="1" s="1"/>
  <c r="M225" i="1" s="1"/>
  <c r="J237" i="1"/>
  <c r="K237" i="1" s="1"/>
  <c r="L237" i="1" s="1"/>
  <c r="M237" i="1" s="1"/>
  <c r="H237" i="1"/>
  <c r="I237" i="1" s="1"/>
  <c r="U237" i="1" s="1"/>
  <c r="E37" i="1"/>
  <c r="F37" i="1" s="1"/>
  <c r="E146" i="1"/>
  <c r="F146" i="1" s="1"/>
  <c r="E103" i="1"/>
  <c r="F103" i="1" s="1"/>
  <c r="J103" i="1" s="1"/>
  <c r="K103" i="1" s="1"/>
  <c r="L103" i="1" s="1"/>
  <c r="M103" i="1" s="1"/>
  <c r="E173" i="1"/>
  <c r="E170" i="1"/>
  <c r="E44" i="1"/>
  <c r="F44" i="1" s="1"/>
  <c r="J44" i="1" s="1"/>
  <c r="K44" i="1" s="1"/>
  <c r="L44" i="1" s="1"/>
  <c r="M44" i="1" s="1"/>
  <c r="E186" i="1"/>
  <c r="E183" i="1"/>
  <c r="F183" i="1" s="1"/>
  <c r="H183" i="1" s="1"/>
  <c r="I183" i="1" s="1"/>
  <c r="E153" i="1"/>
  <c r="F153" i="1" s="1"/>
  <c r="E169" i="1"/>
  <c r="F169" i="1" s="1"/>
  <c r="H169" i="1" s="1"/>
  <c r="E139" i="1"/>
  <c r="F139" i="1" s="1"/>
  <c r="J139" i="1" s="1"/>
  <c r="K139" i="1" s="1"/>
  <c r="L139" i="1" s="1"/>
  <c r="M139" i="1" s="1"/>
  <c r="H167" i="1"/>
  <c r="I167" i="1" s="1"/>
  <c r="J167" i="1"/>
  <c r="K167" i="1" s="1"/>
  <c r="L167" i="1" s="1"/>
  <c r="M167" i="1" s="1"/>
  <c r="H198" i="1"/>
  <c r="I198" i="1" s="1"/>
  <c r="J198" i="1"/>
  <c r="K198" i="1" s="1"/>
  <c r="L198" i="1" s="1"/>
  <c r="M198" i="1" s="1"/>
  <c r="J161" i="1"/>
  <c r="K161" i="1" s="1"/>
  <c r="L161" i="1" s="1"/>
  <c r="M161" i="1" s="1"/>
  <c r="H161" i="1"/>
  <c r="I161" i="1" s="1"/>
  <c r="J178" i="1"/>
  <c r="K178" i="1" s="1"/>
  <c r="L178" i="1" s="1"/>
  <c r="M178" i="1" s="1"/>
  <c r="H178" i="1"/>
  <c r="I178" i="1" s="1"/>
  <c r="J70" i="1"/>
  <c r="K70" i="1" s="1"/>
  <c r="L70" i="1" s="1"/>
  <c r="M70" i="1" s="1"/>
  <c r="H70" i="1"/>
  <c r="I70" i="1" s="1"/>
  <c r="H4" i="1"/>
  <c r="I4" i="1" s="1"/>
  <c r="J4" i="1"/>
  <c r="K4" i="1" s="1"/>
  <c r="L4" i="1" s="1"/>
  <c r="M4" i="1" s="1"/>
  <c r="R4" i="1" s="1"/>
  <c r="J125" i="1"/>
  <c r="K125" i="1" s="1"/>
  <c r="L125" i="1" s="1"/>
  <c r="M125" i="1" s="1"/>
  <c r="H125" i="1"/>
  <c r="I125" i="1" s="1"/>
  <c r="J126" i="1"/>
  <c r="K126" i="1" s="1"/>
  <c r="L126" i="1" s="1"/>
  <c r="M126" i="1" s="1"/>
  <c r="H126" i="1"/>
  <c r="I126" i="1" s="1"/>
  <c r="J58" i="1"/>
  <c r="K58" i="1" s="1"/>
  <c r="L58" i="1" s="1"/>
  <c r="M58" i="1" s="1"/>
  <c r="H58" i="1"/>
  <c r="I58" i="1" s="1"/>
  <c r="J53" i="1"/>
  <c r="K53" i="1" s="1"/>
  <c r="L53" i="1" s="1"/>
  <c r="M53" i="1" s="1"/>
  <c r="H53" i="1"/>
  <c r="I53" i="1" s="1"/>
  <c r="H59" i="1"/>
  <c r="I59" i="1" s="1"/>
  <c r="AG170" i="1"/>
  <c r="I79" i="1"/>
  <c r="J79" i="1"/>
  <c r="K79" i="1" s="1"/>
  <c r="L79" i="1" s="1"/>
  <c r="M79" i="1" s="1"/>
  <c r="J100" i="1"/>
  <c r="K100" i="1" s="1"/>
  <c r="L100" i="1" s="1"/>
  <c r="M100" i="1" s="1"/>
  <c r="H100" i="1"/>
  <c r="I100" i="1" s="1"/>
  <c r="J166" i="1"/>
  <c r="K166" i="1" s="1"/>
  <c r="L166" i="1" s="1"/>
  <c r="M166" i="1" s="1"/>
  <c r="H166" i="1"/>
  <c r="I166" i="1" s="1"/>
  <c r="J94" i="1"/>
  <c r="K94" i="1" s="1"/>
  <c r="L94" i="1" s="1"/>
  <c r="M94" i="1" s="1"/>
  <c r="H94" i="1"/>
  <c r="I94" i="1" s="1"/>
  <c r="J77" i="1"/>
  <c r="K77" i="1" s="1"/>
  <c r="L77" i="1" s="1"/>
  <c r="M77" i="1" s="1"/>
  <c r="H77" i="1"/>
  <c r="I77" i="1" s="1"/>
  <c r="J210" i="1"/>
  <c r="K210" i="1" s="1"/>
  <c r="L210" i="1" s="1"/>
  <c r="M210" i="1" s="1"/>
  <c r="H210" i="1"/>
  <c r="I210" i="1" s="1"/>
  <c r="J145" i="1"/>
  <c r="K145" i="1" s="1"/>
  <c r="L145" i="1" s="1"/>
  <c r="M145" i="1" s="1"/>
  <c r="H145" i="1"/>
  <c r="I145" i="1" s="1"/>
  <c r="J59" i="1"/>
  <c r="K59" i="1" s="1"/>
  <c r="L59" i="1" s="1"/>
  <c r="M59" i="1" s="1"/>
  <c r="J101" i="1"/>
  <c r="K101" i="1" s="1"/>
  <c r="L101" i="1" s="1"/>
  <c r="M101" i="1" s="1"/>
  <c r="H101" i="1"/>
  <c r="I101" i="1" s="1"/>
  <c r="J203" i="1"/>
  <c r="K203" i="1" s="1"/>
  <c r="L203" i="1" s="1"/>
  <c r="M203" i="1" s="1"/>
  <c r="H203" i="1"/>
  <c r="I203" i="1" s="1"/>
  <c r="J114" i="1"/>
  <c r="K114" i="1" s="1"/>
  <c r="L114" i="1" s="1"/>
  <c r="M114" i="1" s="1"/>
  <c r="H114" i="1"/>
  <c r="I114" i="1" s="1"/>
  <c r="J91" i="1"/>
  <c r="K91" i="1" s="1"/>
  <c r="L91" i="1" s="1"/>
  <c r="M91" i="1" s="1"/>
  <c r="H91" i="1"/>
  <c r="I91" i="1" s="1"/>
  <c r="H215" i="1"/>
  <c r="I215" i="1" s="1"/>
  <c r="U215" i="1" s="1"/>
  <c r="J215" i="1"/>
  <c r="K215" i="1" s="1"/>
  <c r="L215" i="1" s="1"/>
  <c r="M215" i="1" s="1"/>
  <c r="AG186" i="1"/>
  <c r="J181" i="1"/>
  <c r="K181" i="1" s="1"/>
  <c r="L181" i="1" s="1"/>
  <c r="M181" i="1" s="1"/>
  <c r="H181" i="1"/>
  <c r="I181" i="1" s="1"/>
  <c r="H111" i="1"/>
  <c r="I111" i="1" s="1"/>
  <c r="J111" i="1"/>
  <c r="K111" i="1" s="1"/>
  <c r="L111" i="1" s="1"/>
  <c r="M111" i="1" s="1"/>
  <c r="J177" i="1"/>
  <c r="K177" i="1" s="1"/>
  <c r="L177" i="1" s="1"/>
  <c r="M177" i="1" s="1"/>
  <c r="H177" i="1"/>
  <c r="I177" i="1" s="1"/>
  <c r="J48" i="1"/>
  <c r="K48" i="1" s="1"/>
  <c r="L48" i="1" s="1"/>
  <c r="M48" i="1" s="1"/>
  <c r="H48" i="1"/>
  <c r="I48" i="1" s="1"/>
  <c r="U48" i="1" s="1"/>
  <c r="H61" i="1"/>
  <c r="I61" i="1" s="1"/>
  <c r="J25" i="1"/>
  <c r="K25" i="1" s="1"/>
  <c r="L25" i="1" s="1"/>
  <c r="M25" i="1" s="1"/>
  <c r="H25" i="1"/>
  <c r="I25" i="1" s="1"/>
  <c r="E165" i="1"/>
  <c r="F165" i="1" s="1"/>
  <c r="E15" i="1"/>
  <c r="F15" i="1" s="1"/>
  <c r="E105" i="1"/>
  <c r="F105" i="1" s="1"/>
  <c r="E191" i="1"/>
  <c r="F191" i="1" s="1"/>
  <c r="E119" i="1"/>
  <c r="F119" i="1" s="1"/>
  <c r="E138" i="1"/>
  <c r="F138" i="1" s="1"/>
  <c r="E7" i="1"/>
  <c r="E192" i="1"/>
  <c r="F192" i="1" s="1"/>
  <c r="E205" i="1"/>
  <c r="F205" i="1" s="1"/>
  <c r="AG172" i="1"/>
  <c r="E209" i="1"/>
  <c r="F209" i="1" s="1"/>
  <c r="E152" i="1"/>
  <c r="F152" i="1" s="1"/>
  <c r="E175" i="1"/>
  <c r="F175" i="1" s="1"/>
  <c r="E82" i="1"/>
  <c r="F82" i="1" s="1"/>
  <c r="E14" i="1"/>
  <c r="F14" i="1" s="1"/>
  <c r="E202" i="1"/>
  <c r="F202" i="1" s="1"/>
  <c r="E19" i="1"/>
  <c r="F19" i="1" s="1"/>
  <c r="E133" i="1"/>
  <c r="F133" i="1" s="1"/>
  <c r="E193" i="1"/>
  <c r="F193" i="1" s="1"/>
  <c r="E72" i="1"/>
  <c r="F72" i="1" s="1"/>
  <c r="E21" i="1"/>
  <c r="F21" i="1" s="1"/>
  <c r="E201" i="1"/>
  <c r="F201" i="1" s="1"/>
  <c r="E26" i="1"/>
  <c r="F26" i="1" s="1"/>
  <c r="E51" i="1"/>
  <c r="F51" i="1" s="1"/>
  <c r="E88" i="1"/>
  <c r="F88" i="1" s="1"/>
  <c r="E104" i="1"/>
  <c r="F104" i="1" s="1"/>
  <c r="E87" i="1"/>
  <c r="F87" i="1" s="1"/>
  <c r="E90" i="1"/>
  <c r="F90" i="1" s="1"/>
  <c r="E115" i="1"/>
  <c r="F115" i="1" s="1"/>
  <c r="E134" i="1"/>
  <c r="F134" i="1" s="1"/>
  <c r="E18" i="1"/>
  <c r="F18" i="1" s="1"/>
  <c r="E131" i="1"/>
  <c r="F131" i="1" s="1"/>
  <c r="E174" i="1"/>
  <c r="F174" i="1" s="1"/>
  <c r="E189" i="1"/>
  <c r="F189" i="1" s="1"/>
  <c r="E157" i="1"/>
  <c r="F157" i="1" s="1"/>
  <c r="E185" i="1"/>
  <c r="F185" i="1" s="1"/>
  <c r="E17" i="1"/>
  <c r="F17" i="1" s="1"/>
  <c r="E172" i="1"/>
  <c r="F172" i="1" s="1"/>
  <c r="E47" i="1"/>
  <c r="F47" i="1" s="1"/>
  <c r="E144" i="1"/>
  <c r="F144" i="1" s="1"/>
  <c r="E20" i="1"/>
  <c r="F20" i="1" s="1"/>
  <c r="E130" i="1"/>
  <c r="F130" i="1" s="1"/>
  <c r="E158" i="1"/>
  <c r="F158" i="1" s="1"/>
  <c r="E117" i="1"/>
  <c r="F117" i="1" s="1"/>
  <c r="E62" i="1"/>
  <c r="F62" i="1" s="1"/>
  <c r="E85" i="1"/>
  <c r="F85" i="1" s="1"/>
  <c r="E142" i="1"/>
  <c r="F142" i="1" s="1"/>
  <c r="E68" i="1"/>
  <c r="F68" i="1" s="1"/>
  <c r="E176" i="1"/>
  <c r="F176" i="1" s="1"/>
  <c r="E92" i="1"/>
  <c r="F92" i="1" s="1"/>
  <c r="E182" i="1"/>
  <c r="F182" i="1" s="1"/>
  <c r="E151" i="1"/>
  <c r="F151" i="1" s="1"/>
  <c r="E204" i="1"/>
  <c r="F204" i="1" s="1"/>
  <c r="E180" i="1"/>
  <c r="F180" i="1" s="1"/>
  <c r="E163" i="1"/>
  <c r="F163" i="1" s="1"/>
  <c r="E5" i="1"/>
  <c r="F5" i="1" s="1"/>
  <c r="E135" i="1"/>
  <c r="F135" i="1" s="1"/>
  <c r="E206" i="1"/>
  <c r="F206" i="1" s="1"/>
  <c r="E184" i="1"/>
  <c r="F184" i="1" s="1"/>
  <c r="E212" i="1"/>
  <c r="F212" i="1" s="1"/>
  <c r="E124" i="1"/>
  <c r="F124" i="1" s="1"/>
  <c r="E27" i="1"/>
  <c r="F27" i="1" s="1"/>
  <c r="E96" i="1"/>
  <c r="F96" i="1" s="1"/>
  <c r="E60" i="1"/>
  <c r="F60" i="1" s="1"/>
  <c r="E22" i="1"/>
  <c r="F22" i="1" s="1"/>
  <c r="E43" i="1"/>
  <c r="F43" i="1" s="1"/>
  <c r="E40" i="1"/>
  <c r="F40" i="1" s="1"/>
  <c r="E80" i="1"/>
  <c r="F80" i="1" s="1"/>
  <c r="E50" i="1"/>
  <c r="F50" i="1" s="1"/>
  <c r="E81" i="1"/>
  <c r="F81" i="1" s="1"/>
  <c r="E208" i="1"/>
  <c r="F208" i="1" s="1"/>
  <c r="E10" i="1"/>
  <c r="F10" i="1" s="1"/>
  <c r="E71" i="1"/>
  <c r="F71" i="1" s="1"/>
  <c r="E64" i="1"/>
  <c r="E148" i="1"/>
  <c r="F148" i="1" s="1"/>
  <c r="E32" i="1"/>
  <c r="F32" i="1" s="1"/>
  <c r="E8" i="1"/>
  <c r="F8" i="1" s="1"/>
  <c r="E99" i="1"/>
  <c r="F99" i="1" s="1"/>
  <c r="E150" i="1"/>
  <c r="F150" i="1" s="1"/>
  <c r="E188" i="1"/>
  <c r="F188" i="1" s="1"/>
  <c r="E39" i="1"/>
  <c r="F39" i="1" s="1"/>
  <c r="E190" i="1"/>
  <c r="F190" i="1" s="1"/>
  <c r="E108" i="1"/>
  <c r="F108" i="1" s="1"/>
  <c r="E140" i="1"/>
  <c r="F140" i="1" s="1"/>
  <c r="E84" i="1"/>
  <c r="F84" i="1" s="1"/>
  <c r="E56" i="1"/>
  <c r="F56" i="1" s="1"/>
  <c r="E31" i="1"/>
  <c r="F31" i="1" s="1"/>
  <c r="E156" i="1"/>
  <c r="F156" i="1" s="1"/>
  <c r="E28" i="1"/>
  <c r="F28" i="1" s="1"/>
  <c r="E116" i="1"/>
  <c r="E128" i="1"/>
  <c r="F128" i="1" s="1"/>
  <c r="E95" i="1"/>
  <c r="F95" i="1" s="1"/>
  <c r="E200" i="1"/>
  <c r="E6" i="1"/>
  <c r="F6" i="1" s="1"/>
  <c r="E29" i="1"/>
  <c r="F29" i="1" s="1"/>
  <c r="E107" i="1"/>
  <c r="F107" i="1" s="1"/>
  <c r="E159" i="1"/>
  <c r="F159" i="1" s="1"/>
  <c r="E195" i="1"/>
  <c r="F195" i="1" s="1"/>
  <c r="E196" i="1"/>
  <c r="F196" i="1" s="1"/>
  <c r="E112" i="1"/>
  <c r="F112" i="1" s="1"/>
  <c r="E74" i="1"/>
  <c r="F74" i="1" s="1"/>
  <c r="E24" i="1"/>
  <c r="F24" i="1" s="1"/>
  <c r="E160" i="1"/>
  <c r="F160" i="1" s="1"/>
  <c r="E36" i="1"/>
  <c r="F36" i="1" s="1"/>
  <c r="E120" i="1"/>
  <c r="F120" i="1" s="1"/>
  <c r="E55" i="1"/>
  <c r="F55" i="1" s="1"/>
  <c r="E217" i="1"/>
  <c r="E42" i="1"/>
  <c r="F42" i="1" s="1"/>
  <c r="E12" i="1"/>
  <c r="F12" i="1" s="1"/>
  <c r="E16" i="1"/>
  <c r="F16" i="1" s="1"/>
  <c r="E132" i="1"/>
  <c r="F132" i="1" s="1"/>
  <c r="E122" i="1"/>
  <c r="F122" i="1" s="1"/>
  <c r="E216" i="1"/>
  <c r="F216" i="1" s="1"/>
  <c r="E118" i="1"/>
  <c r="F118" i="1" s="1"/>
  <c r="E98" i="1"/>
  <c r="E162" i="1"/>
  <c r="F162" i="1" s="1"/>
  <c r="E66" i="1"/>
  <c r="F66" i="1" s="1"/>
  <c r="E194" i="1"/>
  <c r="F194" i="1" s="1"/>
  <c r="E214" i="1"/>
  <c r="F214" i="1" s="1"/>
  <c r="AG204" i="1"/>
  <c r="AG11" i="1"/>
  <c r="AG212" i="1"/>
  <c r="AG196" i="1"/>
  <c r="F171" i="1"/>
  <c r="F89" i="1"/>
  <c r="F33" i="1"/>
  <c r="F57" i="1"/>
  <c r="F211" i="1"/>
  <c r="E11" i="1"/>
  <c r="E83" i="1"/>
  <c r="E35" i="1"/>
  <c r="E137" i="1"/>
  <c r="E199" i="1"/>
  <c r="E129" i="1"/>
  <c r="E102" i="1"/>
  <c r="E106" i="1"/>
  <c r="E54" i="1"/>
  <c r="F13" i="1"/>
  <c r="E46" i="1"/>
  <c r="E38" i="1"/>
  <c r="F23" i="1"/>
  <c r="E86" i="1"/>
  <c r="E76" i="1"/>
  <c r="E207" i="1"/>
  <c r="E149" i="1"/>
  <c r="E197" i="1"/>
  <c r="E52" i="1"/>
  <c r="E73" i="1"/>
  <c r="F78" i="1"/>
  <c r="F143" i="1"/>
  <c r="E141" i="1"/>
  <c r="E30" i="1"/>
  <c r="E49" i="1"/>
  <c r="E67" i="1"/>
  <c r="F113" i="1"/>
  <c r="F213" i="1"/>
  <c r="E9" i="1"/>
  <c r="E65" i="1"/>
  <c r="F45" i="1"/>
  <c r="F154" i="1"/>
  <c r="E179" i="1"/>
  <c r="F127" i="1"/>
  <c r="E187" i="1"/>
  <c r="AG211" i="1"/>
  <c r="AG203" i="1"/>
  <c r="AG195" i="1"/>
  <c r="AG187" i="1"/>
  <c r="AG179" i="1"/>
  <c r="AG171" i="1"/>
  <c r="AG163" i="1"/>
  <c r="AG83" i="1"/>
  <c r="AG178" i="1"/>
  <c r="AG162" i="1"/>
  <c r="AG106" i="1"/>
  <c r="AG18" i="1"/>
  <c r="AG210" i="1"/>
  <c r="AG202" i="1"/>
  <c r="AG194" i="1"/>
  <c r="AG207" i="1"/>
  <c r="AG199" i="1"/>
  <c r="AG208" i="1"/>
  <c r="AG201" i="1"/>
  <c r="AG185" i="1"/>
  <c r="AG174" i="1"/>
  <c r="AG222" i="1"/>
  <c r="AG206" i="1"/>
  <c r="AG198" i="1"/>
  <c r="AG192" i="1"/>
  <c r="AG213" i="1"/>
  <c r="AG205" i="1"/>
  <c r="AG197" i="1"/>
  <c r="AG209" i="1"/>
  <c r="AG200" i="1"/>
  <c r="AG223" i="1"/>
  <c r="AG189" i="1"/>
  <c r="AG181" i="1"/>
  <c r="AG188" i="1"/>
  <c r="AG180" i="1"/>
  <c r="AG182" i="1"/>
  <c r="AG191" i="1"/>
  <c r="AG190" i="1"/>
  <c r="AG96" i="1"/>
  <c r="AG169" i="1"/>
  <c r="AG193" i="1"/>
  <c r="AG177" i="1"/>
  <c r="AG184" i="1"/>
  <c r="AG176" i="1"/>
  <c r="AG183" i="1"/>
  <c r="AG175" i="1"/>
  <c r="AG165" i="1"/>
  <c r="AG101" i="1"/>
  <c r="AG173" i="1"/>
  <c r="AG167" i="1"/>
  <c r="AG166" i="1"/>
  <c r="AG168" i="1"/>
  <c r="AG145" i="1"/>
  <c r="AG129" i="1"/>
  <c r="AG121" i="1"/>
  <c r="AG113" i="1"/>
  <c r="AG161" i="1"/>
  <c r="AG158" i="1"/>
  <c r="AG127" i="1"/>
  <c r="AG144" i="1"/>
  <c r="AG157" i="1"/>
  <c r="AG135" i="1"/>
  <c r="AG149" i="1"/>
  <c r="AG141" i="1"/>
  <c r="AG159" i="1"/>
  <c r="AG156" i="1"/>
  <c r="AG119" i="1"/>
  <c r="AG150" i="1"/>
  <c r="AG102" i="1"/>
  <c r="AG160" i="1"/>
  <c r="AV6" i="1"/>
  <c r="AW6" i="1" s="1"/>
  <c r="AG148" i="1"/>
  <c r="AG155" i="1"/>
  <c r="AG146" i="1"/>
  <c r="AG153" i="1"/>
  <c r="AG154" i="1"/>
  <c r="AG107" i="1"/>
  <c r="AG147" i="1"/>
  <c r="AG151" i="1"/>
  <c r="AG143" i="1"/>
  <c r="AG142" i="1"/>
  <c r="AG152" i="1"/>
  <c r="AO5" i="1"/>
  <c r="AN6" i="1"/>
  <c r="AM7" i="1"/>
  <c r="AG130" i="1"/>
  <c r="AG124" i="1"/>
  <c r="AG108" i="1"/>
  <c r="AG122" i="1"/>
  <c r="AG114" i="1"/>
  <c r="AG26" i="1"/>
  <c r="AG136" i="1"/>
  <c r="AG128" i="1"/>
  <c r="AG138" i="1"/>
  <c r="AG140" i="1"/>
  <c r="AG117" i="1"/>
  <c r="AG29" i="1"/>
  <c r="AG132" i="1"/>
  <c r="AG116" i="1"/>
  <c r="AG120" i="1"/>
  <c r="AG16" i="1"/>
  <c r="AG134" i="1"/>
  <c r="AG126" i="1"/>
  <c r="AG118" i="1"/>
  <c r="AG133" i="1"/>
  <c r="AG125" i="1"/>
  <c r="AG139" i="1"/>
  <c r="AG131" i="1"/>
  <c r="AG123" i="1"/>
  <c r="AG115" i="1"/>
  <c r="AG137" i="1"/>
  <c r="AG111" i="1"/>
  <c r="AG103" i="1"/>
  <c r="AG95" i="1"/>
  <c r="AG39" i="1"/>
  <c r="AG109" i="1"/>
  <c r="AG84" i="1"/>
  <c r="AG51" i="1"/>
  <c r="AG4" i="1"/>
  <c r="AG66" i="1"/>
  <c r="AZ9" i="1"/>
  <c r="BA9" i="1" s="1"/>
  <c r="BB9" i="1" s="1"/>
  <c r="BA10" i="1"/>
  <c r="BB10" i="1" s="1"/>
  <c r="BA11" i="1"/>
  <c r="BB11" i="1" s="1"/>
  <c r="AG98" i="1"/>
  <c r="AG88" i="1"/>
  <c r="AG56" i="1"/>
  <c r="AG105" i="1"/>
  <c r="AG97" i="1"/>
  <c r="AG99" i="1"/>
  <c r="AG63" i="1"/>
  <c r="AG112" i="1"/>
  <c r="AG104" i="1"/>
  <c r="AG93" i="1"/>
  <c r="AG110" i="1"/>
  <c r="AG92" i="1"/>
  <c r="AG12" i="1"/>
  <c r="AG72" i="1"/>
  <c r="AG31" i="1"/>
  <c r="AG76" i="1"/>
  <c r="AG68" i="1"/>
  <c r="AG52" i="1"/>
  <c r="AG80" i="1"/>
  <c r="AG78" i="1"/>
  <c r="AG79" i="1"/>
  <c r="AG42" i="1"/>
  <c r="AG48" i="1"/>
  <c r="AG38" i="1"/>
  <c r="AG35" i="1"/>
  <c r="AG6" i="1"/>
  <c r="AG71" i="1"/>
  <c r="AG55" i="1"/>
  <c r="AG40" i="1"/>
  <c r="AG37" i="1"/>
  <c r="AG70" i="1"/>
  <c r="AG69" i="1"/>
  <c r="AG67" i="1"/>
  <c r="AG64" i="1"/>
  <c r="AB70" i="1"/>
  <c r="AI29" i="1"/>
  <c r="AI165" i="1"/>
  <c r="AB79" i="1"/>
  <c r="AB38" i="1"/>
  <c r="AI157" i="1"/>
  <c r="AC4" i="1"/>
  <c r="AD4" i="1" s="1"/>
  <c r="AF4" i="1" s="1"/>
  <c r="Z4" i="1"/>
  <c r="Z5" i="1" s="1"/>
  <c r="Z6" i="1" s="1"/>
  <c r="Z7" i="1" s="1"/>
  <c r="Z8" i="1" s="1"/>
  <c r="Z9" i="1" s="1"/>
  <c r="Z10" i="1" s="1"/>
  <c r="Z11" i="1" s="1"/>
  <c r="Z12" i="1" s="1"/>
  <c r="Z13" i="1" s="1"/>
  <c r="Z14" i="1" s="1"/>
  <c r="Z15" i="1" s="1"/>
  <c r="Z16" i="1" s="1"/>
  <c r="Z17" i="1" s="1"/>
  <c r="Z18" i="1" s="1"/>
  <c r="Z19" i="1" s="1"/>
  <c r="Z20" i="1" s="1"/>
  <c r="Z21" i="1" s="1"/>
  <c r="Z22" i="1" s="1"/>
  <c r="Z23" i="1" s="1"/>
  <c r="Z24" i="1" s="1"/>
  <c r="Z25" i="1" s="1"/>
  <c r="Z26" i="1" s="1"/>
  <c r="Z27" i="1" s="1"/>
  <c r="Z28" i="1" s="1"/>
  <c r="Z29" i="1" s="1"/>
  <c r="Z30" i="1" s="1"/>
  <c r="Z31" i="1" s="1"/>
  <c r="Z32" i="1" s="1"/>
  <c r="Z33" i="1" s="1"/>
  <c r="Z34" i="1" s="1"/>
  <c r="Z35" i="1" s="1"/>
  <c r="Z36" i="1" s="1"/>
  <c r="Z37" i="1" s="1"/>
  <c r="Z38" i="1" s="1"/>
  <c r="Z39" i="1" s="1"/>
  <c r="Z40" i="1" s="1"/>
  <c r="Z41" i="1" s="1"/>
  <c r="Z42" i="1" s="1"/>
  <c r="Z43" i="1" s="1"/>
  <c r="Z44" i="1" s="1"/>
  <c r="Z45" i="1" s="1"/>
  <c r="Z46" i="1" s="1"/>
  <c r="Z47" i="1" s="1"/>
  <c r="Z48" i="1" s="1"/>
  <c r="Z49" i="1" s="1"/>
  <c r="Z50" i="1" s="1"/>
  <c r="Z51" i="1" s="1"/>
  <c r="Z52" i="1" s="1"/>
  <c r="Z53" i="1" s="1"/>
  <c r="Z54" i="1" s="1"/>
  <c r="Z55" i="1" s="1"/>
  <c r="Z56" i="1" s="1"/>
  <c r="Z57" i="1" s="1"/>
  <c r="Z58" i="1" s="1"/>
  <c r="Z59" i="1" s="1"/>
  <c r="Z60" i="1" s="1"/>
  <c r="Z61" i="1" s="1"/>
  <c r="Z62" i="1" s="1"/>
  <c r="AH62" i="1" s="1"/>
  <c r="AG81" i="1"/>
  <c r="AG62" i="1"/>
  <c r="AG50" i="1"/>
  <c r="AG28" i="1"/>
  <c r="AG15" i="1"/>
  <c r="AI13" i="1"/>
  <c r="AG91" i="1"/>
  <c r="AG59" i="1"/>
  <c r="AG49" i="1"/>
  <c r="AG36" i="1"/>
  <c r="AG27" i="1"/>
  <c r="AG46" i="1"/>
  <c r="AG41" i="1"/>
  <c r="AG82" i="1"/>
  <c r="AG90" i="1"/>
  <c r="AI6" i="1"/>
  <c r="AG13" i="1"/>
  <c r="AG57" i="1"/>
  <c r="AG47" i="1"/>
  <c r="AG34" i="1"/>
  <c r="AG24" i="1"/>
  <c r="AG86" i="1"/>
  <c r="AG54" i="1"/>
  <c r="AG22" i="1"/>
  <c r="AG17" i="1"/>
  <c r="AG74" i="1"/>
  <c r="AG73" i="1"/>
  <c r="AG65" i="1"/>
  <c r="AG14" i="1"/>
  <c r="AG58" i="1"/>
  <c r="AG87" i="1"/>
  <c r="AG43" i="1"/>
  <c r="AG33" i="1"/>
  <c r="AG23" i="1"/>
  <c r="AG7" i="1"/>
  <c r="AG75" i="1"/>
  <c r="AG32" i="1"/>
  <c r="AG19" i="1"/>
  <c r="AG94" i="1"/>
  <c r="AG89" i="1"/>
  <c r="AG30" i="1"/>
  <c r="AG25" i="1"/>
  <c r="AG10" i="1"/>
  <c r="AG8" i="1"/>
  <c r="AG5" i="1"/>
  <c r="AG9" i="1"/>
  <c r="AG60" i="1"/>
  <c r="AG20" i="1"/>
  <c r="AG44" i="1"/>
  <c r="AG85" i="1"/>
  <c r="AG77" i="1"/>
  <c r="AG61" i="1"/>
  <c r="AG53" i="1"/>
  <c r="AG45" i="1"/>
  <c r="AG21" i="1"/>
  <c r="AI80" i="1"/>
  <c r="AI64" i="1"/>
  <c r="AI8" i="1"/>
  <c r="AI44" i="1"/>
  <c r="AI278" i="1"/>
  <c r="AI246" i="1"/>
  <c r="AI206" i="1"/>
  <c r="AI150" i="1"/>
  <c r="AI82" i="1"/>
  <c r="AI74" i="1"/>
  <c r="AI66" i="1"/>
  <c r="AI58" i="1"/>
  <c r="AI50" i="1"/>
  <c r="AI42" i="1"/>
  <c r="AI34" i="1"/>
  <c r="AI26" i="1"/>
  <c r="AI18" i="1"/>
  <c r="AI295" i="1"/>
  <c r="AI279" i="1"/>
  <c r="AI182" i="1"/>
  <c r="AI223" i="1"/>
  <c r="AI191" i="1"/>
  <c r="AH4" i="1"/>
  <c r="AI238" i="1"/>
  <c r="AI174" i="1"/>
  <c r="AI126" i="1"/>
  <c r="AI298" i="1"/>
  <c r="AI290" i="1"/>
  <c r="AI282" i="1"/>
  <c r="AI250" i="1"/>
  <c r="AI242" i="1"/>
  <c r="AI234" i="1"/>
  <c r="AI226" i="1"/>
  <c r="AI210" i="1"/>
  <c r="AI202" i="1"/>
  <c r="AI194" i="1"/>
  <c r="AI186" i="1"/>
  <c r="AI178" i="1"/>
  <c r="AI170" i="1"/>
  <c r="AI146" i="1"/>
  <c r="AI130" i="1"/>
  <c r="AI114" i="1"/>
  <c r="AI106" i="1"/>
  <c r="AI98" i="1"/>
  <c r="AI90" i="1"/>
  <c r="AI271" i="1"/>
  <c r="AI263" i="1"/>
  <c r="AI255" i="1"/>
  <c r="AI247" i="1"/>
  <c r="AI239" i="1"/>
  <c r="AI231" i="1"/>
  <c r="AI199" i="1"/>
  <c r="AI183" i="1"/>
  <c r="AI167" i="1"/>
  <c r="AI159" i="1"/>
  <c r="AI135" i="1"/>
  <c r="AI127" i="1"/>
  <c r="AI119" i="1"/>
  <c r="AI111" i="1"/>
  <c r="AI103" i="1"/>
  <c r="AI95" i="1"/>
  <c r="AI87" i="1"/>
  <c r="AI79" i="1"/>
  <c r="AI71" i="1"/>
  <c r="AI63" i="1"/>
  <c r="AI55" i="1"/>
  <c r="AI47" i="1"/>
  <c r="AI39" i="1"/>
  <c r="AI31" i="1"/>
  <c r="AI23" i="1"/>
  <c r="AI15" i="1"/>
  <c r="AI7" i="1"/>
  <c r="AI270" i="1"/>
  <c r="AI154" i="1"/>
  <c r="AI286" i="1"/>
  <c r="AI254" i="1"/>
  <c r="AI222" i="1"/>
  <c r="AI158" i="1"/>
  <c r="AI134" i="1"/>
  <c r="AI110" i="1"/>
  <c r="AI94" i="1"/>
  <c r="AI54" i="1"/>
  <c r="AI38" i="1"/>
  <c r="AI198" i="1"/>
  <c r="AI301" i="1"/>
  <c r="AI285" i="1"/>
  <c r="AI269" i="1"/>
  <c r="AI253" i="1"/>
  <c r="AI237" i="1"/>
  <c r="AI213" i="1"/>
  <c r="AI197" i="1"/>
  <c r="AI173" i="1"/>
  <c r="AI207" i="1"/>
  <c r="AI175" i="1"/>
  <c r="AI162" i="1"/>
  <c r="AI294" i="1"/>
  <c r="AI190" i="1"/>
  <c r="AI166" i="1"/>
  <c r="AI118" i="1"/>
  <c r="AI86" i="1"/>
  <c r="AI78" i="1"/>
  <c r="AI62" i="1"/>
  <c r="AI46" i="1"/>
  <c r="AI30" i="1"/>
  <c r="AI22" i="1"/>
  <c r="AI230" i="1"/>
  <c r="AI102" i="1"/>
  <c r="AI293" i="1"/>
  <c r="AI277" i="1"/>
  <c r="AI261" i="1"/>
  <c r="AI245" i="1"/>
  <c r="AI229" i="1"/>
  <c r="AI205" i="1"/>
  <c r="AI189" i="1"/>
  <c r="AI181" i="1"/>
  <c r="AI275" i="1"/>
  <c r="AI267" i="1"/>
  <c r="AI259" i="1"/>
  <c r="AI251" i="1"/>
  <c r="AI243" i="1"/>
  <c r="AI235" i="1"/>
  <c r="AI227" i="1"/>
  <c r="AI211" i="1"/>
  <c r="AI203" i="1"/>
  <c r="AI195" i="1"/>
  <c r="AI187" i="1"/>
  <c r="AI179" i="1"/>
  <c r="AI171" i="1"/>
  <c r="AI163" i="1"/>
  <c r="AI155" i="1"/>
  <c r="AI147" i="1"/>
  <c r="AI139" i="1"/>
  <c r="AI131" i="1"/>
  <c r="AI123" i="1"/>
  <c r="AI115" i="1"/>
  <c r="AI107" i="1"/>
  <c r="AI99" i="1"/>
  <c r="AI83" i="1"/>
  <c r="AI75" i="1"/>
  <c r="AI67" i="1"/>
  <c r="AI59" i="1"/>
  <c r="AI51" i="1"/>
  <c r="AI43" i="1"/>
  <c r="AI35" i="1"/>
  <c r="AI27" i="1"/>
  <c r="AI11" i="1"/>
  <c r="AI4" i="1"/>
  <c r="AI274" i="1"/>
  <c r="AI266" i="1"/>
  <c r="AI258" i="1"/>
  <c r="AI143" i="1"/>
  <c r="AI122" i="1"/>
  <c r="AI70" i="1"/>
  <c r="AI273" i="1"/>
  <c r="AI265" i="1"/>
  <c r="AI257" i="1"/>
  <c r="AI249" i="1"/>
  <c r="AI241" i="1"/>
  <c r="AI233" i="1"/>
  <c r="AI201" i="1"/>
  <c r="AI185" i="1"/>
  <c r="AI169" i="1"/>
  <c r="AI153" i="1"/>
  <c r="AI129" i="1"/>
  <c r="AI113" i="1"/>
  <c r="AI105" i="1"/>
  <c r="AI89" i="1"/>
  <c r="AI81" i="1"/>
  <c r="AI65" i="1"/>
  <c r="AI57" i="1"/>
  <c r="AI49" i="1"/>
  <c r="AI41" i="1"/>
  <c r="AI33" i="1"/>
  <c r="AI25" i="1"/>
  <c r="AI17" i="1"/>
  <c r="AI224" i="1"/>
  <c r="AI208" i="1"/>
  <c r="AI192" i="1"/>
  <c r="AI176" i="1"/>
  <c r="AI168" i="1"/>
  <c r="AI160" i="1"/>
  <c r="AI152" i="1"/>
  <c r="AI144" i="1"/>
  <c r="AI136" i="1"/>
  <c r="AI128" i="1"/>
  <c r="AI120" i="1"/>
  <c r="AI112" i="1"/>
  <c r="AI104" i="1"/>
  <c r="AI96" i="1"/>
  <c r="AI72" i="1"/>
  <c r="AI56" i="1"/>
  <c r="AI40" i="1"/>
  <c r="AI32" i="1"/>
  <c r="AI145" i="1"/>
  <c r="AI73" i="1"/>
  <c r="AI141" i="1"/>
  <c r="AI133" i="1"/>
  <c r="AI117" i="1"/>
  <c r="AI109" i="1"/>
  <c r="AI101" i="1"/>
  <c r="AI77" i="1"/>
  <c r="AI61" i="1"/>
  <c r="AI53" i="1"/>
  <c r="AI45" i="1"/>
  <c r="AI21" i="1"/>
  <c r="AI5" i="1"/>
  <c r="AI297" i="1"/>
  <c r="AI289" i="1"/>
  <c r="AI281" i="1"/>
  <c r="AI121" i="1"/>
  <c r="AI69" i="1"/>
  <c r="AI48" i="1"/>
  <c r="AI149" i="1"/>
  <c r="AI228" i="1"/>
  <c r="AI212" i="1"/>
  <c r="AI204" i="1"/>
  <c r="AI196" i="1"/>
  <c r="AI188" i="1"/>
  <c r="AI180" i="1"/>
  <c r="AI172" i="1"/>
  <c r="AI164" i="1"/>
  <c r="AI156" i="1"/>
  <c r="AI148" i="1"/>
  <c r="AI140" i="1"/>
  <c r="AI124" i="1"/>
  <c r="AI108" i="1"/>
  <c r="AI100" i="1"/>
  <c r="AI92" i="1"/>
  <c r="AI84" i="1"/>
  <c r="AI76" i="1"/>
  <c r="AI68" i="1"/>
  <c r="AI52" i="1"/>
  <c r="AI36" i="1"/>
  <c r="AI20" i="1"/>
  <c r="AI12" i="1"/>
  <c r="AI161" i="1"/>
  <c r="AI88" i="1"/>
  <c r="AI37" i="1"/>
  <c r="AI16" i="1"/>
  <c r="AI10" i="1"/>
  <c r="AI97" i="1"/>
  <c r="U292" i="1" l="1"/>
  <c r="V292" i="1" s="1"/>
  <c r="U269" i="1"/>
  <c r="AJ269" i="1" s="1"/>
  <c r="U252" i="1"/>
  <c r="V252" i="1" s="1"/>
  <c r="U245" i="1"/>
  <c r="V245" i="1" s="1"/>
  <c r="U229" i="1"/>
  <c r="V229" i="1" s="1"/>
  <c r="U227" i="1"/>
  <c r="X227" i="1" s="1"/>
  <c r="U34" i="1"/>
  <c r="AJ34" i="1" s="1"/>
  <c r="U247" i="1"/>
  <c r="AJ247" i="1" s="1"/>
  <c r="U226" i="1"/>
  <c r="AJ226" i="1" s="1"/>
  <c r="U246" i="1"/>
  <c r="AJ246" i="1" s="1"/>
  <c r="U257" i="1"/>
  <c r="V257" i="1" s="1"/>
  <c r="U290" i="1"/>
  <c r="W290" i="1" s="1"/>
  <c r="U253" i="1"/>
  <c r="V253" i="1" s="1"/>
  <c r="U233" i="1"/>
  <c r="AJ233" i="1" s="1"/>
  <c r="U243" i="1"/>
  <c r="V243" i="1" s="1"/>
  <c r="U236" i="1"/>
  <c r="X236" i="1" s="1"/>
  <c r="U239" i="1"/>
  <c r="W239" i="1" s="1"/>
  <c r="U250" i="1"/>
  <c r="W250" i="1" s="1"/>
  <c r="U225" i="1"/>
  <c r="V225" i="1" s="1"/>
  <c r="U251" i="1"/>
  <c r="V251" i="1" s="1"/>
  <c r="U293" i="1"/>
  <c r="W293" i="1" s="1"/>
  <c r="U249" i="1"/>
  <c r="V249" i="1" s="1"/>
  <c r="U238" i="1"/>
  <c r="AJ238" i="1" s="1"/>
  <c r="U125" i="1"/>
  <c r="V125" i="1" s="1"/>
  <c r="U268" i="1"/>
  <c r="X268" i="1" s="1"/>
  <c r="U296" i="1"/>
  <c r="AJ296" i="1" s="1"/>
  <c r="U260" i="1"/>
  <c r="AJ260" i="1" s="1"/>
  <c r="U272" i="1"/>
  <c r="AJ272" i="1" s="1"/>
  <c r="U111" i="1"/>
  <c r="AJ111" i="1" s="1"/>
  <c r="U224" i="1"/>
  <c r="W224" i="1" s="1"/>
  <c r="U234" i="1"/>
  <c r="X234" i="1" s="1"/>
  <c r="U4" i="1"/>
  <c r="X4" i="1" s="1"/>
  <c r="U223" i="1"/>
  <c r="V223" i="1" s="1"/>
  <c r="U275" i="1"/>
  <c r="X275" i="1" s="1"/>
  <c r="U123" i="1"/>
  <c r="W123" i="1" s="1"/>
  <c r="U178" i="1"/>
  <c r="X178" i="1" s="1"/>
  <c r="J275" i="1"/>
  <c r="K275" i="1" s="1"/>
  <c r="L275" i="1" s="1"/>
  <c r="M275" i="1" s="1"/>
  <c r="J274" i="1"/>
  <c r="K274" i="1" s="1"/>
  <c r="L274" i="1" s="1"/>
  <c r="M274" i="1" s="1"/>
  <c r="J290" i="1"/>
  <c r="K290" i="1" s="1"/>
  <c r="L290" i="1" s="1"/>
  <c r="M290" i="1" s="1"/>
  <c r="J264" i="1"/>
  <c r="K264" i="1" s="1"/>
  <c r="L264" i="1" s="1"/>
  <c r="M264" i="1" s="1"/>
  <c r="H276" i="1"/>
  <c r="I276" i="1" s="1"/>
  <c r="U276" i="1" s="1"/>
  <c r="X276" i="1" s="1"/>
  <c r="H284" i="1"/>
  <c r="I284" i="1" s="1"/>
  <c r="U284" i="1" s="1"/>
  <c r="X284" i="1" s="1"/>
  <c r="H279" i="1"/>
  <c r="I279" i="1" s="1"/>
  <c r="U279" i="1" s="1"/>
  <c r="X279" i="1" s="1"/>
  <c r="J254" i="1"/>
  <c r="K254" i="1" s="1"/>
  <c r="L254" i="1" s="1"/>
  <c r="M254" i="1" s="1"/>
  <c r="J281" i="1"/>
  <c r="K281" i="1" s="1"/>
  <c r="L281" i="1" s="1"/>
  <c r="M281" i="1" s="1"/>
  <c r="H287" i="1"/>
  <c r="I287" i="1" s="1"/>
  <c r="U287" i="1" s="1"/>
  <c r="W287" i="1" s="1"/>
  <c r="J292" i="1"/>
  <c r="K292" i="1" s="1"/>
  <c r="L292" i="1" s="1"/>
  <c r="M292" i="1" s="1"/>
  <c r="J286" i="1"/>
  <c r="K286" i="1" s="1"/>
  <c r="L286" i="1" s="1"/>
  <c r="M286" i="1" s="1"/>
  <c r="H261" i="1"/>
  <c r="I261" i="1" s="1"/>
  <c r="U261" i="1" s="1"/>
  <c r="X261" i="1" s="1"/>
  <c r="H277" i="1"/>
  <c r="I277" i="1" s="1"/>
  <c r="U277" i="1" s="1"/>
  <c r="V277" i="1" s="1"/>
  <c r="J296" i="1"/>
  <c r="K296" i="1" s="1"/>
  <c r="L296" i="1" s="1"/>
  <c r="M296" i="1" s="1"/>
  <c r="J269" i="1"/>
  <c r="K269" i="1" s="1"/>
  <c r="L269" i="1" s="1"/>
  <c r="M269" i="1" s="1"/>
  <c r="X215" i="1"/>
  <c r="V215" i="1"/>
  <c r="AJ215" i="1"/>
  <c r="W215" i="1"/>
  <c r="X219" i="1"/>
  <c r="AJ219" i="1"/>
  <c r="V219" i="1"/>
  <c r="W219" i="1"/>
  <c r="H299" i="1"/>
  <c r="I299" i="1" s="1"/>
  <c r="U299" i="1" s="1"/>
  <c r="V299" i="1" s="1"/>
  <c r="H265" i="1"/>
  <c r="I265" i="1" s="1"/>
  <c r="U265" i="1" s="1"/>
  <c r="AJ265" i="1" s="1"/>
  <c r="J266" i="1"/>
  <c r="K266" i="1" s="1"/>
  <c r="L266" i="1" s="1"/>
  <c r="M266" i="1" s="1"/>
  <c r="X220" i="1"/>
  <c r="AJ220" i="1"/>
  <c r="V220" i="1"/>
  <c r="W220" i="1"/>
  <c r="X221" i="1"/>
  <c r="AJ221" i="1"/>
  <c r="V221" i="1"/>
  <c r="W221" i="1"/>
  <c r="X218" i="1"/>
  <c r="AJ218" i="1"/>
  <c r="V218" i="1"/>
  <c r="W218" i="1"/>
  <c r="H270" i="1"/>
  <c r="I270" i="1" s="1"/>
  <c r="U270" i="1" s="1"/>
  <c r="AJ270" i="1" s="1"/>
  <c r="H295" i="1"/>
  <c r="I295" i="1" s="1"/>
  <c r="U295" i="1" s="1"/>
  <c r="AJ295" i="1" s="1"/>
  <c r="H285" i="1"/>
  <c r="I285" i="1" s="1"/>
  <c r="U285" i="1" s="1"/>
  <c r="V285" i="1" s="1"/>
  <c r="J285" i="1"/>
  <c r="K285" i="1" s="1"/>
  <c r="L285" i="1" s="1"/>
  <c r="M285" i="1" s="1"/>
  <c r="H255" i="1"/>
  <c r="I255" i="1" s="1"/>
  <c r="U255" i="1" s="1"/>
  <c r="W255" i="1" s="1"/>
  <c r="J298" i="1"/>
  <c r="K298" i="1" s="1"/>
  <c r="L298" i="1" s="1"/>
  <c r="M298" i="1" s="1"/>
  <c r="J262" i="1"/>
  <c r="K262" i="1" s="1"/>
  <c r="L262" i="1" s="1"/>
  <c r="M262" i="1" s="1"/>
  <c r="H291" i="1"/>
  <c r="I291" i="1" s="1"/>
  <c r="U291" i="1" s="1"/>
  <c r="AJ291" i="1" s="1"/>
  <c r="H256" i="1"/>
  <c r="I256" i="1" s="1"/>
  <c r="U256" i="1" s="1"/>
  <c r="X256" i="1" s="1"/>
  <c r="F273" i="1"/>
  <c r="J289" i="1"/>
  <c r="K289" i="1" s="1"/>
  <c r="L289" i="1" s="1"/>
  <c r="M289" i="1" s="1"/>
  <c r="H263" i="1"/>
  <c r="I263" i="1" s="1"/>
  <c r="U263" i="1" s="1"/>
  <c r="AJ263" i="1" s="1"/>
  <c r="V297" i="1"/>
  <c r="W297" i="1"/>
  <c r="X297" i="1"/>
  <c r="AJ297" i="1"/>
  <c r="X274" i="1"/>
  <c r="W274" i="1"/>
  <c r="V274" i="1"/>
  <c r="AJ274" i="1"/>
  <c r="X286" i="1"/>
  <c r="V286" i="1"/>
  <c r="W286" i="1"/>
  <c r="AJ286" i="1"/>
  <c r="V289" i="1"/>
  <c r="X289" i="1"/>
  <c r="W289" i="1"/>
  <c r="AJ289" i="1"/>
  <c r="W292" i="1"/>
  <c r="X292" i="1"/>
  <c r="AJ292" i="1"/>
  <c r="V298" i="1"/>
  <c r="X298" i="1"/>
  <c r="W298" i="1"/>
  <c r="AJ298" i="1"/>
  <c r="V281" i="1"/>
  <c r="X281" i="1"/>
  <c r="W281" i="1"/>
  <c r="AJ281" i="1"/>
  <c r="H259" i="1"/>
  <c r="I259" i="1" s="1"/>
  <c r="U259" i="1" s="1"/>
  <c r="AJ259" i="1" s="1"/>
  <c r="U300" i="1"/>
  <c r="F282" i="1"/>
  <c r="V280" i="1"/>
  <c r="W280" i="1"/>
  <c r="X280" i="1"/>
  <c r="AJ280" i="1"/>
  <c r="F283" i="1"/>
  <c r="X301" i="1"/>
  <c r="W301" i="1"/>
  <c r="V301" i="1"/>
  <c r="AJ301" i="1"/>
  <c r="W294" i="1"/>
  <c r="V294" i="1"/>
  <c r="X294" i="1"/>
  <c r="AJ294" i="1"/>
  <c r="X271" i="1"/>
  <c r="F278" i="1"/>
  <c r="J272" i="1"/>
  <c r="K272" i="1" s="1"/>
  <c r="L272" i="1" s="1"/>
  <c r="M272" i="1" s="1"/>
  <c r="H288" i="1"/>
  <c r="I288" i="1" s="1"/>
  <c r="U288" i="1" s="1"/>
  <c r="V271" i="1"/>
  <c r="J297" i="1"/>
  <c r="K297" i="1" s="1"/>
  <c r="L297" i="1" s="1"/>
  <c r="M297" i="1" s="1"/>
  <c r="W271" i="1"/>
  <c r="W254" i="1"/>
  <c r="AJ254" i="1"/>
  <c r="X254" i="1"/>
  <c r="V254" i="1"/>
  <c r="V266" i="1"/>
  <c r="X266" i="1"/>
  <c r="W266" i="1"/>
  <c r="AJ266" i="1"/>
  <c r="X262" i="1"/>
  <c r="W262" i="1"/>
  <c r="V262" i="1"/>
  <c r="AJ262" i="1"/>
  <c r="F267" i="1"/>
  <c r="F258" i="1"/>
  <c r="V264" i="1"/>
  <c r="X264" i="1"/>
  <c r="W264" i="1"/>
  <c r="AJ264" i="1"/>
  <c r="J246" i="1"/>
  <c r="K246" i="1" s="1"/>
  <c r="L246" i="1" s="1"/>
  <c r="M246" i="1" s="1"/>
  <c r="J236" i="1"/>
  <c r="K236" i="1" s="1"/>
  <c r="L236" i="1" s="1"/>
  <c r="M236" i="1" s="1"/>
  <c r="H240" i="1"/>
  <c r="I240" i="1" s="1"/>
  <c r="U240" i="1" s="1"/>
  <c r="W240" i="1" s="1"/>
  <c r="H244" i="1"/>
  <c r="I244" i="1" s="1"/>
  <c r="U244" i="1" s="1"/>
  <c r="V244" i="1" s="1"/>
  <c r="AJ222" i="1"/>
  <c r="X222" i="1"/>
  <c r="V222" i="1"/>
  <c r="X242" i="1"/>
  <c r="V242" i="1"/>
  <c r="W242" i="1"/>
  <c r="AJ242" i="1"/>
  <c r="H228" i="1"/>
  <c r="I228" i="1" s="1"/>
  <c r="U228" i="1" s="1"/>
  <c r="V228" i="1" s="1"/>
  <c r="V248" i="1"/>
  <c r="AJ248" i="1"/>
  <c r="W248" i="1"/>
  <c r="X248" i="1"/>
  <c r="J226" i="1"/>
  <c r="K226" i="1" s="1"/>
  <c r="L226" i="1" s="1"/>
  <c r="M226" i="1" s="1"/>
  <c r="X241" i="1"/>
  <c r="H235" i="1"/>
  <c r="I235" i="1" s="1"/>
  <c r="U235" i="1" s="1"/>
  <c r="X235" i="1" s="1"/>
  <c r="AJ241" i="1"/>
  <c r="W241" i="1"/>
  <c r="X237" i="1"/>
  <c r="W237" i="1"/>
  <c r="AJ237" i="1"/>
  <c r="V237" i="1"/>
  <c r="AJ231" i="1"/>
  <c r="X231" i="1"/>
  <c r="V231" i="1"/>
  <c r="W231" i="1"/>
  <c r="X232" i="1"/>
  <c r="V232" i="1"/>
  <c r="AJ232" i="1"/>
  <c r="W232" i="1"/>
  <c r="W230" i="1"/>
  <c r="V230" i="1"/>
  <c r="X230" i="1"/>
  <c r="AJ230" i="1"/>
  <c r="J219" i="1"/>
  <c r="K219" i="1" s="1"/>
  <c r="L219" i="1" s="1"/>
  <c r="M219" i="1" s="1"/>
  <c r="J123" i="1"/>
  <c r="K123" i="1" s="1"/>
  <c r="L123" i="1" s="1"/>
  <c r="M123" i="1" s="1"/>
  <c r="H41" i="1"/>
  <c r="I41" i="1" s="1"/>
  <c r="U41" i="1" s="1"/>
  <c r="AJ41" i="1" s="1"/>
  <c r="J218" i="1"/>
  <c r="K218" i="1" s="1"/>
  <c r="L218" i="1" s="1"/>
  <c r="M218" i="1" s="1"/>
  <c r="J34" i="1"/>
  <c r="K34" i="1" s="1"/>
  <c r="L34" i="1" s="1"/>
  <c r="M34" i="1" s="1"/>
  <c r="U161" i="1"/>
  <c r="U77" i="1"/>
  <c r="U177" i="1"/>
  <c r="U203" i="1"/>
  <c r="U79" i="1"/>
  <c r="AJ79" i="1" s="1"/>
  <c r="U101" i="1"/>
  <c r="U59" i="1"/>
  <c r="U25" i="1"/>
  <c r="AJ25" i="1" s="1"/>
  <c r="U91" i="1"/>
  <c r="U166" i="1"/>
  <c r="U53" i="1"/>
  <c r="AJ53" i="1" s="1"/>
  <c r="U168" i="1"/>
  <c r="V48" i="1"/>
  <c r="X48" i="1"/>
  <c r="W48" i="1"/>
  <c r="U181" i="1"/>
  <c r="U198" i="1"/>
  <c r="AJ48" i="1"/>
  <c r="U61" i="1"/>
  <c r="U145" i="1"/>
  <c r="AJ145" i="1" s="1"/>
  <c r="U100" i="1"/>
  <c r="AJ100" i="1" s="1"/>
  <c r="U58" i="1"/>
  <c r="AJ58" i="1" s="1"/>
  <c r="U70" i="1"/>
  <c r="U114" i="1"/>
  <c r="AJ114" i="1" s="1"/>
  <c r="U167" i="1"/>
  <c r="AJ167" i="1" s="1"/>
  <c r="U97" i="1"/>
  <c r="AJ97" i="1" s="1"/>
  <c r="U63" i="1"/>
  <c r="U210" i="1"/>
  <c r="AJ210" i="1" s="1"/>
  <c r="U94" i="1"/>
  <c r="AJ94" i="1" s="1"/>
  <c r="U126" i="1"/>
  <c r="AJ126" i="1" s="1"/>
  <c r="U183" i="1"/>
  <c r="U110" i="1"/>
  <c r="AJ110" i="1" s="1"/>
  <c r="F121" i="1"/>
  <c r="F93" i="1"/>
  <c r="F136" i="1"/>
  <c r="F109" i="1"/>
  <c r="F75" i="1"/>
  <c r="I169" i="1"/>
  <c r="F155" i="1"/>
  <c r="F164" i="1"/>
  <c r="J110" i="1"/>
  <c r="K110" i="1" s="1"/>
  <c r="L110" i="1" s="1"/>
  <c r="M110" i="1" s="1"/>
  <c r="J169" i="1"/>
  <c r="K169" i="1" s="1"/>
  <c r="L169" i="1" s="1"/>
  <c r="M169" i="1" s="1"/>
  <c r="J63" i="1"/>
  <c r="K63" i="1" s="1"/>
  <c r="L63" i="1" s="1"/>
  <c r="M63" i="1" s="1"/>
  <c r="F147" i="1"/>
  <c r="J168" i="1"/>
  <c r="K168" i="1" s="1"/>
  <c r="L168" i="1" s="1"/>
  <c r="M168" i="1" s="1"/>
  <c r="H103" i="1"/>
  <c r="I103" i="1" s="1"/>
  <c r="H69" i="1"/>
  <c r="I69" i="1" s="1"/>
  <c r="H44" i="1"/>
  <c r="I44" i="1" s="1"/>
  <c r="J97" i="1"/>
  <c r="K97" i="1" s="1"/>
  <c r="L97" i="1" s="1"/>
  <c r="M97" i="1" s="1"/>
  <c r="J183" i="1"/>
  <c r="K183" i="1" s="1"/>
  <c r="L183" i="1" s="1"/>
  <c r="M183" i="1" s="1"/>
  <c r="F186" i="1"/>
  <c r="F170" i="1"/>
  <c r="F173" i="1"/>
  <c r="H139" i="1"/>
  <c r="I139" i="1" s="1"/>
  <c r="J211" i="1"/>
  <c r="K211" i="1" s="1"/>
  <c r="L211" i="1" s="1"/>
  <c r="M211" i="1" s="1"/>
  <c r="H211" i="1"/>
  <c r="I211" i="1" s="1"/>
  <c r="J66" i="1"/>
  <c r="K66" i="1" s="1"/>
  <c r="L66" i="1" s="1"/>
  <c r="M66" i="1" s="1"/>
  <c r="H66" i="1"/>
  <c r="I66" i="1" s="1"/>
  <c r="J107" i="1"/>
  <c r="K107" i="1" s="1"/>
  <c r="L107" i="1" s="1"/>
  <c r="M107" i="1" s="1"/>
  <c r="H107" i="1"/>
  <c r="I107" i="1" s="1"/>
  <c r="H95" i="1"/>
  <c r="I95" i="1" s="1"/>
  <c r="J95" i="1"/>
  <c r="K95" i="1" s="1"/>
  <c r="L95" i="1" s="1"/>
  <c r="M95" i="1" s="1"/>
  <c r="H108" i="1"/>
  <c r="I108" i="1" s="1"/>
  <c r="J108" i="1"/>
  <c r="K108" i="1" s="1"/>
  <c r="L108" i="1" s="1"/>
  <c r="M108" i="1" s="1"/>
  <c r="J99" i="1"/>
  <c r="K99" i="1" s="1"/>
  <c r="L99" i="1" s="1"/>
  <c r="M99" i="1" s="1"/>
  <c r="H99" i="1"/>
  <c r="I99" i="1" s="1"/>
  <c r="J32" i="1"/>
  <c r="K32" i="1" s="1"/>
  <c r="L32" i="1" s="1"/>
  <c r="M32" i="1" s="1"/>
  <c r="H32" i="1"/>
  <c r="I32" i="1" s="1"/>
  <c r="J96" i="1"/>
  <c r="K96" i="1" s="1"/>
  <c r="L96" i="1" s="1"/>
  <c r="M96" i="1" s="1"/>
  <c r="H96" i="1"/>
  <c r="I96" i="1" s="1"/>
  <c r="H180" i="1"/>
  <c r="I180" i="1" s="1"/>
  <c r="J180" i="1"/>
  <c r="K180" i="1" s="1"/>
  <c r="L180" i="1" s="1"/>
  <c r="M180" i="1" s="1"/>
  <c r="H182" i="1"/>
  <c r="I182" i="1" s="1"/>
  <c r="J182" i="1"/>
  <c r="K182" i="1" s="1"/>
  <c r="L182" i="1" s="1"/>
  <c r="M182" i="1" s="1"/>
  <c r="J62" i="1"/>
  <c r="K62" i="1" s="1"/>
  <c r="L62" i="1" s="1"/>
  <c r="M62" i="1" s="1"/>
  <c r="H62" i="1"/>
  <c r="I62" i="1" s="1"/>
  <c r="J130" i="1"/>
  <c r="K130" i="1" s="1"/>
  <c r="L130" i="1" s="1"/>
  <c r="M130" i="1" s="1"/>
  <c r="H130" i="1"/>
  <c r="I130" i="1" s="1"/>
  <c r="H172" i="1"/>
  <c r="I172" i="1" s="1"/>
  <c r="J172" i="1"/>
  <c r="K172" i="1" s="1"/>
  <c r="L172" i="1" s="1"/>
  <c r="M172" i="1" s="1"/>
  <c r="H174" i="1"/>
  <c r="I174" i="1" s="1"/>
  <c r="J174" i="1"/>
  <c r="K174" i="1" s="1"/>
  <c r="L174" i="1" s="1"/>
  <c r="M174" i="1" s="1"/>
  <c r="J104" i="1"/>
  <c r="K104" i="1" s="1"/>
  <c r="L104" i="1" s="1"/>
  <c r="M104" i="1" s="1"/>
  <c r="H104" i="1"/>
  <c r="I104" i="1" s="1"/>
  <c r="J133" i="1"/>
  <c r="K133" i="1" s="1"/>
  <c r="L133" i="1" s="1"/>
  <c r="M133" i="1" s="1"/>
  <c r="H133" i="1"/>
  <c r="I133" i="1" s="1"/>
  <c r="J152" i="1"/>
  <c r="K152" i="1" s="1"/>
  <c r="L152" i="1" s="1"/>
  <c r="M152" i="1" s="1"/>
  <c r="H152" i="1"/>
  <c r="I152" i="1" s="1"/>
  <c r="J57" i="1"/>
  <c r="K57" i="1" s="1"/>
  <c r="L57" i="1" s="1"/>
  <c r="M57" i="1" s="1"/>
  <c r="H57" i="1"/>
  <c r="I57" i="1" s="1"/>
  <c r="J162" i="1"/>
  <c r="K162" i="1" s="1"/>
  <c r="L162" i="1" s="1"/>
  <c r="M162" i="1" s="1"/>
  <c r="H162" i="1"/>
  <c r="I162" i="1" s="1"/>
  <c r="H55" i="1"/>
  <c r="I55" i="1" s="1"/>
  <c r="J55" i="1"/>
  <c r="K55" i="1" s="1"/>
  <c r="L55" i="1" s="1"/>
  <c r="M55" i="1" s="1"/>
  <c r="H196" i="1"/>
  <c r="I196" i="1" s="1"/>
  <c r="J196" i="1"/>
  <c r="K196" i="1" s="1"/>
  <c r="L196" i="1" s="1"/>
  <c r="M196" i="1" s="1"/>
  <c r="J56" i="1"/>
  <c r="K56" i="1" s="1"/>
  <c r="L56" i="1" s="1"/>
  <c r="M56" i="1" s="1"/>
  <c r="H56" i="1"/>
  <c r="I56" i="1" s="1"/>
  <c r="H148" i="1"/>
  <c r="I148" i="1" s="1"/>
  <c r="J148" i="1"/>
  <c r="K148" i="1" s="1"/>
  <c r="L148" i="1" s="1"/>
  <c r="M148" i="1" s="1"/>
  <c r="H60" i="1"/>
  <c r="I60" i="1" s="1"/>
  <c r="J60" i="1"/>
  <c r="K60" i="1" s="1"/>
  <c r="L60" i="1" s="1"/>
  <c r="M60" i="1" s="1"/>
  <c r="H135" i="1"/>
  <c r="I135" i="1" s="1"/>
  <c r="J135" i="1"/>
  <c r="K135" i="1" s="1"/>
  <c r="L135" i="1" s="1"/>
  <c r="M135" i="1" s="1"/>
  <c r="H204" i="1"/>
  <c r="I204" i="1" s="1"/>
  <c r="J204" i="1"/>
  <c r="K204" i="1" s="1"/>
  <c r="L204" i="1" s="1"/>
  <c r="M204" i="1" s="1"/>
  <c r="H68" i="1"/>
  <c r="I68" i="1" s="1"/>
  <c r="J68" i="1"/>
  <c r="K68" i="1" s="1"/>
  <c r="L68" i="1" s="1"/>
  <c r="M68" i="1" s="1"/>
  <c r="H134" i="1"/>
  <c r="I134" i="1" s="1"/>
  <c r="J134" i="1"/>
  <c r="K134" i="1" s="1"/>
  <c r="L134" i="1" s="1"/>
  <c r="M134" i="1" s="1"/>
  <c r="J88" i="1"/>
  <c r="K88" i="1" s="1"/>
  <c r="L88" i="1" s="1"/>
  <c r="M88" i="1" s="1"/>
  <c r="H88" i="1"/>
  <c r="I88" i="1" s="1"/>
  <c r="J209" i="1"/>
  <c r="K209" i="1" s="1"/>
  <c r="L209" i="1" s="1"/>
  <c r="M209" i="1" s="1"/>
  <c r="H209" i="1"/>
  <c r="I209" i="1" s="1"/>
  <c r="H191" i="1"/>
  <c r="I191" i="1" s="1"/>
  <c r="J191" i="1"/>
  <c r="K191" i="1" s="1"/>
  <c r="L191" i="1" s="1"/>
  <c r="M191" i="1" s="1"/>
  <c r="H47" i="1"/>
  <c r="I47" i="1" s="1"/>
  <c r="J47" i="1"/>
  <c r="K47" i="1" s="1"/>
  <c r="L47" i="1" s="1"/>
  <c r="M47" i="1" s="1"/>
  <c r="J33" i="1"/>
  <c r="K33" i="1" s="1"/>
  <c r="L33" i="1" s="1"/>
  <c r="M33" i="1" s="1"/>
  <c r="H33" i="1"/>
  <c r="I33" i="1" s="1"/>
  <c r="J171" i="1"/>
  <c r="K171" i="1" s="1"/>
  <c r="L171" i="1" s="1"/>
  <c r="M171" i="1" s="1"/>
  <c r="H171" i="1"/>
  <c r="I171" i="1" s="1"/>
  <c r="J195" i="1"/>
  <c r="K195" i="1" s="1"/>
  <c r="L195" i="1" s="1"/>
  <c r="M195" i="1" s="1"/>
  <c r="H195" i="1"/>
  <c r="I195" i="1" s="1"/>
  <c r="H156" i="1"/>
  <c r="I156" i="1" s="1"/>
  <c r="J156" i="1"/>
  <c r="K156" i="1" s="1"/>
  <c r="L156" i="1" s="1"/>
  <c r="M156" i="1" s="1"/>
  <c r="J142" i="1"/>
  <c r="K142" i="1" s="1"/>
  <c r="L142" i="1" s="1"/>
  <c r="M142" i="1" s="1"/>
  <c r="H142" i="1"/>
  <c r="I142" i="1" s="1"/>
  <c r="J185" i="1"/>
  <c r="K185" i="1" s="1"/>
  <c r="L185" i="1" s="1"/>
  <c r="M185" i="1" s="1"/>
  <c r="H185" i="1"/>
  <c r="I185" i="1" s="1"/>
  <c r="J105" i="1"/>
  <c r="K105" i="1" s="1"/>
  <c r="L105" i="1" s="1"/>
  <c r="M105" i="1" s="1"/>
  <c r="H105" i="1"/>
  <c r="I105" i="1" s="1"/>
  <c r="J128" i="1"/>
  <c r="K128" i="1" s="1"/>
  <c r="L128" i="1" s="1"/>
  <c r="M128" i="1" s="1"/>
  <c r="H128" i="1"/>
  <c r="I128" i="1" s="1"/>
  <c r="J188" i="1"/>
  <c r="K188" i="1" s="1"/>
  <c r="L188" i="1" s="1"/>
  <c r="M188" i="1" s="1"/>
  <c r="H188" i="1"/>
  <c r="I188" i="1" s="1"/>
  <c r="H78" i="1"/>
  <c r="I78" i="1" s="1"/>
  <c r="J78" i="1"/>
  <c r="K78" i="1" s="1"/>
  <c r="L78" i="1" s="1"/>
  <c r="M78" i="1" s="1"/>
  <c r="J37" i="1"/>
  <c r="K37" i="1" s="1"/>
  <c r="L37" i="1" s="1"/>
  <c r="M37" i="1" s="1"/>
  <c r="H37" i="1"/>
  <c r="I37" i="1" s="1"/>
  <c r="J122" i="1"/>
  <c r="K122" i="1" s="1"/>
  <c r="L122" i="1" s="1"/>
  <c r="M122" i="1" s="1"/>
  <c r="H122" i="1"/>
  <c r="I122" i="1" s="1"/>
  <c r="J74" i="1"/>
  <c r="K74" i="1" s="1"/>
  <c r="L74" i="1" s="1"/>
  <c r="M74" i="1" s="1"/>
  <c r="H74" i="1"/>
  <c r="I74" i="1" s="1"/>
  <c r="H71" i="1"/>
  <c r="I71" i="1" s="1"/>
  <c r="J71" i="1"/>
  <c r="K71" i="1" s="1"/>
  <c r="L71" i="1" s="1"/>
  <c r="M71" i="1" s="1"/>
  <c r="J184" i="1"/>
  <c r="K184" i="1" s="1"/>
  <c r="L184" i="1" s="1"/>
  <c r="M184" i="1" s="1"/>
  <c r="H184" i="1"/>
  <c r="I184" i="1" s="1"/>
  <c r="H92" i="1"/>
  <c r="I92" i="1" s="1"/>
  <c r="J92" i="1"/>
  <c r="K92" i="1" s="1"/>
  <c r="L92" i="1" s="1"/>
  <c r="M92" i="1" s="1"/>
  <c r="H87" i="1"/>
  <c r="I87" i="1" s="1"/>
  <c r="J87" i="1"/>
  <c r="K87" i="1" s="1"/>
  <c r="L87" i="1" s="1"/>
  <c r="M87" i="1" s="1"/>
  <c r="H119" i="1"/>
  <c r="I119" i="1" s="1"/>
  <c r="J119" i="1"/>
  <c r="K119" i="1" s="1"/>
  <c r="L119" i="1" s="1"/>
  <c r="M119" i="1" s="1"/>
  <c r="J154" i="1"/>
  <c r="K154" i="1" s="1"/>
  <c r="L154" i="1" s="1"/>
  <c r="M154" i="1" s="1"/>
  <c r="H154" i="1"/>
  <c r="I154" i="1" s="1"/>
  <c r="J89" i="1"/>
  <c r="K89" i="1" s="1"/>
  <c r="L89" i="1" s="1"/>
  <c r="M89" i="1" s="1"/>
  <c r="H89" i="1"/>
  <c r="I89" i="1" s="1"/>
  <c r="J190" i="1"/>
  <c r="K190" i="1" s="1"/>
  <c r="L190" i="1" s="1"/>
  <c r="M190" i="1" s="1"/>
  <c r="H190" i="1"/>
  <c r="I190" i="1" s="1"/>
  <c r="J81" i="1"/>
  <c r="K81" i="1" s="1"/>
  <c r="L81" i="1" s="1"/>
  <c r="M81" i="1" s="1"/>
  <c r="H81" i="1"/>
  <c r="I81" i="1" s="1"/>
  <c r="H124" i="1"/>
  <c r="I124" i="1" s="1"/>
  <c r="J124" i="1"/>
  <c r="K124" i="1" s="1"/>
  <c r="L124" i="1" s="1"/>
  <c r="M124" i="1" s="1"/>
  <c r="J131" i="1"/>
  <c r="K131" i="1" s="1"/>
  <c r="L131" i="1" s="1"/>
  <c r="M131" i="1" s="1"/>
  <c r="H131" i="1"/>
  <c r="I131" i="1" s="1"/>
  <c r="J202" i="1"/>
  <c r="K202" i="1" s="1"/>
  <c r="L202" i="1" s="1"/>
  <c r="M202" i="1" s="1"/>
  <c r="H202" i="1"/>
  <c r="I202" i="1" s="1"/>
  <c r="J212" i="1"/>
  <c r="K212" i="1" s="1"/>
  <c r="L212" i="1" s="1"/>
  <c r="M212" i="1" s="1"/>
  <c r="H212" i="1"/>
  <c r="I212" i="1" s="1"/>
  <c r="J157" i="1"/>
  <c r="K157" i="1" s="1"/>
  <c r="L157" i="1" s="1"/>
  <c r="M157" i="1" s="1"/>
  <c r="H157" i="1"/>
  <c r="I157" i="1" s="1"/>
  <c r="J138" i="1"/>
  <c r="K138" i="1" s="1"/>
  <c r="L138" i="1" s="1"/>
  <c r="M138" i="1" s="1"/>
  <c r="H138" i="1"/>
  <c r="I138" i="1" s="1"/>
  <c r="J192" i="1"/>
  <c r="K192" i="1" s="1"/>
  <c r="L192" i="1" s="1"/>
  <c r="M192" i="1" s="1"/>
  <c r="H192" i="1"/>
  <c r="I192" i="1" s="1"/>
  <c r="J213" i="1"/>
  <c r="K213" i="1" s="1"/>
  <c r="L213" i="1" s="1"/>
  <c r="M213" i="1" s="1"/>
  <c r="H213" i="1"/>
  <c r="I213" i="1" s="1"/>
  <c r="H143" i="1"/>
  <c r="I143" i="1" s="1"/>
  <c r="J143" i="1"/>
  <c r="K143" i="1" s="1"/>
  <c r="L143" i="1" s="1"/>
  <c r="M143" i="1" s="1"/>
  <c r="J153" i="1"/>
  <c r="K153" i="1" s="1"/>
  <c r="L153" i="1" s="1"/>
  <c r="M153" i="1" s="1"/>
  <c r="H153" i="1"/>
  <c r="I153" i="1" s="1"/>
  <c r="H214" i="1"/>
  <c r="I214" i="1" s="1"/>
  <c r="U214" i="1" s="1"/>
  <c r="J214" i="1"/>
  <c r="K214" i="1" s="1"/>
  <c r="L214" i="1" s="1"/>
  <c r="M214" i="1" s="1"/>
  <c r="H132" i="1"/>
  <c r="I132" i="1" s="1"/>
  <c r="J132" i="1"/>
  <c r="K132" i="1" s="1"/>
  <c r="L132" i="1" s="1"/>
  <c r="M132" i="1" s="1"/>
  <c r="H36" i="1"/>
  <c r="I36" i="1" s="1"/>
  <c r="J36" i="1"/>
  <c r="K36" i="1" s="1"/>
  <c r="L36" i="1" s="1"/>
  <c r="M36" i="1" s="1"/>
  <c r="H31" i="1"/>
  <c r="I31" i="1" s="1"/>
  <c r="J31" i="1"/>
  <c r="K31" i="1" s="1"/>
  <c r="L31" i="1" s="1"/>
  <c r="M31" i="1" s="1"/>
  <c r="J40" i="1"/>
  <c r="K40" i="1" s="1"/>
  <c r="L40" i="1" s="1"/>
  <c r="M40" i="1" s="1"/>
  <c r="H40" i="1"/>
  <c r="I40" i="1" s="1"/>
  <c r="J206" i="1"/>
  <c r="K206" i="1" s="1"/>
  <c r="L206" i="1" s="1"/>
  <c r="M206" i="1" s="1"/>
  <c r="H206" i="1"/>
  <c r="I206" i="1" s="1"/>
  <c r="J163" i="1"/>
  <c r="K163" i="1" s="1"/>
  <c r="L163" i="1" s="1"/>
  <c r="M163" i="1" s="1"/>
  <c r="H163" i="1"/>
  <c r="I163" i="1" s="1"/>
  <c r="J176" i="1"/>
  <c r="K176" i="1" s="1"/>
  <c r="L176" i="1" s="1"/>
  <c r="M176" i="1" s="1"/>
  <c r="H176" i="1"/>
  <c r="I176" i="1" s="1"/>
  <c r="J72" i="1"/>
  <c r="K72" i="1" s="1"/>
  <c r="L72" i="1" s="1"/>
  <c r="M72" i="1" s="1"/>
  <c r="H72" i="1"/>
  <c r="I72" i="1" s="1"/>
  <c r="H175" i="1"/>
  <c r="I175" i="1" s="1"/>
  <c r="J175" i="1"/>
  <c r="K175" i="1" s="1"/>
  <c r="L175" i="1" s="1"/>
  <c r="M175" i="1" s="1"/>
  <c r="J120" i="1"/>
  <c r="K120" i="1" s="1"/>
  <c r="L120" i="1" s="1"/>
  <c r="M120" i="1" s="1"/>
  <c r="H120" i="1"/>
  <c r="I120" i="1" s="1"/>
  <c r="H84" i="1"/>
  <c r="I84" i="1" s="1"/>
  <c r="J84" i="1"/>
  <c r="K84" i="1" s="1"/>
  <c r="L84" i="1" s="1"/>
  <c r="M84" i="1" s="1"/>
  <c r="H151" i="1"/>
  <c r="I151" i="1" s="1"/>
  <c r="J151" i="1"/>
  <c r="K151" i="1" s="1"/>
  <c r="L151" i="1" s="1"/>
  <c r="M151" i="1" s="1"/>
  <c r="J117" i="1"/>
  <c r="K117" i="1" s="1"/>
  <c r="L117" i="1" s="1"/>
  <c r="M117" i="1" s="1"/>
  <c r="H117" i="1"/>
  <c r="I117" i="1" s="1"/>
  <c r="J115" i="1"/>
  <c r="K115" i="1" s="1"/>
  <c r="L115" i="1" s="1"/>
  <c r="M115" i="1" s="1"/>
  <c r="H115" i="1"/>
  <c r="I115" i="1" s="1"/>
  <c r="J51" i="1"/>
  <c r="K51" i="1" s="1"/>
  <c r="L51" i="1" s="1"/>
  <c r="M51" i="1" s="1"/>
  <c r="H51" i="1"/>
  <c r="I51" i="1" s="1"/>
  <c r="J216" i="1"/>
  <c r="K216" i="1" s="1"/>
  <c r="L216" i="1" s="1"/>
  <c r="M216" i="1" s="1"/>
  <c r="H216" i="1"/>
  <c r="I216" i="1" s="1"/>
  <c r="U216" i="1" s="1"/>
  <c r="J29" i="1"/>
  <c r="K29" i="1" s="1"/>
  <c r="L29" i="1" s="1"/>
  <c r="M29" i="1" s="1"/>
  <c r="H29" i="1"/>
  <c r="I29" i="1" s="1"/>
  <c r="J140" i="1"/>
  <c r="K140" i="1" s="1"/>
  <c r="L140" i="1" s="1"/>
  <c r="M140" i="1" s="1"/>
  <c r="H140" i="1"/>
  <c r="I140" i="1" s="1"/>
  <c r="H39" i="1"/>
  <c r="I39" i="1" s="1"/>
  <c r="J39" i="1"/>
  <c r="K39" i="1" s="1"/>
  <c r="L39" i="1" s="1"/>
  <c r="M39" i="1" s="1"/>
  <c r="J50" i="1"/>
  <c r="K50" i="1" s="1"/>
  <c r="L50" i="1" s="1"/>
  <c r="M50" i="1" s="1"/>
  <c r="H50" i="1"/>
  <c r="I50" i="1" s="1"/>
  <c r="J144" i="1"/>
  <c r="K144" i="1" s="1"/>
  <c r="L144" i="1" s="1"/>
  <c r="M144" i="1" s="1"/>
  <c r="H144" i="1"/>
  <c r="I144" i="1" s="1"/>
  <c r="J90" i="1"/>
  <c r="K90" i="1" s="1"/>
  <c r="L90" i="1" s="1"/>
  <c r="M90" i="1" s="1"/>
  <c r="H90" i="1"/>
  <c r="I90" i="1" s="1"/>
  <c r="J205" i="1"/>
  <c r="K205" i="1" s="1"/>
  <c r="L205" i="1" s="1"/>
  <c r="M205" i="1" s="1"/>
  <c r="H205" i="1"/>
  <c r="I205" i="1" s="1"/>
  <c r="J80" i="1"/>
  <c r="K80" i="1" s="1"/>
  <c r="L80" i="1" s="1"/>
  <c r="M80" i="1" s="1"/>
  <c r="H80" i="1"/>
  <c r="I80" i="1" s="1"/>
  <c r="J189" i="1"/>
  <c r="K189" i="1" s="1"/>
  <c r="L189" i="1" s="1"/>
  <c r="M189" i="1" s="1"/>
  <c r="H189" i="1"/>
  <c r="I189" i="1" s="1"/>
  <c r="J82" i="1"/>
  <c r="K82" i="1" s="1"/>
  <c r="L82" i="1" s="1"/>
  <c r="M82" i="1" s="1"/>
  <c r="H82" i="1"/>
  <c r="I82" i="1" s="1"/>
  <c r="H127" i="1"/>
  <c r="I127" i="1" s="1"/>
  <c r="J127" i="1"/>
  <c r="K127" i="1" s="1"/>
  <c r="L127" i="1" s="1"/>
  <c r="M127" i="1" s="1"/>
  <c r="J45" i="1"/>
  <c r="K45" i="1" s="1"/>
  <c r="L45" i="1" s="1"/>
  <c r="M45" i="1" s="1"/>
  <c r="H45" i="1"/>
  <c r="I45" i="1" s="1"/>
  <c r="J113" i="1"/>
  <c r="K113" i="1" s="1"/>
  <c r="L113" i="1" s="1"/>
  <c r="M113" i="1" s="1"/>
  <c r="H113" i="1"/>
  <c r="I113" i="1" s="1"/>
  <c r="J201" i="1"/>
  <c r="K201" i="1" s="1"/>
  <c r="L201" i="1" s="1"/>
  <c r="M201" i="1" s="1"/>
  <c r="H201" i="1"/>
  <c r="I201" i="1" s="1"/>
  <c r="J146" i="1"/>
  <c r="K146" i="1" s="1"/>
  <c r="L146" i="1" s="1"/>
  <c r="M146" i="1" s="1"/>
  <c r="H146" i="1"/>
  <c r="I146" i="1" s="1"/>
  <c r="J194" i="1"/>
  <c r="K194" i="1" s="1"/>
  <c r="L194" i="1" s="1"/>
  <c r="M194" i="1" s="1"/>
  <c r="H194" i="1"/>
  <c r="I194" i="1" s="1"/>
  <c r="J118" i="1"/>
  <c r="K118" i="1" s="1"/>
  <c r="L118" i="1" s="1"/>
  <c r="M118" i="1" s="1"/>
  <c r="H118" i="1"/>
  <c r="I118" i="1" s="1"/>
  <c r="J42" i="1"/>
  <c r="K42" i="1" s="1"/>
  <c r="L42" i="1" s="1"/>
  <c r="M42" i="1" s="1"/>
  <c r="H42" i="1"/>
  <c r="I42" i="1" s="1"/>
  <c r="J160" i="1"/>
  <c r="K160" i="1" s="1"/>
  <c r="L160" i="1" s="1"/>
  <c r="M160" i="1" s="1"/>
  <c r="H160" i="1"/>
  <c r="I160" i="1" s="1"/>
  <c r="J112" i="1"/>
  <c r="K112" i="1" s="1"/>
  <c r="L112" i="1" s="1"/>
  <c r="M112" i="1" s="1"/>
  <c r="H112" i="1"/>
  <c r="I112" i="1" s="1"/>
  <c r="H159" i="1"/>
  <c r="I159" i="1" s="1"/>
  <c r="J159" i="1"/>
  <c r="K159" i="1" s="1"/>
  <c r="L159" i="1" s="1"/>
  <c r="M159" i="1" s="1"/>
  <c r="J150" i="1"/>
  <c r="K150" i="1" s="1"/>
  <c r="L150" i="1" s="1"/>
  <c r="M150" i="1" s="1"/>
  <c r="H150" i="1"/>
  <c r="I150" i="1" s="1"/>
  <c r="J208" i="1"/>
  <c r="K208" i="1" s="1"/>
  <c r="L208" i="1" s="1"/>
  <c r="M208" i="1" s="1"/>
  <c r="H208" i="1"/>
  <c r="I208" i="1" s="1"/>
  <c r="J43" i="1"/>
  <c r="K43" i="1" s="1"/>
  <c r="L43" i="1" s="1"/>
  <c r="M43" i="1" s="1"/>
  <c r="H43" i="1"/>
  <c r="I43" i="1" s="1"/>
  <c r="J85" i="1"/>
  <c r="K85" i="1" s="1"/>
  <c r="L85" i="1" s="1"/>
  <c r="M85" i="1" s="1"/>
  <c r="H85" i="1"/>
  <c r="I85" i="1" s="1"/>
  <c r="J158" i="1"/>
  <c r="K158" i="1" s="1"/>
  <c r="L158" i="1" s="1"/>
  <c r="M158" i="1" s="1"/>
  <c r="H158" i="1"/>
  <c r="I158" i="1" s="1"/>
  <c r="J193" i="1"/>
  <c r="K193" i="1" s="1"/>
  <c r="L193" i="1" s="1"/>
  <c r="M193" i="1" s="1"/>
  <c r="H193" i="1"/>
  <c r="I193" i="1" s="1"/>
  <c r="J165" i="1"/>
  <c r="K165" i="1" s="1"/>
  <c r="L165" i="1" s="1"/>
  <c r="M165" i="1" s="1"/>
  <c r="H165" i="1"/>
  <c r="I165" i="1" s="1"/>
  <c r="J28" i="1"/>
  <c r="K28" i="1" s="1"/>
  <c r="L28" i="1" s="1"/>
  <c r="M28" i="1" s="1"/>
  <c r="H28" i="1"/>
  <c r="I28" i="1" s="1"/>
  <c r="J27" i="1"/>
  <c r="K27" i="1" s="1"/>
  <c r="L27" i="1" s="1"/>
  <c r="M27" i="1" s="1"/>
  <c r="H27" i="1"/>
  <c r="I27" i="1" s="1"/>
  <c r="H19" i="1"/>
  <c r="I19" i="1" s="1"/>
  <c r="J19" i="1"/>
  <c r="K19" i="1" s="1"/>
  <c r="L19" i="1" s="1"/>
  <c r="M19" i="1" s="1"/>
  <c r="J13" i="1"/>
  <c r="K13" i="1" s="1"/>
  <c r="L13" i="1" s="1"/>
  <c r="M13" i="1" s="1"/>
  <c r="H13" i="1"/>
  <c r="I13" i="1" s="1"/>
  <c r="H12" i="1"/>
  <c r="I12" i="1" s="1"/>
  <c r="J12" i="1"/>
  <c r="K12" i="1" s="1"/>
  <c r="L12" i="1" s="1"/>
  <c r="M12" i="1" s="1"/>
  <c r="H26" i="1"/>
  <c r="I26" i="1" s="1"/>
  <c r="J26" i="1"/>
  <c r="K26" i="1" s="1"/>
  <c r="L26" i="1" s="1"/>
  <c r="M26" i="1" s="1"/>
  <c r="J14" i="1"/>
  <c r="K14" i="1" s="1"/>
  <c r="L14" i="1" s="1"/>
  <c r="M14" i="1" s="1"/>
  <c r="H14" i="1"/>
  <c r="I14" i="1" s="1"/>
  <c r="H18" i="1"/>
  <c r="I18" i="1" s="1"/>
  <c r="J18" i="1"/>
  <c r="K18" i="1" s="1"/>
  <c r="L18" i="1" s="1"/>
  <c r="M18" i="1" s="1"/>
  <c r="J17" i="1"/>
  <c r="K17" i="1" s="1"/>
  <c r="L17" i="1" s="1"/>
  <c r="M17" i="1" s="1"/>
  <c r="H17" i="1"/>
  <c r="I17" i="1" s="1"/>
  <c r="J21" i="1"/>
  <c r="K21" i="1" s="1"/>
  <c r="L21" i="1" s="1"/>
  <c r="M21" i="1" s="1"/>
  <c r="H21" i="1"/>
  <c r="I21" i="1" s="1"/>
  <c r="J15" i="1"/>
  <c r="K15" i="1" s="1"/>
  <c r="L15" i="1" s="1"/>
  <c r="M15" i="1" s="1"/>
  <c r="H15" i="1"/>
  <c r="I15" i="1" s="1"/>
  <c r="J23" i="1"/>
  <c r="K23" i="1" s="1"/>
  <c r="L23" i="1" s="1"/>
  <c r="M23" i="1" s="1"/>
  <c r="H23" i="1"/>
  <c r="I23" i="1" s="1"/>
  <c r="J16" i="1"/>
  <c r="K16" i="1" s="1"/>
  <c r="L16" i="1" s="1"/>
  <c r="M16" i="1" s="1"/>
  <c r="H16" i="1"/>
  <c r="I16" i="1" s="1"/>
  <c r="J22" i="1"/>
  <c r="K22" i="1" s="1"/>
  <c r="L22" i="1" s="1"/>
  <c r="M22" i="1" s="1"/>
  <c r="H22" i="1"/>
  <c r="I22" i="1" s="1"/>
  <c r="J24" i="1"/>
  <c r="K24" i="1" s="1"/>
  <c r="L24" i="1" s="1"/>
  <c r="M24" i="1" s="1"/>
  <c r="H24" i="1"/>
  <c r="I24" i="1" s="1"/>
  <c r="H20" i="1"/>
  <c r="I20" i="1" s="1"/>
  <c r="J20" i="1"/>
  <c r="K20" i="1" s="1"/>
  <c r="L20" i="1" s="1"/>
  <c r="M20" i="1" s="1"/>
  <c r="F7" i="1"/>
  <c r="J8" i="1"/>
  <c r="K8" i="1" s="1"/>
  <c r="L8" i="1" s="1"/>
  <c r="M8" i="1" s="1"/>
  <c r="H8" i="1"/>
  <c r="I8" i="1" s="1"/>
  <c r="H6" i="1"/>
  <c r="I6" i="1" s="1"/>
  <c r="J6" i="1"/>
  <c r="K6" i="1" s="1"/>
  <c r="L6" i="1" s="1"/>
  <c r="M6" i="1" s="1"/>
  <c r="J10" i="1"/>
  <c r="K10" i="1" s="1"/>
  <c r="L10" i="1" s="1"/>
  <c r="M10" i="1" s="1"/>
  <c r="H10" i="1"/>
  <c r="I10" i="1" s="1"/>
  <c r="J5" i="1"/>
  <c r="K5" i="1" s="1"/>
  <c r="L5" i="1" s="1"/>
  <c r="M5" i="1" s="1"/>
  <c r="R5" i="1" s="1"/>
  <c r="H5" i="1"/>
  <c r="I5" i="1" s="1"/>
  <c r="F64" i="1"/>
  <c r="F116" i="1"/>
  <c r="F200" i="1"/>
  <c r="F217" i="1"/>
  <c r="F98" i="1"/>
  <c r="F52" i="1"/>
  <c r="F197" i="1"/>
  <c r="F106" i="1"/>
  <c r="F199" i="1"/>
  <c r="F83" i="1"/>
  <c r="F76" i="1"/>
  <c r="F129" i="1"/>
  <c r="F137" i="1"/>
  <c r="F11" i="1"/>
  <c r="F179" i="1"/>
  <c r="F38" i="1"/>
  <c r="F65" i="1"/>
  <c r="F141" i="1"/>
  <c r="F35" i="1"/>
  <c r="F207" i="1"/>
  <c r="F67" i="1"/>
  <c r="F54" i="1"/>
  <c r="F187" i="1"/>
  <c r="F149" i="1"/>
  <c r="F86" i="1"/>
  <c r="F46" i="1"/>
  <c r="F102" i="1"/>
  <c r="F49" i="1"/>
  <c r="F9" i="1"/>
  <c r="F30" i="1"/>
  <c r="F73" i="1"/>
  <c r="AH11" i="1"/>
  <c r="AN25" i="1"/>
  <c r="AM24" i="1"/>
  <c r="AN24" i="1" s="1"/>
  <c r="AO24" i="1"/>
  <c r="AM8" i="1"/>
  <c r="AN7" i="1"/>
  <c r="AO6" i="1"/>
  <c r="AH15" i="1"/>
  <c r="AH12" i="1"/>
  <c r="AH21" i="1"/>
  <c r="AH13" i="1"/>
  <c r="AH27" i="1"/>
  <c r="AH9" i="1"/>
  <c r="AH23" i="1"/>
  <c r="AH20" i="1"/>
  <c r="AH22" i="1"/>
  <c r="AH40" i="1"/>
  <c r="AH5" i="1"/>
  <c r="AH52" i="1"/>
  <c r="AH37" i="1"/>
  <c r="AH19" i="1"/>
  <c r="AH43" i="1"/>
  <c r="AH33" i="1"/>
  <c r="AH35" i="1"/>
  <c r="AH47" i="1"/>
  <c r="AH7" i="1"/>
  <c r="AH18" i="1"/>
  <c r="AH29" i="1"/>
  <c r="AH6" i="1"/>
  <c r="AH10" i="1"/>
  <c r="AH49" i="1"/>
  <c r="AH17" i="1"/>
  <c r="AH57" i="1"/>
  <c r="AC5" i="1"/>
  <c r="AC6" i="1" s="1"/>
  <c r="AC7" i="1" s="1"/>
  <c r="AC8" i="1" s="1"/>
  <c r="AH51" i="1"/>
  <c r="Z63" i="1"/>
  <c r="Z64" i="1" s="1"/>
  <c r="AH14" i="1"/>
  <c r="AH16" i="1"/>
  <c r="W269" i="1" l="1"/>
  <c r="AJ252" i="1"/>
  <c r="W252" i="1"/>
  <c r="X229" i="1"/>
  <c r="W268" i="1"/>
  <c r="X245" i="1"/>
  <c r="X252" i="1"/>
  <c r="W229" i="1"/>
  <c r="X269" i="1"/>
  <c r="V269" i="1"/>
  <c r="W245" i="1"/>
  <c r="AJ229" i="1"/>
  <c r="AJ245" i="1"/>
  <c r="AJ227" i="1"/>
  <c r="W227" i="1"/>
  <c r="V227" i="1"/>
  <c r="V246" i="1"/>
  <c r="X34" i="1"/>
  <c r="V34" i="1"/>
  <c r="W34" i="1"/>
  <c r="X226" i="1"/>
  <c r="AJ243" i="1"/>
  <c r="AJ236" i="1"/>
  <c r="V247" i="1"/>
  <c r="V226" i="1"/>
  <c r="W246" i="1"/>
  <c r="AJ4" i="1"/>
  <c r="AJ125" i="1"/>
  <c r="X247" i="1"/>
  <c r="W247" i="1"/>
  <c r="X290" i="1"/>
  <c r="W236" i="1"/>
  <c r="X253" i="1"/>
  <c r="X251" i="1"/>
  <c r="AJ293" i="1"/>
  <c r="V290" i="1"/>
  <c r="AJ290" i="1"/>
  <c r="X233" i="1"/>
  <c r="AJ253" i="1"/>
  <c r="W253" i="1"/>
  <c r="W233" i="1"/>
  <c r="AJ257" i="1"/>
  <c r="W226" i="1"/>
  <c r="X246" i="1"/>
  <c r="V250" i="1"/>
  <c r="V268" i="1"/>
  <c r="X257" i="1"/>
  <c r="W243" i="1"/>
  <c r="W257" i="1"/>
  <c r="AJ239" i="1"/>
  <c r="W251" i="1"/>
  <c r="X243" i="1"/>
  <c r="X225" i="1"/>
  <c r="AJ251" i="1"/>
  <c r="W125" i="1"/>
  <c r="V236" i="1"/>
  <c r="AJ250" i="1"/>
  <c r="V239" i="1"/>
  <c r="X249" i="1"/>
  <c r="AJ225" i="1"/>
  <c r="AJ249" i="1"/>
  <c r="X239" i="1"/>
  <c r="V4" i="1"/>
  <c r="V233" i="1"/>
  <c r="AJ268" i="1"/>
  <c r="W249" i="1"/>
  <c r="W234" i="1"/>
  <c r="X260" i="1"/>
  <c r="V238" i="1"/>
  <c r="W260" i="1"/>
  <c r="W4" i="1"/>
  <c r="X111" i="1"/>
  <c r="AJ234" i="1"/>
  <c r="X125" i="1"/>
  <c r="X250" i="1"/>
  <c r="W238" i="1"/>
  <c r="V260" i="1"/>
  <c r="X238" i="1"/>
  <c r="W225" i="1"/>
  <c r="V234" i="1"/>
  <c r="X296" i="1"/>
  <c r="V272" i="1"/>
  <c r="V296" i="1"/>
  <c r="X272" i="1"/>
  <c r="W296" i="1"/>
  <c r="X293" i="1"/>
  <c r="W272" i="1"/>
  <c r="V293" i="1"/>
  <c r="W111" i="1"/>
  <c r="V111" i="1"/>
  <c r="X224" i="1"/>
  <c r="AJ224" i="1"/>
  <c r="V224" i="1"/>
  <c r="V275" i="1"/>
  <c r="AJ275" i="1"/>
  <c r="W275" i="1"/>
  <c r="AJ223" i="1"/>
  <c r="W223" i="1"/>
  <c r="X223" i="1"/>
  <c r="X123" i="1"/>
  <c r="AJ123" i="1"/>
  <c r="V123" i="1"/>
  <c r="AJ178" i="1"/>
  <c r="W178" i="1"/>
  <c r="V178" i="1"/>
  <c r="V261" i="1"/>
  <c r="X277" i="1"/>
  <c r="W261" i="1"/>
  <c r="V276" i="1"/>
  <c r="AJ276" i="1"/>
  <c r="W276" i="1"/>
  <c r="AJ279" i="1"/>
  <c r="V284" i="1"/>
  <c r="AJ284" i="1"/>
  <c r="AJ287" i="1"/>
  <c r="W284" i="1"/>
  <c r="V279" i="1"/>
  <c r="AJ261" i="1"/>
  <c r="W279" i="1"/>
  <c r="V287" i="1"/>
  <c r="V265" i="1"/>
  <c r="AJ277" i="1"/>
  <c r="X287" i="1"/>
  <c r="V295" i="1"/>
  <c r="X255" i="1"/>
  <c r="W277" i="1"/>
  <c r="W265" i="1"/>
  <c r="AJ299" i="1"/>
  <c r="X265" i="1"/>
  <c r="W299" i="1"/>
  <c r="W295" i="1"/>
  <c r="X295" i="1"/>
  <c r="V270" i="1"/>
  <c r="W270" i="1"/>
  <c r="X270" i="1"/>
  <c r="V255" i="1"/>
  <c r="AJ255" i="1"/>
  <c r="V256" i="1"/>
  <c r="AJ216" i="1"/>
  <c r="V216" i="1"/>
  <c r="W216" i="1"/>
  <c r="X216" i="1"/>
  <c r="X299" i="1"/>
  <c r="AJ214" i="1"/>
  <c r="X214" i="1"/>
  <c r="W214" i="1"/>
  <c r="V214" i="1"/>
  <c r="V263" i="1"/>
  <c r="AJ285" i="1"/>
  <c r="W285" i="1"/>
  <c r="X285" i="1"/>
  <c r="V291" i="1"/>
  <c r="AJ256" i="1"/>
  <c r="X291" i="1"/>
  <c r="W291" i="1"/>
  <c r="W263" i="1"/>
  <c r="X263" i="1"/>
  <c r="W256" i="1"/>
  <c r="H273" i="1"/>
  <c r="I273" i="1" s="1"/>
  <c r="U273" i="1" s="1"/>
  <c r="J273" i="1"/>
  <c r="K273" i="1" s="1"/>
  <c r="L273" i="1" s="1"/>
  <c r="M273" i="1" s="1"/>
  <c r="X259" i="1"/>
  <c r="V259" i="1"/>
  <c r="W259" i="1"/>
  <c r="J278" i="1"/>
  <c r="K278" i="1" s="1"/>
  <c r="L278" i="1" s="1"/>
  <c r="M278" i="1" s="1"/>
  <c r="H278" i="1"/>
  <c r="I278" i="1" s="1"/>
  <c r="U278" i="1" s="1"/>
  <c r="V300" i="1"/>
  <c r="W300" i="1"/>
  <c r="X300" i="1"/>
  <c r="AJ300" i="1"/>
  <c r="V288" i="1"/>
  <c r="W288" i="1"/>
  <c r="X288" i="1"/>
  <c r="AJ288" i="1"/>
  <c r="J282" i="1"/>
  <c r="K282" i="1" s="1"/>
  <c r="L282" i="1" s="1"/>
  <c r="M282" i="1" s="1"/>
  <c r="H282" i="1"/>
  <c r="I282" i="1" s="1"/>
  <c r="U282" i="1" s="1"/>
  <c r="J283" i="1"/>
  <c r="K283" i="1" s="1"/>
  <c r="L283" i="1" s="1"/>
  <c r="M283" i="1" s="1"/>
  <c r="H283" i="1"/>
  <c r="I283" i="1" s="1"/>
  <c r="U283" i="1" s="1"/>
  <c r="J267" i="1"/>
  <c r="K267" i="1" s="1"/>
  <c r="L267" i="1" s="1"/>
  <c r="M267" i="1" s="1"/>
  <c r="H267" i="1"/>
  <c r="I267" i="1" s="1"/>
  <c r="U267" i="1" s="1"/>
  <c r="H258" i="1"/>
  <c r="I258" i="1" s="1"/>
  <c r="U258" i="1" s="1"/>
  <c r="J258" i="1"/>
  <c r="K258" i="1" s="1"/>
  <c r="L258" i="1" s="1"/>
  <c r="M258" i="1" s="1"/>
  <c r="AJ240" i="1"/>
  <c r="V240" i="1"/>
  <c r="X240" i="1"/>
  <c r="W244" i="1"/>
  <c r="AJ244" i="1"/>
  <c r="X244" i="1"/>
  <c r="W235" i="1"/>
  <c r="V235" i="1"/>
  <c r="AJ235" i="1"/>
  <c r="AJ228" i="1"/>
  <c r="X228" i="1"/>
  <c r="W228" i="1"/>
  <c r="X41" i="1"/>
  <c r="V41" i="1"/>
  <c r="W41" i="1"/>
  <c r="U152" i="1"/>
  <c r="AJ152" i="1" s="1"/>
  <c r="X161" i="1"/>
  <c r="W161" i="1"/>
  <c r="V161" i="1"/>
  <c r="AJ161" i="1"/>
  <c r="V77" i="1"/>
  <c r="X77" i="1"/>
  <c r="W77" i="1"/>
  <c r="U95" i="1"/>
  <c r="AJ77" i="1"/>
  <c r="U138" i="1"/>
  <c r="U175" i="1"/>
  <c r="U82" i="1"/>
  <c r="U37" i="1"/>
  <c r="U62" i="1"/>
  <c r="U10" i="1"/>
  <c r="U20" i="1"/>
  <c r="U18" i="1"/>
  <c r="U213" i="1"/>
  <c r="U24" i="1"/>
  <c r="U15" i="1"/>
  <c r="U14" i="1"/>
  <c r="U193" i="1"/>
  <c r="U208" i="1"/>
  <c r="U160" i="1"/>
  <c r="U146" i="1"/>
  <c r="U205" i="1"/>
  <c r="U51" i="1"/>
  <c r="U176" i="1"/>
  <c r="U153" i="1"/>
  <c r="U131" i="1"/>
  <c r="U89" i="1"/>
  <c r="U122" i="1"/>
  <c r="U128" i="1"/>
  <c r="U133" i="1"/>
  <c r="U130" i="1"/>
  <c r="U96" i="1"/>
  <c r="U139" i="1"/>
  <c r="U103" i="1"/>
  <c r="U169" i="1"/>
  <c r="V181" i="1"/>
  <c r="W181" i="1"/>
  <c r="X181" i="1"/>
  <c r="W168" i="1"/>
  <c r="X168" i="1"/>
  <c r="V168" i="1"/>
  <c r="X91" i="1"/>
  <c r="W91" i="1"/>
  <c r="V91" i="1"/>
  <c r="U6" i="1"/>
  <c r="U150" i="1"/>
  <c r="U120" i="1"/>
  <c r="U154" i="1"/>
  <c r="U162" i="1"/>
  <c r="U19" i="1"/>
  <c r="U127" i="1"/>
  <c r="U39" i="1"/>
  <c r="U84" i="1"/>
  <c r="AJ84" i="1" s="1"/>
  <c r="U31" i="1"/>
  <c r="U92" i="1"/>
  <c r="U156" i="1"/>
  <c r="U47" i="1"/>
  <c r="U134" i="1"/>
  <c r="U60" i="1"/>
  <c r="U55" i="1"/>
  <c r="X110" i="1"/>
  <c r="V110" i="1"/>
  <c r="W110" i="1"/>
  <c r="W210" i="1"/>
  <c r="V210" i="1"/>
  <c r="X210" i="1"/>
  <c r="X114" i="1"/>
  <c r="W114" i="1"/>
  <c r="V114" i="1"/>
  <c r="X145" i="1"/>
  <c r="W145" i="1"/>
  <c r="V145" i="1"/>
  <c r="AJ181" i="1"/>
  <c r="AJ168" i="1"/>
  <c r="AJ91" i="1"/>
  <c r="U22" i="1"/>
  <c r="AJ22" i="1" s="1"/>
  <c r="U42" i="1"/>
  <c r="U115" i="1"/>
  <c r="U157" i="1"/>
  <c r="U107" i="1"/>
  <c r="U26" i="1"/>
  <c r="U36" i="1"/>
  <c r="U143" i="1"/>
  <c r="U124" i="1"/>
  <c r="U191" i="1"/>
  <c r="U68" i="1"/>
  <c r="U148" i="1"/>
  <c r="X183" i="1"/>
  <c r="V183" i="1"/>
  <c r="W183" i="1"/>
  <c r="X63" i="1"/>
  <c r="V63" i="1"/>
  <c r="W63" i="1"/>
  <c r="X70" i="1"/>
  <c r="W70" i="1"/>
  <c r="V70" i="1"/>
  <c r="V61" i="1"/>
  <c r="X61" i="1"/>
  <c r="W61" i="1"/>
  <c r="U21" i="1"/>
  <c r="U201" i="1"/>
  <c r="U105" i="1"/>
  <c r="U104" i="1"/>
  <c r="U32" i="1"/>
  <c r="X53" i="1"/>
  <c r="W53" i="1"/>
  <c r="V53" i="1"/>
  <c r="W79" i="1"/>
  <c r="X79" i="1"/>
  <c r="V79" i="1"/>
  <c r="U8" i="1"/>
  <c r="U16" i="1"/>
  <c r="U17" i="1"/>
  <c r="AJ17" i="1" s="1"/>
  <c r="U28" i="1"/>
  <c r="U85" i="1"/>
  <c r="U118" i="1"/>
  <c r="U113" i="1"/>
  <c r="U189" i="1"/>
  <c r="U144" i="1"/>
  <c r="U29" i="1"/>
  <c r="U117" i="1"/>
  <c r="AJ117" i="1" s="1"/>
  <c r="U206" i="1"/>
  <c r="U212" i="1"/>
  <c r="U81" i="1"/>
  <c r="U185" i="1"/>
  <c r="AJ185" i="1" s="1"/>
  <c r="U171" i="1"/>
  <c r="U209" i="1"/>
  <c r="U56" i="1"/>
  <c r="U57" i="1"/>
  <c r="AJ57" i="1" s="1"/>
  <c r="U99" i="1"/>
  <c r="U66" i="1"/>
  <c r="AJ183" i="1"/>
  <c r="AJ63" i="1"/>
  <c r="AJ70" i="1"/>
  <c r="AJ61" i="1"/>
  <c r="X166" i="1"/>
  <c r="V166" i="1"/>
  <c r="W166" i="1"/>
  <c r="X59" i="1"/>
  <c r="W59" i="1"/>
  <c r="V59" i="1"/>
  <c r="W203" i="1"/>
  <c r="V203" i="1"/>
  <c r="X203" i="1"/>
  <c r="U27" i="1"/>
  <c r="AJ27" i="1" s="1"/>
  <c r="U140" i="1"/>
  <c r="AJ140" i="1" s="1"/>
  <c r="U5" i="1"/>
  <c r="AJ5" i="1" s="1"/>
  <c r="U12" i="1"/>
  <c r="AJ12" i="1" s="1"/>
  <c r="U159" i="1"/>
  <c r="AJ159" i="1" s="1"/>
  <c r="U132" i="1"/>
  <c r="AJ132" i="1" s="1"/>
  <c r="U119" i="1"/>
  <c r="AJ119" i="1" s="1"/>
  <c r="U71" i="1"/>
  <c r="AJ71" i="1" s="1"/>
  <c r="U78" i="1"/>
  <c r="AJ78" i="1" s="1"/>
  <c r="U204" i="1"/>
  <c r="AJ204" i="1" s="1"/>
  <c r="U174" i="1"/>
  <c r="AJ174" i="1" s="1"/>
  <c r="U182" i="1"/>
  <c r="AJ182" i="1" s="1"/>
  <c r="X126" i="1"/>
  <c r="V126" i="1"/>
  <c r="W126" i="1"/>
  <c r="X97" i="1"/>
  <c r="W97" i="1"/>
  <c r="V97" i="1"/>
  <c r="X58" i="1"/>
  <c r="W58" i="1"/>
  <c r="V58" i="1"/>
  <c r="AJ166" i="1"/>
  <c r="AJ59" i="1"/>
  <c r="AJ203" i="1"/>
  <c r="U90" i="1"/>
  <c r="AJ90" i="1" s="1"/>
  <c r="U163" i="1"/>
  <c r="AJ163" i="1" s="1"/>
  <c r="U184" i="1"/>
  <c r="AJ184" i="1" s="1"/>
  <c r="U195" i="1"/>
  <c r="AJ195" i="1" s="1"/>
  <c r="X25" i="1"/>
  <c r="W25" i="1"/>
  <c r="V25" i="1"/>
  <c r="U23" i="1"/>
  <c r="U13" i="1"/>
  <c r="U165" i="1"/>
  <c r="U43" i="1"/>
  <c r="AJ43" i="1" s="1"/>
  <c r="U112" i="1"/>
  <c r="U194" i="1"/>
  <c r="U45" i="1"/>
  <c r="U80" i="1"/>
  <c r="AJ80" i="1" s="1"/>
  <c r="U50" i="1"/>
  <c r="U72" i="1"/>
  <c r="U40" i="1"/>
  <c r="U192" i="1"/>
  <c r="U202" i="1"/>
  <c r="U190" i="1"/>
  <c r="U74" i="1"/>
  <c r="AJ74" i="1" s="1"/>
  <c r="U188" i="1"/>
  <c r="U142" i="1"/>
  <c r="U33" i="1"/>
  <c r="U88" i="1"/>
  <c r="U211" i="1"/>
  <c r="U44" i="1"/>
  <c r="X198" i="1"/>
  <c r="V198" i="1"/>
  <c r="W198" i="1"/>
  <c r="V101" i="1"/>
  <c r="X101" i="1"/>
  <c r="W101" i="1"/>
  <c r="X177" i="1"/>
  <c r="V177" i="1"/>
  <c r="W177" i="1"/>
  <c r="U158" i="1"/>
  <c r="U151" i="1"/>
  <c r="U87" i="1"/>
  <c r="AJ87" i="1" s="1"/>
  <c r="U135" i="1"/>
  <c r="U196" i="1"/>
  <c r="U172" i="1"/>
  <c r="U180" i="1"/>
  <c r="U108" i="1"/>
  <c r="U69" i="1"/>
  <c r="X94" i="1"/>
  <c r="W94" i="1"/>
  <c r="V94" i="1"/>
  <c r="W167" i="1"/>
  <c r="V167" i="1"/>
  <c r="X167" i="1"/>
  <c r="X100" i="1"/>
  <c r="V100" i="1"/>
  <c r="W100" i="1"/>
  <c r="AJ198" i="1"/>
  <c r="AJ101" i="1"/>
  <c r="AJ177" i="1"/>
  <c r="J109" i="1"/>
  <c r="K109" i="1" s="1"/>
  <c r="L109" i="1" s="1"/>
  <c r="M109" i="1" s="1"/>
  <c r="H109" i="1"/>
  <c r="I109" i="1" s="1"/>
  <c r="J136" i="1"/>
  <c r="K136" i="1" s="1"/>
  <c r="L136" i="1" s="1"/>
  <c r="M136" i="1" s="1"/>
  <c r="H136" i="1"/>
  <c r="I136" i="1" s="1"/>
  <c r="H93" i="1"/>
  <c r="I93" i="1" s="1"/>
  <c r="J93" i="1"/>
  <c r="K93" i="1" s="1"/>
  <c r="L93" i="1" s="1"/>
  <c r="M93" i="1" s="1"/>
  <c r="H75" i="1"/>
  <c r="I75" i="1" s="1"/>
  <c r="J75" i="1"/>
  <c r="K75" i="1" s="1"/>
  <c r="L75" i="1" s="1"/>
  <c r="M75" i="1" s="1"/>
  <c r="H121" i="1"/>
  <c r="I121" i="1" s="1"/>
  <c r="J121" i="1"/>
  <c r="K121" i="1" s="1"/>
  <c r="L121" i="1" s="1"/>
  <c r="M121" i="1" s="1"/>
  <c r="H164" i="1"/>
  <c r="I164" i="1" s="1"/>
  <c r="J164" i="1"/>
  <c r="K164" i="1" s="1"/>
  <c r="L164" i="1" s="1"/>
  <c r="M164" i="1" s="1"/>
  <c r="J155" i="1"/>
  <c r="K155" i="1" s="1"/>
  <c r="L155" i="1" s="1"/>
  <c r="M155" i="1" s="1"/>
  <c r="H155" i="1"/>
  <c r="I155" i="1" s="1"/>
  <c r="J147" i="1"/>
  <c r="K147" i="1" s="1"/>
  <c r="L147" i="1" s="1"/>
  <c r="M147" i="1" s="1"/>
  <c r="H147" i="1"/>
  <c r="I147" i="1" s="1"/>
  <c r="H170" i="1"/>
  <c r="I170" i="1" s="1"/>
  <c r="J170" i="1"/>
  <c r="K170" i="1" s="1"/>
  <c r="L170" i="1" s="1"/>
  <c r="M170" i="1" s="1"/>
  <c r="H186" i="1"/>
  <c r="I186" i="1" s="1"/>
  <c r="J186" i="1"/>
  <c r="K186" i="1" s="1"/>
  <c r="L186" i="1" s="1"/>
  <c r="M186" i="1" s="1"/>
  <c r="J173" i="1"/>
  <c r="K173" i="1" s="1"/>
  <c r="L173" i="1" s="1"/>
  <c r="M173" i="1" s="1"/>
  <c r="H173" i="1"/>
  <c r="I173" i="1" s="1"/>
  <c r="J116" i="1"/>
  <c r="K116" i="1" s="1"/>
  <c r="L116" i="1" s="1"/>
  <c r="M116" i="1" s="1"/>
  <c r="H116" i="1"/>
  <c r="I116" i="1" s="1"/>
  <c r="J73" i="1"/>
  <c r="K73" i="1" s="1"/>
  <c r="L73" i="1" s="1"/>
  <c r="M73" i="1" s="1"/>
  <c r="H73" i="1"/>
  <c r="I73" i="1" s="1"/>
  <c r="J30" i="1"/>
  <c r="K30" i="1" s="1"/>
  <c r="L30" i="1" s="1"/>
  <c r="M30" i="1" s="1"/>
  <c r="H30" i="1"/>
  <c r="I30" i="1" s="1"/>
  <c r="J83" i="1"/>
  <c r="K83" i="1" s="1"/>
  <c r="L83" i="1" s="1"/>
  <c r="M83" i="1" s="1"/>
  <c r="H83" i="1"/>
  <c r="I83" i="1" s="1"/>
  <c r="J64" i="1"/>
  <c r="K64" i="1" s="1"/>
  <c r="L64" i="1" s="1"/>
  <c r="M64" i="1" s="1"/>
  <c r="H64" i="1"/>
  <c r="I64" i="1" s="1"/>
  <c r="J187" i="1"/>
  <c r="K187" i="1" s="1"/>
  <c r="L187" i="1" s="1"/>
  <c r="M187" i="1" s="1"/>
  <c r="H187" i="1"/>
  <c r="I187" i="1" s="1"/>
  <c r="H54" i="1"/>
  <c r="I54" i="1" s="1"/>
  <c r="J54" i="1"/>
  <c r="K54" i="1" s="1"/>
  <c r="L54" i="1" s="1"/>
  <c r="M54" i="1" s="1"/>
  <c r="J65" i="1"/>
  <c r="K65" i="1" s="1"/>
  <c r="L65" i="1" s="1"/>
  <c r="M65" i="1" s="1"/>
  <c r="H65" i="1"/>
  <c r="I65" i="1" s="1"/>
  <c r="H199" i="1"/>
  <c r="I199" i="1" s="1"/>
  <c r="J199" i="1"/>
  <c r="K199" i="1" s="1"/>
  <c r="L199" i="1" s="1"/>
  <c r="M199" i="1" s="1"/>
  <c r="J217" i="1"/>
  <c r="K217" i="1" s="1"/>
  <c r="L217" i="1" s="1"/>
  <c r="M217" i="1" s="1"/>
  <c r="H217" i="1"/>
  <c r="I217" i="1" s="1"/>
  <c r="U217" i="1" s="1"/>
  <c r="J141" i="1"/>
  <c r="K141" i="1" s="1"/>
  <c r="L141" i="1" s="1"/>
  <c r="M141" i="1" s="1"/>
  <c r="H141" i="1"/>
  <c r="I141" i="1" s="1"/>
  <c r="J38" i="1"/>
  <c r="K38" i="1" s="1"/>
  <c r="L38" i="1" s="1"/>
  <c r="M38" i="1" s="1"/>
  <c r="H38" i="1"/>
  <c r="I38" i="1" s="1"/>
  <c r="J106" i="1"/>
  <c r="K106" i="1" s="1"/>
  <c r="L106" i="1" s="1"/>
  <c r="M106" i="1" s="1"/>
  <c r="H106" i="1"/>
  <c r="I106" i="1" s="1"/>
  <c r="J197" i="1"/>
  <c r="K197" i="1" s="1"/>
  <c r="L197" i="1" s="1"/>
  <c r="M197" i="1" s="1"/>
  <c r="H197" i="1"/>
  <c r="I197" i="1" s="1"/>
  <c r="J149" i="1"/>
  <c r="K149" i="1" s="1"/>
  <c r="L149" i="1" s="1"/>
  <c r="M149" i="1" s="1"/>
  <c r="H149" i="1"/>
  <c r="I149" i="1" s="1"/>
  <c r="J35" i="1"/>
  <c r="K35" i="1" s="1"/>
  <c r="L35" i="1" s="1"/>
  <c r="M35" i="1" s="1"/>
  <c r="H35" i="1"/>
  <c r="I35" i="1" s="1"/>
  <c r="J67" i="1"/>
  <c r="K67" i="1" s="1"/>
  <c r="L67" i="1" s="1"/>
  <c r="M67" i="1" s="1"/>
  <c r="H67" i="1"/>
  <c r="I67" i="1" s="1"/>
  <c r="J102" i="1"/>
  <c r="K102" i="1" s="1"/>
  <c r="L102" i="1" s="1"/>
  <c r="M102" i="1" s="1"/>
  <c r="H102" i="1"/>
  <c r="I102" i="1" s="1"/>
  <c r="J46" i="1"/>
  <c r="K46" i="1" s="1"/>
  <c r="L46" i="1" s="1"/>
  <c r="M46" i="1" s="1"/>
  <c r="H46" i="1"/>
  <c r="I46" i="1" s="1"/>
  <c r="H207" i="1"/>
  <c r="I207" i="1" s="1"/>
  <c r="J207" i="1"/>
  <c r="K207" i="1" s="1"/>
  <c r="L207" i="1" s="1"/>
  <c r="M207" i="1" s="1"/>
  <c r="J129" i="1"/>
  <c r="K129" i="1" s="1"/>
  <c r="L129" i="1" s="1"/>
  <c r="M129" i="1" s="1"/>
  <c r="H129" i="1"/>
  <c r="I129" i="1" s="1"/>
  <c r="J52" i="1"/>
  <c r="K52" i="1" s="1"/>
  <c r="L52" i="1" s="1"/>
  <c r="M52" i="1" s="1"/>
  <c r="H52" i="1"/>
  <c r="I52" i="1" s="1"/>
  <c r="J200" i="1"/>
  <c r="K200" i="1" s="1"/>
  <c r="L200" i="1" s="1"/>
  <c r="M200" i="1" s="1"/>
  <c r="H200" i="1"/>
  <c r="I200" i="1" s="1"/>
  <c r="J179" i="1"/>
  <c r="K179" i="1" s="1"/>
  <c r="L179" i="1" s="1"/>
  <c r="M179" i="1" s="1"/>
  <c r="H179" i="1"/>
  <c r="I179" i="1" s="1"/>
  <c r="J98" i="1"/>
  <c r="K98" i="1" s="1"/>
  <c r="L98" i="1" s="1"/>
  <c r="M98" i="1" s="1"/>
  <c r="H98" i="1"/>
  <c r="I98" i="1" s="1"/>
  <c r="J49" i="1"/>
  <c r="K49" i="1" s="1"/>
  <c r="L49" i="1" s="1"/>
  <c r="M49" i="1" s="1"/>
  <c r="H49" i="1"/>
  <c r="I49" i="1" s="1"/>
  <c r="J137" i="1"/>
  <c r="K137" i="1" s="1"/>
  <c r="L137" i="1" s="1"/>
  <c r="M137" i="1" s="1"/>
  <c r="H137" i="1"/>
  <c r="I137" i="1" s="1"/>
  <c r="H86" i="1"/>
  <c r="I86" i="1" s="1"/>
  <c r="J86" i="1"/>
  <c r="K86" i="1" s="1"/>
  <c r="L86" i="1" s="1"/>
  <c r="M86" i="1" s="1"/>
  <c r="J76" i="1"/>
  <c r="K76" i="1" s="1"/>
  <c r="L76" i="1" s="1"/>
  <c r="M76" i="1" s="1"/>
  <c r="H76" i="1"/>
  <c r="I76" i="1" s="1"/>
  <c r="H11" i="1"/>
  <c r="I11" i="1" s="1"/>
  <c r="J11" i="1"/>
  <c r="K11" i="1" s="1"/>
  <c r="L11" i="1" s="1"/>
  <c r="M11" i="1" s="1"/>
  <c r="H7" i="1"/>
  <c r="I7" i="1" s="1"/>
  <c r="J7" i="1"/>
  <c r="K7" i="1" s="1"/>
  <c r="L7" i="1" s="1"/>
  <c r="M7" i="1" s="1"/>
  <c r="R6" i="1"/>
  <c r="T6" i="1" s="1"/>
  <c r="J9" i="1"/>
  <c r="K9" i="1" s="1"/>
  <c r="L9" i="1" s="1"/>
  <c r="M9" i="1" s="1"/>
  <c r="H9" i="1"/>
  <c r="I9" i="1" s="1"/>
  <c r="AO23" i="1"/>
  <c r="AN8" i="1"/>
  <c r="AO7" i="1"/>
  <c r="AM9" i="1"/>
  <c r="Z65" i="1"/>
  <c r="Z66" i="1" s="1"/>
  <c r="Z67" i="1" s="1"/>
  <c r="Z68" i="1" s="1"/>
  <c r="Z69" i="1" s="1"/>
  <c r="AH64" i="1"/>
  <c r="AH8" i="1"/>
  <c r="AC9" i="1"/>
  <c r="AC10" i="1" s="1"/>
  <c r="AC11" i="1" s="1"/>
  <c r="AC12" i="1" s="1"/>
  <c r="AC13" i="1" s="1"/>
  <c r="AC14" i="1" s="1"/>
  <c r="AC15" i="1" s="1"/>
  <c r="AC16" i="1" s="1"/>
  <c r="AC17" i="1" s="1"/>
  <c r="AC18" i="1" s="1"/>
  <c r="AC19" i="1" s="1"/>
  <c r="AC20" i="1" s="1"/>
  <c r="AC21" i="1" s="1"/>
  <c r="AC22" i="1" s="1"/>
  <c r="AC23" i="1" s="1"/>
  <c r="AC24" i="1" s="1"/>
  <c r="AH24" i="1"/>
  <c r="AD5" i="1"/>
  <c r="AF5" i="1" s="1"/>
  <c r="AH28" i="1"/>
  <c r="AD6" i="1"/>
  <c r="AF6" i="1" s="1"/>
  <c r="AD7" i="1"/>
  <c r="AF7" i="1" s="1"/>
  <c r="X217" i="1" l="1"/>
  <c r="AJ217" i="1"/>
  <c r="V217" i="1"/>
  <c r="W217" i="1"/>
  <c r="AJ273" i="1"/>
  <c r="W273" i="1"/>
  <c r="X273" i="1"/>
  <c r="V273" i="1"/>
  <c r="X278" i="1"/>
  <c r="V278" i="1"/>
  <c r="W278" i="1"/>
  <c r="AJ278" i="1"/>
  <c r="W282" i="1"/>
  <c r="V282" i="1"/>
  <c r="X282" i="1"/>
  <c r="AJ282" i="1"/>
  <c r="V283" i="1"/>
  <c r="X283" i="1"/>
  <c r="W283" i="1"/>
  <c r="AJ283" i="1"/>
  <c r="V267" i="1"/>
  <c r="W267" i="1"/>
  <c r="X267" i="1"/>
  <c r="AJ267" i="1"/>
  <c r="X258" i="1"/>
  <c r="W258" i="1"/>
  <c r="V258" i="1"/>
  <c r="AJ258" i="1"/>
  <c r="W152" i="1"/>
  <c r="X152" i="1"/>
  <c r="V152" i="1"/>
  <c r="U170" i="1"/>
  <c r="W138" i="1"/>
  <c r="V138" i="1"/>
  <c r="X138" i="1"/>
  <c r="U116" i="1"/>
  <c r="AJ116" i="1" s="1"/>
  <c r="U147" i="1"/>
  <c r="AJ147" i="1" s="1"/>
  <c r="AJ138" i="1"/>
  <c r="U173" i="1"/>
  <c r="W95" i="1"/>
  <c r="X95" i="1"/>
  <c r="V95" i="1"/>
  <c r="AJ95" i="1"/>
  <c r="U186" i="1"/>
  <c r="V175" i="1"/>
  <c r="X175" i="1"/>
  <c r="W175" i="1"/>
  <c r="U102" i="1"/>
  <c r="AJ102" i="1" s="1"/>
  <c r="AJ175" i="1"/>
  <c r="U75" i="1"/>
  <c r="U121" i="1"/>
  <c r="X108" i="1"/>
  <c r="V108" i="1"/>
  <c r="W108" i="1"/>
  <c r="X135" i="1"/>
  <c r="V135" i="1"/>
  <c r="W135" i="1"/>
  <c r="X158" i="1"/>
  <c r="V158" i="1"/>
  <c r="W158" i="1"/>
  <c r="W211" i="1"/>
  <c r="X211" i="1"/>
  <c r="V211" i="1"/>
  <c r="X188" i="1"/>
  <c r="W188" i="1"/>
  <c r="V188" i="1"/>
  <c r="W192" i="1"/>
  <c r="X192" i="1"/>
  <c r="V192" i="1"/>
  <c r="X50" i="1"/>
  <c r="V50" i="1"/>
  <c r="W50" i="1"/>
  <c r="W112" i="1"/>
  <c r="X112" i="1"/>
  <c r="V112" i="1"/>
  <c r="X23" i="1"/>
  <c r="W23" i="1"/>
  <c r="V23" i="1"/>
  <c r="X99" i="1"/>
  <c r="W99" i="1"/>
  <c r="V99" i="1"/>
  <c r="X171" i="1"/>
  <c r="W171" i="1"/>
  <c r="V171" i="1"/>
  <c r="X206" i="1"/>
  <c r="V206" i="1"/>
  <c r="W206" i="1"/>
  <c r="V189" i="1"/>
  <c r="X189" i="1"/>
  <c r="W189" i="1"/>
  <c r="X28" i="1"/>
  <c r="W28" i="1"/>
  <c r="V28" i="1"/>
  <c r="W104" i="1"/>
  <c r="X104" i="1"/>
  <c r="V104" i="1"/>
  <c r="X191" i="1"/>
  <c r="W191" i="1"/>
  <c r="V191" i="1"/>
  <c r="X26" i="1"/>
  <c r="W26" i="1"/>
  <c r="V26" i="1"/>
  <c r="X42" i="1"/>
  <c r="V42" i="1"/>
  <c r="W42" i="1"/>
  <c r="X134" i="1"/>
  <c r="V134" i="1"/>
  <c r="W134" i="1"/>
  <c r="V31" i="1"/>
  <c r="X31" i="1"/>
  <c r="W31" i="1"/>
  <c r="X19" i="1"/>
  <c r="W19" i="1"/>
  <c r="V19" i="1"/>
  <c r="X150" i="1"/>
  <c r="V150" i="1"/>
  <c r="W150" i="1"/>
  <c r="X169" i="1"/>
  <c r="V169" i="1"/>
  <c r="W169" i="1"/>
  <c r="X130" i="1"/>
  <c r="W130" i="1"/>
  <c r="V130" i="1"/>
  <c r="X89" i="1"/>
  <c r="V89" i="1"/>
  <c r="W89" i="1"/>
  <c r="X51" i="1"/>
  <c r="W51" i="1"/>
  <c r="V51" i="1"/>
  <c r="W208" i="1"/>
  <c r="X208" i="1"/>
  <c r="V208" i="1"/>
  <c r="V24" i="1"/>
  <c r="X24" i="1"/>
  <c r="W24" i="1"/>
  <c r="X10" i="1"/>
  <c r="W10" i="1"/>
  <c r="V10" i="1"/>
  <c r="W88" i="1"/>
  <c r="X88" i="1"/>
  <c r="V88" i="1"/>
  <c r="X124" i="1"/>
  <c r="W124" i="1"/>
  <c r="V124" i="1"/>
  <c r="U11" i="1"/>
  <c r="AJ11" i="1" s="1"/>
  <c r="U76" i="1"/>
  <c r="AJ76" i="1" s="1"/>
  <c r="U98" i="1"/>
  <c r="AJ98" i="1" s="1"/>
  <c r="U129" i="1"/>
  <c r="AJ129" i="1" s="1"/>
  <c r="U67" i="1"/>
  <c r="U106" i="1"/>
  <c r="AJ106" i="1" s="1"/>
  <c r="U64" i="1"/>
  <c r="AJ64" i="1" s="1"/>
  <c r="AJ108" i="1"/>
  <c r="AJ135" i="1"/>
  <c r="AJ158" i="1"/>
  <c r="AJ211" i="1"/>
  <c r="AJ188" i="1"/>
  <c r="AJ192" i="1"/>
  <c r="AJ50" i="1"/>
  <c r="AJ112" i="1"/>
  <c r="AJ23" i="1"/>
  <c r="X163" i="1"/>
  <c r="W163" i="1"/>
  <c r="V163" i="1"/>
  <c r="X182" i="1"/>
  <c r="V182" i="1"/>
  <c r="W182" i="1"/>
  <c r="X71" i="1"/>
  <c r="V71" i="1"/>
  <c r="W71" i="1"/>
  <c r="X12" i="1"/>
  <c r="W12" i="1"/>
  <c r="V12" i="1"/>
  <c r="AJ99" i="1"/>
  <c r="AJ171" i="1"/>
  <c r="AJ206" i="1"/>
  <c r="AJ189" i="1"/>
  <c r="AJ28" i="1"/>
  <c r="AJ104" i="1"/>
  <c r="AJ191" i="1"/>
  <c r="AJ26" i="1"/>
  <c r="AJ42" i="1"/>
  <c r="AJ134" i="1"/>
  <c r="AJ31" i="1"/>
  <c r="AJ19" i="1"/>
  <c r="AJ150" i="1"/>
  <c r="AJ169" i="1"/>
  <c r="AJ130" i="1"/>
  <c r="AJ89" i="1"/>
  <c r="AJ51" i="1"/>
  <c r="AJ208" i="1"/>
  <c r="AJ24" i="1"/>
  <c r="AJ10" i="1"/>
  <c r="X180" i="1"/>
  <c r="V180" i="1"/>
  <c r="W180" i="1"/>
  <c r="V40" i="1"/>
  <c r="X40" i="1"/>
  <c r="W40" i="1"/>
  <c r="X113" i="1"/>
  <c r="W113" i="1"/>
  <c r="V113" i="1"/>
  <c r="V105" i="1"/>
  <c r="X105" i="1"/>
  <c r="W105" i="1"/>
  <c r="X107" i="1"/>
  <c r="W107" i="1"/>
  <c r="V107" i="1"/>
  <c r="X47" i="1"/>
  <c r="V47" i="1"/>
  <c r="W47" i="1"/>
  <c r="X162" i="1"/>
  <c r="W162" i="1"/>
  <c r="V162" i="1"/>
  <c r="X6" i="1"/>
  <c r="W6" i="1"/>
  <c r="V6" i="1"/>
  <c r="X103" i="1"/>
  <c r="W103" i="1"/>
  <c r="V103" i="1"/>
  <c r="V133" i="1"/>
  <c r="X133" i="1"/>
  <c r="W133" i="1"/>
  <c r="X131" i="1"/>
  <c r="W131" i="1"/>
  <c r="V131" i="1"/>
  <c r="V205" i="1"/>
  <c r="X205" i="1"/>
  <c r="W205" i="1"/>
  <c r="X193" i="1"/>
  <c r="W193" i="1"/>
  <c r="V193" i="1"/>
  <c r="V213" i="1"/>
  <c r="X213" i="1"/>
  <c r="W213" i="1"/>
  <c r="X62" i="1"/>
  <c r="W62" i="1"/>
  <c r="V62" i="1"/>
  <c r="U179" i="1"/>
  <c r="AJ179" i="1" s="1"/>
  <c r="U35" i="1"/>
  <c r="U38" i="1"/>
  <c r="AJ38" i="1" s="1"/>
  <c r="U65" i="1"/>
  <c r="AJ65" i="1" s="1"/>
  <c r="U83" i="1"/>
  <c r="AJ83" i="1" s="1"/>
  <c r="U155" i="1"/>
  <c r="AJ180" i="1"/>
  <c r="AJ88" i="1"/>
  <c r="AJ40" i="1"/>
  <c r="X90" i="1"/>
  <c r="W90" i="1"/>
  <c r="V90" i="1"/>
  <c r="X174" i="1"/>
  <c r="V174" i="1"/>
  <c r="W174" i="1"/>
  <c r="X119" i="1"/>
  <c r="W119" i="1"/>
  <c r="V119" i="1"/>
  <c r="X5" i="1"/>
  <c r="W5" i="1"/>
  <c r="V5" i="1"/>
  <c r="AJ113" i="1"/>
  <c r="AJ105" i="1"/>
  <c r="AJ124" i="1"/>
  <c r="AJ107" i="1"/>
  <c r="AJ47" i="1"/>
  <c r="AJ162" i="1"/>
  <c r="AJ6" i="1"/>
  <c r="AJ103" i="1"/>
  <c r="AJ133" i="1"/>
  <c r="AJ131" i="1"/>
  <c r="AJ205" i="1"/>
  <c r="AJ193" i="1"/>
  <c r="AJ213" i="1"/>
  <c r="AJ62" i="1"/>
  <c r="U9" i="1"/>
  <c r="X43" i="1"/>
  <c r="W43" i="1"/>
  <c r="V43" i="1"/>
  <c r="X57" i="1"/>
  <c r="V57" i="1"/>
  <c r="W57" i="1"/>
  <c r="X17" i="1"/>
  <c r="W17" i="1"/>
  <c r="V17" i="1"/>
  <c r="X22" i="1"/>
  <c r="W22" i="1"/>
  <c r="V22" i="1"/>
  <c r="U86" i="1"/>
  <c r="AJ86" i="1" s="1"/>
  <c r="U93" i="1"/>
  <c r="X172" i="1"/>
  <c r="V172" i="1"/>
  <c r="W172" i="1"/>
  <c r="X33" i="1"/>
  <c r="W33" i="1"/>
  <c r="V33" i="1"/>
  <c r="X190" i="1"/>
  <c r="V190" i="1"/>
  <c r="W190" i="1"/>
  <c r="W72" i="1"/>
  <c r="X72" i="1"/>
  <c r="V72" i="1"/>
  <c r="X45" i="1"/>
  <c r="W45" i="1"/>
  <c r="V45" i="1"/>
  <c r="V165" i="1"/>
  <c r="X165" i="1"/>
  <c r="W165" i="1"/>
  <c r="V56" i="1"/>
  <c r="X56" i="1"/>
  <c r="W56" i="1"/>
  <c r="X81" i="1"/>
  <c r="W81" i="1"/>
  <c r="V81" i="1"/>
  <c r="X29" i="1"/>
  <c r="W29" i="1"/>
  <c r="V29" i="1"/>
  <c r="X118" i="1"/>
  <c r="W118" i="1"/>
  <c r="V118" i="1"/>
  <c r="V16" i="1"/>
  <c r="X16" i="1"/>
  <c r="W16" i="1"/>
  <c r="X201" i="1"/>
  <c r="V201" i="1"/>
  <c r="W201" i="1"/>
  <c r="X148" i="1"/>
  <c r="W148" i="1"/>
  <c r="V148" i="1"/>
  <c r="X143" i="1"/>
  <c r="V143" i="1"/>
  <c r="W143" i="1"/>
  <c r="V157" i="1"/>
  <c r="X157" i="1"/>
  <c r="W157" i="1"/>
  <c r="X55" i="1"/>
  <c r="V55" i="1"/>
  <c r="W55" i="1"/>
  <c r="X156" i="1"/>
  <c r="V156" i="1"/>
  <c r="W156" i="1"/>
  <c r="V39" i="1"/>
  <c r="X39" i="1"/>
  <c r="W39" i="1"/>
  <c r="X154" i="1"/>
  <c r="W154" i="1"/>
  <c r="V154" i="1"/>
  <c r="X139" i="1"/>
  <c r="W139" i="1"/>
  <c r="V139" i="1"/>
  <c r="W128" i="1"/>
  <c r="X128" i="1"/>
  <c r="V128" i="1"/>
  <c r="X153" i="1"/>
  <c r="V153" i="1"/>
  <c r="W153" i="1"/>
  <c r="X146" i="1"/>
  <c r="W146" i="1"/>
  <c r="V146" i="1"/>
  <c r="X14" i="1"/>
  <c r="W14" i="1"/>
  <c r="V14" i="1"/>
  <c r="X18" i="1"/>
  <c r="V18" i="1"/>
  <c r="W18" i="1"/>
  <c r="X37" i="1"/>
  <c r="W37" i="1"/>
  <c r="V37" i="1"/>
  <c r="X87" i="1"/>
  <c r="W87" i="1"/>
  <c r="V87" i="1"/>
  <c r="W80" i="1"/>
  <c r="X80" i="1"/>
  <c r="V80" i="1"/>
  <c r="V117" i="1"/>
  <c r="X117" i="1"/>
  <c r="W117" i="1"/>
  <c r="U207" i="1"/>
  <c r="AJ207" i="1" s="1"/>
  <c r="U137" i="1"/>
  <c r="U200" i="1"/>
  <c r="AJ200" i="1" s="1"/>
  <c r="U46" i="1"/>
  <c r="U149" i="1"/>
  <c r="U141" i="1"/>
  <c r="U30" i="1"/>
  <c r="AJ30" i="1" s="1"/>
  <c r="U136" i="1"/>
  <c r="AJ172" i="1"/>
  <c r="AJ33" i="1"/>
  <c r="AJ190" i="1"/>
  <c r="AJ72" i="1"/>
  <c r="AJ45" i="1"/>
  <c r="AJ165" i="1"/>
  <c r="W195" i="1"/>
  <c r="V195" i="1"/>
  <c r="X195" i="1"/>
  <c r="X204" i="1"/>
  <c r="W204" i="1"/>
  <c r="V204" i="1"/>
  <c r="X132" i="1"/>
  <c r="V132" i="1"/>
  <c r="W132" i="1"/>
  <c r="X140" i="1"/>
  <c r="V140" i="1"/>
  <c r="W140" i="1"/>
  <c r="AJ56" i="1"/>
  <c r="AJ81" i="1"/>
  <c r="AJ29" i="1"/>
  <c r="AJ118" i="1"/>
  <c r="AJ16" i="1"/>
  <c r="AJ201" i="1"/>
  <c r="AJ148" i="1"/>
  <c r="AJ143" i="1"/>
  <c r="AJ157" i="1"/>
  <c r="AJ55" i="1"/>
  <c r="AJ156" i="1"/>
  <c r="AJ39" i="1"/>
  <c r="AJ154" i="1"/>
  <c r="AJ139" i="1"/>
  <c r="AJ128" i="1"/>
  <c r="AJ153" i="1"/>
  <c r="AJ146" i="1"/>
  <c r="AJ14" i="1"/>
  <c r="AJ18" i="1"/>
  <c r="AJ37" i="1"/>
  <c r="U199" i="1"/>
  <c r="X185" i="1"/>
  <c r="V185" i="1"/>
  <c r="W185" i="1"/>
  <c r="X84" i="1"/>
  <c r="V84" i="1"/>
  <c r="W84" i="1"/>
  <c r="U54" i="1"/>
  <c r="U164" i="1"/>
  <c r="AJ164" i="1" s="1"/>
  <c r="V69" i="1"/>
  <c r="X69" i="1"/>
  <c r="W69" i="1"/>
  <c r="X196" i="1"/>
  <c r="W196" i="1"/>
  <c r="V196" i="1"/>
  <c r="X151" i="1"/>
  <c r="W151" i="1"/>
  <c r="V151" i="1"/>
  <c r="X44" i="1"/>
  <c r="W44" i="1"/>
  <c r="V44" i="1"/>
  <c r="X142" i="1"/>
  <c r="V142" i="1"/>
  <c r="W142" i="1"/>
  <c r="V202" i="1"/>
  <c r="X202" i="1"/>
  <c r="W202" i="1"/>
  <c r="X194" i="1"/>
  <c r="W194" i="1"/>
  <c r="V194" i="1"/>
  <c r="X13" i="1"/>
  <c r="W13" i="1"/>
  <c r="V13" i="1"/>
  <c r="X66" i="1"/>
  <c r="W66" i="1"/>
  <c r="V66" i="1"/>
  <c r="X209" i="1"/>
  <c r="W209" i="1"/>
  <c r="V209" i="1"/>
  <c r="X212" i="1"/>
  <c r="W212" i="1"/>
  <c r="V212" i="1"/>
  <c r="W144" i="1"/>
  <c r="X144" i="1"/>
  <c r="V144" i="1"/>
  <c r="V85" i="1"/>
  <c r="X85" i="1"/>
  <c r="W85" i="1"/>
  <c r="V8" i="1"/>
  <c r="X8" i="1"/>
  <c r="W8" i="1"/>
  <c r="V32" i="1"/>
  <c r="X32" i="1"/>
  <c r="W32" i="1"/>
  <c r="X21" i="1"/>
  <c r="W21" i="1"/>
  <c r="V21" i="1"/>
  <c r="X68" i="1"/>
  <c r="V68" i="1"/>
  <c r="W68" i="1"/>
  <c r="X36" i="1"/>
  <c r="V36" i="1"/>
  <c r="W36" i="1"/>
  <c r="X115" i="1"/>
  <c r="W115" i="1"/>
  <c r="V115" i="1"/>
  <c r="X60" i="1"/>
  <c r="W60" i="1"/>
  <c r="V60" i="1"/>
  <c r="X92" i="1"/>
  <c r="W92" i="1"/>
  <c r="V92" i="1"/>
  <c r="X127" i="1"/>
  <c r="V127" i="1"/>
  <c r="W127" i="1"/>
  <c r="W120" i="1"/>
  <c r="X120" i="1"/>
  <c r="V120" i="1"/>
  <c r="W96" i="1"/>
  <c r="X96" i="1"/>
  <c r="V96" i="1"/>
  <c r="X122" i="1"/>
  <c r="W122" i="1"/>
  <c r="V122" i="1"/>
  <c r="W176" i="1"/>
  <c r="X176" i="1"/>
  <c r="V176" i="1"/>
  <c r="W160" i="1"/>
  <c r="X160" i="1"/>
  <c r="V160" i="1"/>
  <c r="X15" i="1"/>
  <c r="W15" i="1"/>
  <c r="V15" i="1"/>
  <c r="X20" i="1"/>
  <c r="W20" i="1"/>
  <c r="V20" i="1"/>
  <c r="X82" i="1"/>
  <c r="W82" i="1"/>
  <c r="V82" i="1"/>
  <c r="X74" i="1"/>
  <c r="W74" i="1"/>
  <c r="V74" i="1"/>
  <c r="U7" i="1"/>
  <c r="AJ7" i="1" s="1"/>
  <c r="U49" i="1"/>
  <c r="U52" i="1"/>
  <c r="U197" i="1"/>
  <c r="AJ197" i="1" s="1"/>
  <c r="U187" i="1"/>
  <c r="AJ187" i="1" s="1"/>
  <c r="U73" i="1"/>
  <c r="U109" i="1"/>
  <c r="AJ109" i="1" s="1"/>
  <c r="AJ69" i="1"/>
  <c r="AJ196" i="1"/>
  <c r="AJ151" i="1"/>
  <c r="AJ44" i="1"/>
  <c r="AJ142" i="1"/>
  <c r="AJ202" i="1"/>
  <c r="AJ194" i="1"/>
  <c r="AJ13" i="1"/>
  <c r="W184" i="1"/>
  <c r="V184" i="1"/>
  <c r="X184" i="1"/>
  <c r="X78" i="1"/>
  <c r="W78" i="1"/>
  <c r="V78" i="1"/>
  <c r="X159" i="1"/>
  <c r="W159" i="1"/>
  <c r="V159" i="1"/>
  <c r="X27" i="1"/>
  <c r="W27" i="1"/>
  <c r="V27" i="1"/>
  <c r="AJ66" i="1"/>
  <c r="AJ209" i="1"/>
  <c r="AJ212" i="1"/>
  <c r="AJ144" i="1"/>
  <c r="AJ85" i="1"/>
  <c r="AJ8" i="1"/>
  <c r="AJ32" i="1"/>
  <c r="AJ21" i="1"/>
  <c r="AJ68" i="1"/>
  <c r="AJ36" i="1"/>
  <c r="AJ115" i="1"/>
  <c r="AJ60" i="1"/>
  <c r="AJ92" i="1"/>
  <c r="AJ127" i="1"/>
  <c r="AJ120" i="1"/>
  <c r="AJ96" i="1"/>
  <c r="AJ122" i="1"/>
  <c r="AJ176" i="1"/>
  <c r="AJ160" i="1"/>
  <c r="AJ15" i="1"/>
  <c r="AJ20" i="1"/>
  <c r="AJ82" i="1"/>
  <c r="R7" i="1"/>
  <c r="T7" i="1" s="1"/>
  <c r="AO8" i="1"/>
  <c r="AM10" i="1"/>
  <c r="AN9" i="1"/>
  <c r="Z70" i="1"/>
  <c r="AH69" i="1"/>
  <c r="AC25" i="1"/>
  <c r="AH25" i="1"/>
  <c r="AH26" i="1"/>
  <c r="AH30" i="1"/>
  <c r="AD8" i="1"/>
  <c r="AF8" i="1" s="1"/>
  <c r="X102" i="1" l="1"/>
  <c r="V102" i="1"/>
  <c r="W102" i="1"/>
  <c r="V116" i="1"/>
  <c r="W116" i="1"/>
  <c r="X116" i="1"/>
  <c r="V173" i="1"/>
  <c r="W173" i="1"/>
  <c r="X173" i="1"/>
  <c r="AJ173" i="1"/>
  <c r="X186" i="1"/>
  <c r="W186" i="1"/>
  <c r="V186" i="1"/>
  <c r="X170" i="1"/>
  <c r="W170" i="1"/>
  <c r="V170" i="1"/>
  <c r="AJ186" i="1"/>
  <c r="X147" i="1"/>
  <c r="V147" i="1"/>
  <c r="W147" i="1"/>
  <c r="AJ170" i="1"/>
  <c r="X54" i="1"/>
  <c r="W54" i="1"/>
  <c r="V54" i="1"/>
  <c r="V141" i="1"/>
  <c r="X141" i="1"/>
  <c r="W141" i="1"/>
  <c r="X137" i="1"/>
  <c r="W137" i="1"/>
  <c r="V137" i="1"/>
  <c r="X86" i="1"/>
  <c r="V86" i="1"/>
  <c r="W86" i="1"/>
  <c r="X199" i="1"/>
  <c r="V199" i="1"/>
  <c r="W199" i="1"/>
  <c r="X67" i="1"/>
  <c r="W67" i="1"/>
  <c r="V67" i="1"/>
  <c r="V197" i="1"/>
  <c r="X197" i="1"/>
  <c r="W197" i="1"/>
  <c r="X164" i="1"/>
  <c r="V164" i="1"/>
  <c r="W164" i="1"/>
  <c r="AJ141" i="1"/>
  <c r="AJ137" i="1"/>
  <c r="X65" i="1"/>
  <c r="V65" i="1"/>
  <c r="W65" i="1"/>
  <c r="X106" i="1"/>
  <c r="V106" i="1"/>
  <c r="W106" i="1"/>
  <c r="X76" i="1"/>
  <c r="W76" i="1"/>
  <c r="V76" i="1"/>
  <c r="X52" i="1"/>
  <c r="V52" i="1"/>
  <c r="W52" i="1"/>
  <c r="AJ52" i="1"/>
  <c r="AJ54" i="1"/>
  <c r="AJ199" i="1"/>
  <c r="W136" i="1"/>
  <c r="X136" i="1"/>
  <c r="V136" i="1"/>
  <c r="X46" i="1"/>
  <c r="W46" i="1"/>
  <c r="V46" i="1"/>
  <c r="AJ67" i="1"/>
  <c r="X121" i="1"/>
  <c r="V121" i="1"/>
  <c r="W121" i="1"/>
  <c r="X207" i="1"/>
  <c r="V207" i="1"/>
  <c r="W207" i="1"/>
  <c r="V73" i="1"/>
  <c r="X73" i="1"/>
  <c r="W73" i="1"/>
  <c r="X49" i="1"/>
  <c r="V49" i="1"/>
  <c r="W49" i="1"/>
  <c r="AJ136" i="1"/>
  <c r="AJ46" i="1"/>
  <c r="X155" i="1"/>
  <c r="W155" i="1"/>
  <c r="V155" i="1"/>
  <c r="X35" i="1"/>
  <c r="W35" i="1"/>
  <c r="V35" i="1"/>
  <c r="X129" i="1"/>
  <c r="V129" i="1"/>
  <c r="W129" i="1"/>
  <c r="X11" i="1"/>
  <c r="V11" i="1"/>
  <c r="W11" i="1"/>
  <c r="AJ121" i="1"/>
  <c r="V149" i="1"/>
  <c r="X149" i="1"/>
  <c r="W149" i="1"/>
  <c r="AJ73" i="1"/>
  <c r="AJ49" i="1"/>
  <c r="X30" i="1"/>
  <c r="W30" i="1"/>
  <c r="V30" i="1"/>
  <c r="W200" i="1"/>
  <c r="X200" i="1"/>
  <c r="V200" i="1"/>
  <c r="V93" i="1"/>
  <c r="X93" i="1"/>
  <c r="W93" i="1"/>
  <c r="X9" i="1"/>
  <c r="V9" i="1"/>
  <c r="W9" i="1"/>
  <c r="AJ155" i="1"/>
  <c r="AJ35" i="1"/>
  <c r="X75" i="1"/>
  <c r="W75" i="1"/>
  <c r="V75" i="1"/>
  <c r="V109" i="1"/>
  <c r="X109" i="1"/>
  <c r="W109" i="1"/>
  <c r="AJ149" i="1"/>
  <c r="X38" i="1"/>
  <c r="W38" i="1"/>
  <c r="V38" i="1"/>
  <c r="X187" i="1"/>
  <c r="W187" i="1"/>
  <c r="V187" i="1"/>
  <c r="V7" i="1"/>
  <c r="X7" i="1"/>
  <c r="W7" i="1"/>
  <c r="AJ93" i="1"/>
  <c r="AJ9" i="1"/>
  <c r="X83" i="1"/>
  <c r="W83" i="1"/>
  <c r="V83" i="1"/>
  <c r="X179" i="1"/>
  <c r="W179" i="1"/>
  <c r="V179" i="1"/>
  <c r="W64" i="1"/>
  <c r="X64" i="1"/>
  <c r="V64" i="1"/>
  <c r="X98" i="1"/>
  <c r="W98" i="1"/>
  <c r="V98" i="1"/>
  <c r="AJ75" i="1"/>
  <c r="R8" i="1"/>
  <c r="T8" i="1" s="1"/>
  <c r="AM11" i="1"/>
  <c r="AN10" i="1"/>
  <c r="AO9" i="1"/>
  <c r="Z71" i="1"/>
  <c r="Z72" i="1" s="1"/>
  <c r="Z73" i="1" s="1"/>
  <c r="AC26" i="1"/>
  <c r="AC27" i="1" s="1"/>
  <c r="AH31" i="1"/>
  <c r="AD9" i="1"/>
  <c r="AF9" i="1" s="1"/>
  <c r="R9" i="1" l="1"/>
  <c r="T9" i="1" s="1"/>
  <c r="AN11" i="1"/>
  <c r="AO10" i="1"/>
  <c r="AM12" i="1"/>
  <c r="Z74" i="1"/>
  <c r="Z75" i="1" s="1"/>
  <c r="Z76" i="1" s="1"/>
  <c r="AH73" i="1"/>
  <c r="AC28" i="1"/>
  <c r="AC29" i="1" s="1"/>
  <c r="AC30" i="1" s="1"/>
  <c r="AC31" i="1" s="1"/>
  <c r="AC32" i="1" s="1"/>
  <c r="AC33" i="1" s="1"/>
  <c r="AH32" i="1"/>
  <c r="AD10" i="1"/>
  <c r="AF10" i="1" s="1"/>
  <c r="R10" i="1" l="1"/>
  <c r="T10" i="1" s="1"/>
  <c r="AM13" i="1"/>
  <c r="AO11" i="1"/>
  <c r="AN12" i="1"/>
  <c r="AH75" i="1"/>
  <c r="Z77" i="1"/>
  <c r="Z78" i="1" s="1"/>
  <c r="AC34" i="1"/>
  <c r="AC35" i="1" s="1"/>
  <c r="AD11" i="1"/>
  <c r="AF11" i="1" s="1"/>
  <c r="R11" i="1" l="1"/>
  <c r="T11" i="1" s="1"/>
  <c r="AM14" i="1"/>
  <c r="AN13" i="1"/>
  <c r="AO12" i="1"/>
  <c r="Z79" i="1"/>
  <c r="Z80" i="1" s="1"/>
  <c r="Z81" i="1" s="1"/>
  <c r="AH78" i="1"/>
  <c r="AH34" i="1"/>
  <c r="AD12" i="1"/>
  <c r="AF12" i="1" s="1"/>
  <c r="R12" i="1" l="1"/>
  <c r="T12" i="1" s="1"/>
  <c r="AO13" i="1"/>
  <c r="AN14" i="1"/>
  <c r="AM15" i="1"/>
  <c r="Z82" i="1"/>
  <c r="AH81" i="1"/>
  <c r="AC36" i="1"/>
  <c r="AC37" i="1" s="1"/>
  <c r="AD13" i="1"/>
  <c r="AF13" i="1" s="1"/>
  <c r="R13" i="1" l="1"/>
  <c r="T13" i="1" s="1"/>
  <c r="AM16" i="1"/>
  <c r="AN15" i="1"/>
  <c r="AO14" i="1"/>
  <c r="Z83" i="1"/>
  <c r="Z84" i="1" s="1"/>
  <c r="Z85" i="1" s="1"/>
  <c r="Z86" i="1" s="1"/>
  <c r="Z87" i="1" s="1"/>
  <c r="AH82" i="1"/>
  <c r="AH36" i="1"/>
  <c r="AD14" i="1"/>
  <c r="AF14" i="1" s="1"/>
  <c r="R14" i="1" l="1"/>
  <c r="T14" i="1" s="1"/>
  <c r="AN16" i="1"/>
  <c r="AO15" i="1"/>
  <c r="AM17" i="1"/>
  <c r="Z88" i="1"/>
  <c r="Z89" i="1" s="1"/>
  <c r="Z90" i="1" s="1"/>
  <c r="Z91" i="1" s="1"/>
  <c r="Z92" i="1" s="1"/>
  <c r="AH87" i="1"/>
  <c r="AC38" i="1"/>
  <c r="AD15" i="1"/>
  <c r="AF15" i="1" s="1"/>
  <c r="R15" i="1" l="1"/>
  <c r="T15" i="1" s="1"/>
  <c r="AO16" i="1"/>
  <c r="AM18" i="1"/>
  <c r="AN17" i="1"/>
  <c r="Z93" i="1"/>
  <c r="AH92" i="1"/>
  <c r="AH38" i="1"/>
  <c r="AH39" i="1"/>
  <c r="AD16" i="1"/>
  <c r="AF16" i="1" s="1"/>
  <c r="R16" i="1" l="1"/>
  <c r="T16" i="1" s="1"/>
  <c r="AM19" i="1"/>
  <c r="AN18" i="1"/>
  <c r="AO17" i="1"/>
  <c r="Z94" i="1"/>
  <c r="Z95" i="1" s="1"/>
  <c r="Z96" i="1" s="1"/>
  <c r="AH93" i="1"/>
  <c r="AC39" i="1"/>
  <c r="AC40" i="1" s="1"/>
  <c r="AH41" i="1"/>
  <c r="AD17" i="1"/>
  <c r="AF17" i="1" s="1"/>
  <c r="R17" i="1" l="1"/>
  <c r="T17" i="1" s="1"/>
  <c r="AN19" i="1"/>
  <c r="AO18" i="1"/>
  <c r="AM20" i="1"/>
  <c r="Z97" i="1"/>
  <c r="AH96" i="1"/>
  <c r="AC41" i="1"/>
  <c r="AC42" i="1" s="1"/>
  <c r="AC43" i="1" s="1"/>
  <c r="AH42" i="1"/>
  <c r="AD18" i="1"/>
  <c r="AF18" i="1" s="1"/>
  <c r="R18" i="1" l="1"/>
  <c r="T18" i="1" s="1"/>
  <c r="AM21" i="1"/>
  <c r="AO19" i="1"/>
  <c r="AN20" i="1"/>
  <c r="Z98" i="1"/>
  <c r="AH97" i="1"/>
  <c r="AC44" i="1"/>
  <c r="AH44" i="1"/>
  <c r="AD19" i="1"/>
  <c r="AF19" i="1" s="1"/>
  <c r="R19" i="1" l="1"/>
  <c r="T19" i="1" s="1"/>
  <c r="AM22" i="1"/>
  <c r="AN21" i="1"/>
  <c r="AO20" i="1"/>
  <c r="Z99" i="1"/>
  <c r="AH98" i="1"/>
  <c r="AC45" i="1"/>
  <c r="AH45" i="1"/>
  <c r="AD20" i="1"/>
  <c r="AF20" i="1" s="1"/>
  <c r="R20" i="1" l="1"/>
  <c r="T20" i="1" s="1"/>
  <c r="AO21" i="1"/>
  <c r="AN22" i="1"/>
  <c r="AM23" i="1"/>
  <c r="AO22" i="1" s="1"/>
  <c r="Z100" i="1"/>
  <c r="AH99" i="1"/>
  <c r="AC46" i="1"/>
  <c r="AC47" i="1" s="1"/>
  <c r="AH46" i="1"/>
  <c r="AD21" i="1"/>
  <c r="AF21" i="1" s="1"/>
  <c r="R21" i="1" l="1"/>
  <c r="T21" i="1" s="1"/>
  <c r="AN23" i="1"/>
  <c r="Z101" i="1"/>
  <c r="AH100" i="1"/>
  <c r="AC48" i="1"/>
  <c r="AC49" i="1" s="1"/>
  <c r="AH48" i="1"/>
  <c r="AD22" i="1"/>
  <c r="AF22" i="1" s="1"/>
  <c r="R22" i="1" l="1"/>
  <c r="T22" i="1" s="1"/>
  <c r="Z102" i="1"/>
  <c r="AH101" i="1"/>
  <c r="AC50" i="1"/>
  <c r="AC51" i="1" s="1"/>
  <c r="AC52" i="1" s="1"/>
  <c r="AD23" i="1"/>
  <c r="AF23" i="1" s="1"/>
  <c r="R23" i="1" l="1"/>
  <c r="T23" i="1" s="1"/>
  <c r="Z103" i="1"/>
  <c r="AH102" i="1"/>
  <c r="AH50" i="1"/>
  <c r="AD24" i="1"/>
  <c r="AF24" i="1" s="1"/>
  <c r="R24" i="1" l="1"/>
  <c r="T24" i="1" s="1"/>
  <c r="Z104" i="1"/>
  <c r="AH103" i="1"/>
  <c r="AD25" i="1"/>
  <c r="AF25" i="1" s="1"/>
  <c r="R25" i="1" l="1"/>
  <c r="T25" i="1" s="1"/>
  <c r="Z105" i="1"/>
  <c r="AH104" i="1"/>
  <c r="AC53" i="1"/>
  <c r="AD26" i="1"/>
  <c r="AF26" i="1" s="1"/>
  <c r="R26" i="1" l="1"/>
  <c r="T26" i="1" s="1"/>
  <c r="Z106" i="1"/>
  <c r="AH105" i="1"/>
  <c r="AH53" i="1"/>
  <c r="AH54" i="1"/>
  <c r="AH55" i="1"/>
  <c r="AD27" i="1"/>
  <c r="AF27" i="1" s="1"/>
  <c r="R27" i="1" l="1"/>
  <c r="T27" i="1" s="1"/>
  <c r="Z107" i="1"/>
  <c r="AH106" i="1"/>
  <c r="AC54" i="1"/>
  <c r="AC55" i="1" s="1"/>
  <c r="AC56" i="1" s="1"/>
  <c r="AC57" i="1" s="1"/>
  <c r="AH56" i="1"/>
  <c r="AD28" i="1"/>
  <c r="AF28" i="1" s="1"/>
  <c r="R28" i="1" l="1"/>
  <c r="T28" i="1" s="1"/>
  <c r="Z108" i="1"/>
  <c r="AH107" i="1"/>
  <c r="AC58" i="1"/>
  <c r="AD29" i="1"/>
  <c r="AF29" i="1" s="1"/>
  <c r="R29" i="1" l="1"/>
  <c r="T29" i="1" s="1"/>
  <c r="Z109" i="1"/>
  <c r="AH108" i="1"/>
  <c r="AH58" i="1"/>
  <c r="AD30" i="1"/>
  <c r="AF30" i="1" s="1"/>
  <c r="R30" i="1" l="1"/>
  <c r="T30" i="1" s="1"/>
  <c r="Z110" i="1"/>
  <c r="AH109" i="1"/>
  <c r="AC59" i="1"/>
  <c r="AH59" i="1"/>
  <c r="AD31" i="1"/>
  <c r="AF31" i="1" s="1"/>
  <c r="R31" i="1" l="1"/>
  <c r="T31" i="1" s="1"/>
  <c r="Z111" i="1"/>
  <c r="AH110" i="1"/>
  <c r="AC60" i="1"/>
  <c r="AH60" i="1"/>
  <c r="AD32" i="1"/>
  <c r="AF32" i="1" s="1"/>
  <c r="R32" i="1" l="1"/>
  <c r="T32" i="1" s="1"/>
  <c r="Z112" i="1"/>
  <c r="AH111" i="1"/>
  <c r="AC61" i="1"/>
  <c r="AC62" i="1" s="1"/>
  <c r="AH61" i="1"/>
  <c r="AD33" i="1"/>
  <c r="AF33" i="1" s="1"/>
  <c r="R33" i="1" l="1"/>
  <c r="T33" i="1" s="1"/>
  <c r="Z113" i="1"/>
  <c r="AH112" i="1"/>
  <c r="AC63" i="1"/>
  <c r="AC64" i="1" s="1"/>
  <c r="AD34" i="1"/>
  <c r="AF34" i="1" s="1"/>
  <c r="R34" i="1" l="1"/>
  <c r="Z114" i="1"/>
  <c r="AH113" i="1"/>
  <c r="AH63" i="1"/>
  <c r="AD35" i="1"/>
  <c r="AF35" i="1" s="1"/>
  <c r="R35" i="1" l="1"/>
  <c r="T35" i="1" s="1"/>
  <c r="T34" i="1"/>
  <c r="Z115" i="1"/>
  <c r="AH114" i="1"/>
  <c r="AC65" i="1"/>
  <c r="AD36" i="1"/>
  <c r="AF36" i="1" s="1"/>
  <c r="R36" i="1" l="1"/>
  <c r="T36" i="1" s="1"/>
  <c r="Z116" i="1"/>
  <c r="AH115" i="1"/>
  <c r="AH65" i="1"/>
  <c r="AD37" i="1"/>
  <c r="AF37" i="1" s="1"/>
  <c r="R37" i="1" l="1"/>
  <c r="T37" i="1" s="1"/>
  <c r="Z117" i="1"/>
  <c r="AH116" i="1"/>
  <c r="AC66" i="1"/>
  <c r="AH66" i="1"/>
  <c r="AD38" i="1"/>
  <c r="AF38" i="1" s="1"/>
  <c r="R38" i="1" l="1"/>
  <c r="T38" i="1" s="1"/>
  <c r="Z118" i="1"/>
  <c r="AH117" i="1"/>
  <c r="AC67" i="1"/>
  <c r="AH67" i="1"/>
  <c r="AD39" i="1"/>
  <c r="AF39" i="1" s="1"/>
  <c r="R39" i="1" l="1"/>
  <c r="T39" i="1" s="1"/>
  <c r="Z119" i="1"/>
  <c r="AH118" i="1"/>
  <c r="AC68" i="1"/>
  <c r="AC69" i="1" s="1"/>
  <c r="AH68" i="1"/>
  <c r="AD40" i="1"/>
  <c r="AF40" i="1" s="1"/>
  <c r="R40" i="1" l="1"/>
  <c r="T40" i="1" s="1"/>
  <c r="Z120" i="1"/>
  <c r="AH119" i="1"/>
  <c r="AC70" i="1"/>
  <c r="AD41" i="1"/>
  <c r="AF41" i="1" s="1"/>
  <c r="R41" i="1" l="1"/>
  <c r="Z121" i="1"/>
  <c r="AH120" i="1"/>
  <c r="AH70" i="1"/>
  <c r="AD42" i="1"/>
  <c r="AF42" i="1" s="1"/>
  <c r="R42" i="1" l="1"/>
  <c r="T41" i="1"/>
  <c r="Z122" i="1"/>
  <c r="AH121" i="1"/>
  <c r="AC71" i="1"/>
  <c r="AH71" i="1"/>
  <c r="AD43" i="1"/>
  <c r="AF43" i="1" s="1"/>
  <c r="T42" i="1" l="1"/>
  <c r="R43" i="1"/>
  <c r="Z123" i="1"/>
  <c r="AH122" i="1"/>
  <c r="AC72" i="1"/>
  <c r="AC73" i="1" s="1"/>
  <c r="AH72" i="1"/>
  <c r="AD44" i="1"/>
  <c r="AF44" i="1" s="1"/>
  <c r="T43" i="1" l="1"/>
  <c r="R44" i="1"/>
  <c r="Z124" i="1"/>
  <c r="AH123" i="1"/>
  <c r="AC74" i="1"/>
  <c r="AC75" i="1" s="1"/>
  <c r="AD45" i="1"/>
  <c r="AF45" i="1" s="1"/>
  <c r="T44" i="1" l="1"/>
  <c r="R45" i="1"/>
  <c r="Z125" i="1"/>
  <c r="AH124" i="1"/>
  <c r="AH74" i="1"/>
  <c r="AD46" i="1"/>
  <c r="AF46" i="1" s="1"/>
  <c r="T45" i="1" l="1"/>
  <c r="R46" i="1"/>
  <c r="Z126" i="1"/>
  <c r="AH125" i="1"/>
  <c r="AC76" i="1"/>
  <c r="AH76" i="1"/>
  <c r="AD47" i="1"/>
  <c r="AF47" i="1" s="1"/>
  <c r="T46" i="1" l="1"/>
  <c r="R47" i="1"/>
  <c r="Z127" i="1"/>
  <c r="AH126" i="1"/>
  <c r="AC77" i="1"/>
  <c r="AC78" i="1" s="1"/>
  <c r="AH77" i="1"/>
  <c r="AD48" i="1"/>
  <c r="AF48" i="1" s="1"/>
  <c r="T47" i="1" l="1"/>
  <c r="R48" i="1"/>
  <c r="Z128" i="1"/>
  <c r="AH127" i="1"/>
  <c r="AC79" i="1"/>
  <c r="AH79" i="1"/>
  <c r="AD49" i="1"/>
  <c r="AF49" i="1" s="1"/>
  <c r="T48" i="1" l="1"/>
  <c r="R49" i="1"/>
  <c r="Z129" i="1"/>
  <c r="AH128" i="1"/>
  <c r="AC80" i="1"/>
  <c r="AC81" i="1" s="1"/>
  <c r="AC82" i="1" s="1"/>
  <c r="AH80" i="1"/>
  <c r="AD50" i="1"/>
  <c r="AF50" i="1" s="1"/>
  <c r="T49" i="1" l="1"/>
  <c r="R50" i="1"/>
  <c r="Z130" i="1"/>
  <c r="AH129" i="1"/>
  <c r="AC83" i="1"/>
  <c r="AD51" i="1"/>
  <c r="AF51" i="1" s="1"/>
  <c r="R51" i="1" l="1"/>
  <c r="T51" i="1" s="1"/>
  <c r="T50" i="1"/>
  <c r="Z131" i="1"/>
  <c r="AH130" i="1"/>
  <c r="AH83" i="1"/>
  <c r="AD52" i="1"/>
  <c r="AF52" i="1" s="1"/>
  <c r="R52" i="1" l="1"/>
  <c r="T52" i="1" s="1"/>
  <c r="Z132" i="1"/>
  <c r="AH131" i="1"/>
  <c r="AC84" i="1"/>
  <c r="AH84" i="1"/>
  <c r="AD53" i="1"/>
  <c r="AF53" i="1" s="1"/>
  <c r="R53" i="1" l="1"/>
  <c r="T53" i="1" s="1"/>
  <c r="Z133" i="1"/>
  <c r="AH132" i="1"/>
  <c r="AC85" i="1"/>
  <c r="AH85" i="1"/>
  <c r="AD54" i="1"/>
  <c r="AF54" i="1" s="1"/>
  <c r="R54" i="1" l="1"/>
  <c r="T54" i="1" s="1"/>
  <c r="Z134" i="1"/>
  <c r="AH133" i="1"/>
  <c r="AC86" i="1"/>
  <c r="AC87" i="1" s="1"/>
  <c r="AH86" i="1"/>
  <c r="AD55" i="1"/>
  <c r="AF55" i="1" s="1"/>
  <c r="R55" i="1" l="1"/>
  <c r="T55" i="1" s="1"/>
  <c r="Z135" i="1"/>
  <c r="AH134" i="1"/>
  <c r="AC88" i="1"/>
  <c r="AD56" i="1"/>
  <c r="AF56" i="1" s="1"/>
  <c r="R56" i="1" l="1"/>
  <c r="T56" i="1" s="1"/>
  <c r="Z136" i="1"/>
  <c r="AH135" i="1"/>
  <c r="AH88" i="1"/>
  <c r="AD57" i="1"/>
  <c r="AF57" i="1" s="1"/>
  <c r="R57" i="1" l="1"/>
  <c r="T57" i="1" s="1"/>
  <c r="Z137" i="1"/>
  <c r="AH136" i="1"/>
  <c r="AC89" i="1"/>
  <c r="AH89" i="1"/>
  <c r="AD58" i="1"/>
  <c r="AF58" i="1" s="1"/>
  <c r="R58" i="1" l="1"/>
  <c r="T58" i="1" s="1"/>
  <c r="Z138" i="1"/>
  <c r="AH137" i="1"/>
  <c r="AC90" i="1"/>
  <c r="AH90" i="1"/>
  <c r="AD59" i="1"/>
  <c r="AF59" i="1" s="1"/>
  <c r="R59" i="1" l="1"/>
  <c r="T59" i="1" s="1"/>
  <c r="Z139" i="1"/>
  <c r="AH138" i="1"/>
  <c r="AC91" i="1"/>
  <c r="AC92" i="1" s="1"/>
  <c r="AC93" i="1" s="1"/>
  <c r="AH91" i="1"/>
  <c r="AD60" i="1"/>
  <c r="AF60" i="1" s="1"/>
  <c r="R60" i="1" l="1"/>
  <c r="T60" i="1" s="1"/>
  <c r="Z140" i="1"/>
  <c r="AH139" i="1"/>
  <c r="AC94" i="1"/>
  <c r="AD61" i="1"/>
  <c r="AF61" i="1" s="1"/>
  <c r="R61" i="1" l="1"/>
  <c r="T61" i="1" s="1"/>
  <c r="Z141" i="1"/>
  <c r="AH140" i="1"/>
  <c r="AH94" i="1"/>
  <c r="AD62" i="1"/>
  <c r="AF62" i="1" s="1"/>
  <c r="R62" i="1" l="1"/>
  <c r="T62" i="1" s="1"/>
  <c r="Z142" i="1"/>
  <c r="AH141" i="1"/>
  <c r="AC95" i="1"/>
  <c r="AC96" i="1" s="1"/>
  <c r="AC97" i="1" s="1"/>
  <c r="AC98" i="1" s="1"/>
  <c r="AC99" i="1" s="1"/>
  <c r="AC100" i="1" s="1"/>
  <c r="AC101" i="1" s="1"/>
  <c r="AC102" i="1" s="1"/>
  <c r="AC103" i="1" s="1"/>
  <c r="AC104" i="1" s="1"/>
  <c r="AC105" i="1" s="1"/>
  <c r="AC106" i="1" s="1"/>
  <c r="AC107" i="1" s="1"/>
  <c r="AC108" i="1" s="1"/>
  <c r="AC109" i="1" s="1"/>
  <c r="AC110" i="1" s="1"/>
  <c r="AC111" i="1" s="1"/>
  <c r="AC112" i="1" s="1"/>
  <c r="AC113" i="1" s="1"/>
  <c r="AC114" i="1" s="1"/>
  <c r="AC115" i="1" s="1"/>
  <c r="AC116" i="1" s="1"/>
  <c r="AC117" i="1" s="1"/>
  <c r="AC118" i="1" s="1"/>
  <c r="AC119" i="1" s="1"/>
  <c r="AC120" i="1" s="1"/>
  <c r="AC121" i="1" s="1"/>
  <c r="AC122" i="1" s="1"/>
  <c r="AC123" i="1" s="1"/>
  <c r="AC124" i="1" s="1"/>
  <c r="AC125" i="1" s="1"/>
  <c r="AC126" i="1" s="1"/>
  <c r="AC127" i="1" s="1"/>
  <c r="AC128" i="1" s="1"/>
  <c r="AC129" i="1" s="1"/>
  <c r="AC130" i="1" s="1"/>
  <c r="AC131" i="1" s="1"/>
  <c r="AC132" i="1" s="1"/>
  <c r="AC133" i="1" s="1"/>
  <c r="AC134" i="1" s="1"/>
  <c r="AC135" i="1" s="1"/>
  <c r="AC136" i="1" s="1"/>
  <c r="AC137" i="1" s="1"/>
  <c r="AC138" i="1" s="1"/>
  <c r="AC139" i="1" s="1"/>
  <c r="AC140" i="1" s="1"/>
  <c r="AC141" i="1" s="1"/>
  <c r="AC142" i="1" s="1"/>
  <c r="AC143" i="1" s="1"/>
  <c r="AH95" i="1"/>
  <c r="AD63" i="1"/>
  <c r="AF63" i="1" s="1"/>
  <c r="R63" i="1" l="1"/>
  <c r="T63" i="1" s="1"/>
  <c r="Z143" i="1"/>
  <c r="AH142" i="1"/>
  <c r="AD97" i="1"/>
  <c r="AF97" i="1" s="1"/>
  <c r="AD64" i="1"/>
  <c r="AF64" i="1" s="1"/>
  <c r="R64" i="1" l="1"/>
  <c r="T64" i="1" s="1"/>
  <c r="Z144" i="1"/>
  <c r="AH143" i="1"/>
  <c r="AC144" i="1"/>
  <c r="AD98" i="1"/>
  <c r="AF98" i="1" s="1"/>
  <c r="AD65" i="1"/>
  <c r="AF65" i="1" s="1"/>
  <c r="R65" i="1" l="1"/>
  <c r="T65" i="1" s="1"/>
  <c r="AC145" i="1"/>
  <c r="Z145" i="1"/>
  <c r="AH144" i="1"/>
  <c r="AD99" i="1"/>
  <c r="AF99" i="1" s="1"/>
  <c r="AD66" i="1"/>
  <c r="AF66" i="1" s="1"/>
  <c r="R66" i="1" l="1"/>
  <c r="T66" i="1" s="1"/>
  <c r="Z146" i="1"/>
  <c r="AH145" i="1"/>
  <c r="AC146" i="1"/>
  <c r="AD100" i="1"/>
  <c r="AF100" i="1" s="1"/>
  <c r="AD67" i="1"/>
  <c r="AF67" i="1" s="1"/>
  <c r="R67" i="1" l="1"/>
  <c r="T67" i="1" s="1"/>
  <c r="AC147" i="1"/>
  <c r="Z147" i="1"/>
  <c r="AH146" i="1"/>
  <c r="AD101" i="1"/>
  <c r="AF101" i="1" s="1"/>
  <c r="AD68" i="1"/>
  <c r="AF68" i="1" s="1"/>
  <c r="R68" i="1" l="1"/>
  <c r="T68" i="1" s="1"/>
  <c r="Z148" i="1"/>
  <c r="AH147" i="1"/>
  <c r="AC148" i="1"/>
  <c r="AD102" i="1"/>
  <c r="AF102" i="1" s="1"/>
  <c r="AD69" i="1"/>
  <c r="AF69" i="1" s="1"/>
  <c r="R69" i="1" l="1"/>
  <c r="T69" i="1" s="1"/>
  <c r="AC149" i="1"/>
  <c r="Z149" i="1"/>
  <c r="AH148" i="1"/>
  <c r="AD103" i="1"/>
  <c r="AF103" i="1" s="1"/>
  <c r="AD70" i="1"/>
  <c r="AF70" i="1" s="1"/>
  <c r="R70" i="1" l="1"/>
  <c r="T70" i="1" s="1"/>
  <c r="Z150" i="1"/>
  <c r="AH149" i="1"/>
  <c r="AC150" i="1"/>
  <c r="AD104" i="1"/>
  <c r="AF104" i="1" s="1"/>
  <c r="AD71" i="1"/>
  <c r="AF71" i="1" s="1"/>
  <c r="R71" i="1" l="1"/>
  <c r="T71" i="1" s="1"/>
  <c r="AC151" i="1"/>
  <c r="Z151" i="1"/>
  <c r="AH150" i="1"/>
  <c r="AD105" i="1"/>
  <c r="AF105" i="1" s="1"/>
  <c r="AD72" i="1"/>
  <c r="AF72" i="1" s="1"/>
  <c r="R72" i="1" l="1"/>
  <c r="T72" i="1" s="1"/>
  <c r="Z152" i="1"/>
  <c r="AH151" i="1"/>
  <c r="AC152" i="1"/>
  <c r="AD106" i="1"/>
  <c r="AF106" i="1" s="1"/>
  <c r="AD73" i="1"/>
  <c r="AF73" i="1" s="1"/>
  <c r="R73" i="1" l="1"/>
  <c r="T73" i="1" s="1"/>
  <c r="AC153" i="1"/>
  <c r="Z153" i="1"/>
  <c r="AH152" i="1"/>
  <c r="AD107" i="1"/>
  <c r="AF107" i="1" s="1"/>
  <c r="AD74" i="1"/>
  <c r="AF74" i="1" s="1"/>
  <c r="R74" i="1" l="1"/>
  <c r="T74" i="1" s="1"/>
  <c r="AC154" i="1"/>
  <c r="Z154" i="1"/>
  <c r="AH153" i="1"/>
  <c r="AD108" i="1"/>
  <c r="AF108" i="1" s="1"/>
  <c r="AD75" i="1"/>
  <c r="AF75" i="1" s="1"/>
  <c r="R75" i="1" l="1"/>
  <c r="T75" i="1" s="1"/>
  <c r="AC155" i="1"/>
  <c r="Z155" i="1"/>
  <c r="AH154" i="1"/>
  <c r="AD109" i="1"/>
  <c r="AF109" i="1" s="1"/>
  <c r="AD76" i="1"/>
  <c r="AF76" i="1" s="1"/>
  <c r="R76" i="1" l="1"/>
  <c r="T76" i="1" s="1"/>
  <c r="Z156" i="1"/>
  <c r="AH155" i="1"/>
  <c r="AC156" i="1"/>
  <c r="AD110" i="1"/>
  <c r="AF110" i="1" s="1"/>
  <c r="AD77" i="1"/>
  <c r="AF77" i="1" s="1"/>
  <c r="R77" i="1" l="1"/>
  <c r="R78" i="1" s="1"/>
  <c r="T78" i="1" s="1"/>
  <c r="AC157" i="1"/>
  <c r="Z157" i="1"/>
  <c r="AH156" i="1"/>
  <c r="AD111" i="1"/>
  <c r="AF111" i="1" s="1"/>
  <c r="AD78" i="1"/>
  <c r="AF78" i="1" s="1"/>
  <c r="R79" i="1" l="1"/>
  <c r="T79" i="1" s="1"/>
  <c r="T77" i="1"/>
  <c r="Z158" i="1"/>
  <c r="AH157" i="1"/>
  <c r="AC158" i="1"/>
  <c r="AD112" i="1"/>
  <c r="AF112" i="1" s="1"/>
  <c r="AD79" i="1"/>
  <c r="AF79" i="1" s="1"/>
  <c r="R80" i="1" l="1"/>
  <c r="T80" i="1" s="1"/>
  <c r="AC159" i="1"/>
  <c r="Z159" i="1"/>
  <c r="AH158" i="1"/>
  <c r="AD113" i="1"/>
  <c r="AF113" i="1" s="1"/>
  <c r="AD80" i="1"/>
  <c r="AF80" i="1" s="1"/>
  <c r="R81" i="1" l="1"/>
  <c r="T81" i="1" s="1"/>
  <c r="AC160" i="1"/>
  <c r="Z160" i="1"/>
  <c r="AH159" i="1"/>
  <c r="AD114" i="1"/>
  <c r="AF114" i="1" s="1"/>
  <c r="AD81" i="1"/>
  <c r="AF81" i="1" s="1"/>
  <c r="R82" i="1" l="1"/>
  <c r="T82" i="1" s="1"/>
  <c r="Z161" i="1"/>
  <c r="AH160" i="1"/>
  <c r="AC161" i="1"/>
  <c r="AD115" i="1"/>
  <c r="AF115" i="1" s="1"/>
  <c r="AD82" i="1"/>
  <c r="AF82" i="1" s="1"/>
  <c r="R83" i="1" l="1"/>
  <c r="T83" i="1" s="1"/>
  <c r="AC162" i="1"/>
  <c r="Z162" i="1"/>
  <c r="AH161" i="1"/>
  <c r="AD116" i="1"/>
  <c r="AF116" i="1" s="1"/>
  <c r="AD83" i="1"/>
  <c r="AF83" i="1" s="1"/>
  <c r="R84" i="1" l="1"/>
  <c r="T84" i="1" s="1"/>
  <c r="AC163" i="1"/>
  <c r="Z163" i="1"/>
  <c r="AH162" i="1"/>
  <c r="AD117" i="1"/>
  <c r="AF117" i="1" s="1"/>
  <c r="AD84" i="1"/>
  <c r="AF84" i="1" s="1"/>
  <c r="R85" i="1" l="1"/>
  <c r="T85" i="1" s="1"/>
  <c r="AC164" i="1"/>
  <c r="Z164" i="1"/>
  <c r="AH163" i="1"/>
  <c r="AD118" i="1"/>
  <c r="AF118" i="1" s="1"/>
  <c r="AD85" i="1"/>
  <c r="AF85" i="1" s="1"/>
  <c r="R86" i="1" l="1"/>
  <c r="T86" i="1" s="1"/>
  <c r="AC165" i="1"/>
  <c r="Z165" i="1"/>
  <c r="AH164" i="1"/>
  <c r="AD119" i="1"/>
  <c r="AF119" i="1" s="1"/>
  <c r="AD86" i="1"/>
  <c r="AF86" i="1" s="1"/>
  <c r="R87" i="1" l="1"/>
  <c r="T87" i="1" s="1"/>
  <c r="AC166" i="1"/>
  <c r="Z166" i="1"/>
  <c r="AH165" i="1"/>
  <c r="AD120" i="1"/>
  <c r="AF120" i="1" s="1"/>
  <c r="AD87" i="1"/>
  <c r="AF87" i="1" s="1"/>
  <c r="R88" i="1" l="1"/>
  <c r="T88" i="1" s="1"/>
  <c r="AC167" i="1"/>
  <c r="Z167" i="1"/>
  <c r="AH166" i="1"/>
  <c r="AD121" i="1"/>
  <c r="AF121" i="1" s="1"/>
  <c r="AD88" i="1"/>
  <c r="AF88" i="1" s="1"/>
  <c r="R89" i="1" l="1"/>
  <c r="T89" i="1" s="1"/>
  <c r="AC168" i="1"/>
  <c r="Z168" i="1"/>
  <c r="AH167" i="1"/>
  <c r="AD122" i="1"/>
  <c r="AF122" i="1" s="1"/>
  <c r="AD89" i="1"/>
  <c r="AF89" i="1" s="1"/>
  <c r="R90" i="1" l="1"/>
  <c r="T90" i="1" s="1"/>
  <c r="AC169" i="1"/>
  <c r="Z169" i="1"/>
  <c r="AH168" i="1"/>
  <c r="AD123" i="1"/>
  <c r="AF123" i="1" s="1"/>
  <c r="AD90" i="1"/>
  <c r="AF90" i="1" s="1"/>
  <c r="R91" i="1" l="1"/>
  <c r="T91" i="1" s="1"/>
  <c r="Z170" i="1"/>
  <c r="AH169" i="1"/>
  <c r="AC170" i="1"/>
  <c r="AD124" i="1"/>
  <c r="AF124" i="1" s="1"/>
  <c r="AD91" i="1"/>
  <c r="AF91" i="1" s="1"/>
  <c r="R92" i="1" l="1"/>
  <c r="T92" i="1" s="1"/>
  <c r="AC171" i="1"/>
  <c r="Z171" i="1"/>
  <c r="AH170" i="1"/>
  <c r="AD125" i="1"/>
  <c r="AF125" i="1" s="1"/>
  <c r="AD92" i="1"/>
  <c r="AF92" i="1" s="1"/>
  <c r="R93" i="1" l="1"/>
  <c r="T93" i="1" s="1"/>
  <c r="Z172" i="1"/>
  <c r="AH171" i="1"/>
  <c r="AC172" i="1"/>
  <c r="AD126" i="1"/>
  <c r="AF126" i="1" s="1"/>
  <c r="AD93" i="1"/>
  <c r="AF93" i="1" s="1"/>
  <c r="R94" i="1" l="1"/>
  <c r="T94" i="1" s="1"/>
  <c r="AC173" i="1"/>
  <c r="Z173" i="1"/>
  <c r="AH172" i="1"/>
  <c r="AD127" i="1"/>
  <c r="AF127" i="1" s="1"/>
  <c r="AD94" i="1"/>
  <c r="AF94" i="1" s="1"/>
  <c r="R95" i="1" l="1"/>
  <c r="T95" i="1" s="1"/>
  <c r="Z174" i="1"/>
  <c r="AH173" i="1"/>
  <c r="AC174" i="1"/>
  <c r="AD128" i="1"/>
  <c r="AF128" i="1" s="1"/>
  <c r="AD96" i="1"/>
  <c r="AF96" i="1" s="1"/>
  <c r="AD95" i="1"/>
  <c r="AF95" i="1" s="1"/>
  <c r="R96" i="1" l="1"/>
  <c r="R97" i="1" s="1"/>
  <c r="T97" i="1" s="1"/>
  <c r="AC175" i="1"/>
  <c r="Z175" i="1"/>
  <c r="AH174" i="1"/>
  <c r="AD129" i="1"/>
  <c r="AF129" i="1" s="1"/>
  <c r="R98" i="1" l="1"/>
  <c r="R99" i="1" s="1"/>
  <c r="T99" i="1" s="1"/>
  <c r="T96" i="1"/>
  <c r="Z176" i="1"/>
  <c r="AH175" i="1"/>
  <c r="AC176" i="1"/>
  <c r="AD130" i="1"/>
  <c r="AF130" i="1" s="1"/>
  <c r="T98" i="1" l="1"/>
  <c r="R100" i="1"/>
  <c r="T100" i="1" s="1"/>
  <c r="AC177" i="1"/>
  <c r="Z177" i="1"/>
  <c r="AH176" i="1"/>
  <c r="AD131" i="1"/>
  <c r="AF131" i="1" s="1"/>
  <c r="R101" i="1" l="1"/>
  <c r="T101" i="1" s="1"/>
  <c r="Z178" i="1"/>
  <c r="AH177" i="1"/>
  <c r="AC178" i="1"/>
  <c r="AD132" i="1"/>
  <c r="AF132" i="1" s="1"/>
  <c r="R102" i="1" l="1"/>
  <c r="T102" i="1" s="1"/>
  <c r="AC179" i="1"/>
  <c r="Z179" i="1"/>
  <c r="AH178" i="1"/>
  <c r="AD133" i="1"/>
  <c r="AF133" i="1" s="1"/>
  <c r="R103" i="1" l="1"/>
  <c r="T103" i="1" s="1"/>
  <c r="Z180" i="1"/>
  <c r="AH179" i="1"/>
  <c r="AC180" i="1"/>
  <c r="AD134" i="1"/>
  <c r="AF134" i="1" s="1"/>
  <c r="R104" i="1" l="1"/>
  <c r="T104" i="1" s="1"/>
  <c r="AC181" i="1"/>
  <c r="Z181" i="1"/>
  <c r="AH180" i="1"/>
  <c r="AD135" i="1"/>
  <c r="AF135" i="1" s="1"/>
  <c r="R105" i="1" l="1"/>
  <c r="T105" i="1" s="1"/>
  <c r="Z182" i="1"/>
  <c r="AH181" i="1"/>
  <c r="AC182" i="1"/>
  <c r="AD136" i="1"/>
  <c r="AF136" i="1" s="1"/>
  <c r="R106" i="1" l="1"/>
  <c r="T106" i="1" s="1"/>
  <c r="AC183" i="1"/>
  <c r="Z183" i="1"/>
  <c r="AH182" i="1"/>
  <c r="AD137" i="1"/>
  <c r="AF137" i="1" s="1"/>
  <c r="R107" i="1" l="1"/>
  <c r="T107" i="1" s="1"/>
  <c r="Z184" i="1"/>
  <c r="AH183" i="1"/>
  <c r="AC184" i="1"/>
  <c r="AD138" i="1"/>
  <c r="AF138" i="1" s="1"/>
  <c r="R108" i="1" l="1"/>
  <c r="T108" i="1" s="1"/>
  <c r="AC185" i="1"/>
  <c r="Z185" i="1"/>
  <c r="AH184" i="1"/>
  <c r="AD139" i="1"/>
  <c r="AF139" i="1" s="1"/>
  <c r="R109" i="1" l="1"/>
  <c r="T109" i="1" s="1"/>
  <c r="Z186" i="1"/>
  <c r="AH185" i="1"/>
  <c r="AC186" i="1"/>
  <c r="AD140" i="1"/>
  <c r="AF140" i="1" s="1"/>
  <c r="R110" i="1" l="1"/>
  <c r="T110" i="1" s="1"/>
  <c r="AC187" i="1"/>
  <c r="Z187" i="1"/>
  <c r="AH186" i="1"/>
  <c r="AD141" i="1"/>
  <c r="AF141" i="1" s="1"/>
  <c r="R111" i="1" l="1"/>
  <c r="T111" i="1" s="1"/>
  <c r="AC188" i="1"/>
  <c r="Z188" i="1"/>
  <c r="AH187" i="1"/>
  <c r="AD142" i="1"/>
  <c r="AF142" i="1" s="1"/>
  <c r="R112" i="1" l="1"/>
  <c r="T112" i="1" s="1"/>
  <c r="Z189" i="1"/>
  <c r="AH188" i="1"/>
  <c r="AC189" i="1"/>
  <c r="AD143" i="1"/>
  <c r="AF143" i="1" s="1"/>
  <c r="R113" i="1" l="1"/>
  <c r="T113" i="1" s="1"/>
  <c r="AC190" i="1"/>
  <c r="Z190" i="1"/>
  <c r="AH189" i="1"/>
  <c r="AD144" i="1"/>
  <c r="AF144" i="1" s="1"/>
  <c r="R114" i="1" l="1"/>
  <c r="T114" i="1" s="1"/>
  <c r="Z191" i="1"/>
  <c r="AH190" i="1"/>
  <c r="AC191" i="1"/>
  <c r="AD145" i="1"/>
  <c r="AF145" i="1" s="1"/>
  <c r="R115" i="1" l="1"/>
  <c r="T115" i="1" s="1"/>
  <c r="AC192" i="1"/>
  <c r="Z192" i="1"/>
  <c r="AH191" i="1"/>
  <c r="AD146" i="1"/>
  <c r="AF146" i="1" s="1"/>
  <c r="R116" i="1" l="1"/>
  <c r="AC193" i="1"/>
  <c r="Z193" i="1"/>
  <c r="AH192" i="1"/>
  <c r="AD147" i="1"/>
  <c r="AF147" i="1" s="1"/>
  <c r="R117" i="1" l="1"/>
  <c r="T116" i="1"/>
  <c r="Z194" i="1"/>
  <c r="AH193" i="1"/>
  <c r="AC194" i="1"/>
  <c r="AD148" i="1"/>
  <c r="AF148" i="1" s="1"/>
  <c r="R118" i="1" l="1"/>
  <c r="T117" i="1"/>
  <c r="AC195" i="1"/>
  <c r="Z195" i="1"/>
  <c r="AH194" i="1"/>
  <c r="AD149" i="1"/>
  <c r="AF149" i="1" s="1"/>
  <c r="T118" i="1" l="1"/>
  <c r="R119" i="1"/>
  <c r="Z196" i="1"/>
  <c r="AH195" i="1"/>
  <c r="AC196" i="1"/>
  <c r="AD150" i="1"/>
  <c r="AF150" i="1" s="1"/>
  <c r="T119" i="1" l="1"/>
  <c r="R120" i="1"/>
  <c r="AC197" i="1"/>
  <c r="Z197" i="1"/>
  <c r="AH196" i="1"/>
  <c r="AD151" i="1"/>
  <c r="AF151" i="1" s="1"/>
  <c r="T120" i="1" l="1"/>
  <c r="R121" i="1"/>
  <c r="Z198" i="1"/>
  <c r="AH197" i="1"/>
  <c r="AC198" i="1"/>
  <c r="AD152" i="1"/>
  <c r="AF152" i="1" s="1"/>
  <c r="T121" i="1" l="1"/>
  <c r="R122" i="1"/>
  <c r="AC199" i="1"/>
  <c r="Z199" i="1"/>
  <c r="AH198" i="1"/>
  <c r="AD153" i="1"/>
  <c r="AF153" i="1" s="1"/>
  <c r="T122" i="1" l="1"/>
  <c r="R123" i="1"/>
  <c r="Z200" i="1"/>
  <c r="AH199" i="1"/>
  <c r="AC200" i="1"/>
  <c r="AD154" i="1"/>
  <c r="AF154" i="1" s="1"/>
  <c r="T123" i="1" l="1"/>
  <c r="R124" i="1"/>
  <c r="AC201" i="1"/>
  <c r="Z201" i="1"/>
  <c r="AH200" i="1"/>
  <c r="AD155" i="1"/>
  <c r="AF155" i="1" s="1"/>
  <c r="R125" i="1" l="1"/>
  <c r="T125" i="1" s="1"/>
  <c r="T124" i="1"/>
  <c r="Z202" i="1"/>
  <c r="AH201" i="1"/>
  <c r="AC202" i="1"/>
  <c r="AD156" i="1"/>
  <c r="AF156" i="1" s="1"/>
  <c r="R126" i="1" l="1"/>
  <c r="AC203" i="1"/>
  <c r="Z203" i="1"/>
  <c r="AH202" i="1"/>
  <c r="AD157" i="1"/>
  <c r="AF157" i="1" s="1"/>
  <c r="R127" i="1" l="1"/>
  <c r="T126" i="1"/>
  <c r="Z204" i="1"/>
  <c r="AH203" i="1"/>
  <c r="AC204" i="1"/>
  <c r="AD158" i="1"/>
  <c r="AF158" i="1" s="1"/>
  <c r="T127" i="1" l="1"/>
  <c r="R128" i="1"/>
  <c r="AC205" i="1"/>
  <c r="Z205" i="1"/>
  <c r="AH204" i="1"/>
  <c r="AD159" i="1"/>
  <c r="AF159" i="1" s="1"/>
  <c r="R129" i="1" l="1"/>
  <c r="R130" i="1" s="1"/>
  <c r="T128" i="1"/>
  <c r="Z206" i="1"/>
  <c r="AH205" i="1"/>
  <c r="AC206" i="1"/>
  <c r="AD160" i="1"/>
  <c r="AF160" i="1" s="1"/>
  <c r="R131" i="1" l="1"/>
  <c r="T131" i="1" s="1"/>
  <c r="T130" i="1"/>
  <c r="T129" i="1"/>
  <c r="AC207" i="1"/>
  <c r="Z207" i="1"/>
  <c r="AH206" i="1"/>
  <c r="AD161" i="1"/>
  <c r="AF161" i="1" s="1"/>
  <c r="R132" i="1" l="1"/>
  <c r="R133" i="1" s="1"/>
  <c r="T133" i="1" s="1"/>
  <c r="Z208" i="1"/>
  <c r="AH207" i="1"/>
  <c r="AC208" i="1"/>
  <c r="AD162" i="1"/>
  <c r="AF162" i="1" s="1"/>
  <c r="R134" i="1" l="1"/>
  <c r="R135" i="1" s="1"/>
  <c r="R136" i="1" s="1"/>
  <c r="T132" i="1"/>
  <c r="AC209" i="1"/>
  <c r="Z209" i="1"/>
  <c r="AH208" i="1"/>
  <c r="AD163" i="1"/>
  <c r="AF163" i="1" s="1"/>
  <c r="T134" i="1" l="1"/>
  <c r="T135" i="1"/>
  <c r="T136" i="1"/>
  <c r="R137" i="1"/>
  <c r="Z210" i="1"/>
  <c r="AH209" i="1"/>
  <c r="AC210" i="1"/>
  <c r="AD164" i="1"/>
  <c r="AF164" i="1" s="1"/>
  <c r="T137" i="1" l="1"/>
  <c r="R138" i="1"/>
  <c r="AC211" i="1"/>
  <c r="Z211" i="1"/>
  <c r="AH210" i="1"/>
  <c r="AD165" i="1"/>
  <c r="AF165" i="1" s="1"/>
  <c r="T138" i="1" l="1"/>
  <c r="R139" i="1"/>
  <c r="Z212" i="1"/>
  <c r="AH211" i="1"/>
  <c r="AC212" i="1"/>
  <c r="AD166" i="1"/>
  <c r="AF166" i="1" s="1"/>
  <c r="R140" i="1" l="1"/>
  <c r="T139" i="1"/>
  <c r="AC213" i="1"/>
  <c r="Z213" i="1"/>
  <c r="Z214" i="1" s="1"/>
  <c r="AH212" i="1"/>
  <c r="AD167" i="1"/>
  <c r="AF167" i="1" s="1"/>
  <c r="T140" i="1" l="1"/>
  <c r="R141" i="1"/>
  <c r="AH214" i="1"/>
  <c r="Z215" i="1"/>
  <c r="AC214" i="1"/>
  <c r="AC215" i="1" s="1"/>
  <c r="AH213" i="1"/>
  <c r="AD168" i="1"/>
  <c r="AF168" i="1" s="1"/>
  <c r="R142" i="1" l="1"/>
  <c r="R143" i="1" s="1"/>
  <c r="T141" i="1"/>
  <c r="Z216" i="1"/>
  <c r="AH216" i="1" s="1"/>
  <c r="AH215" i="1"/>
  <c r="AD214" i="1"/>
  <c r="AF214" i="1" s="1"/>
  <c r="AD215" i="1"/>
  <c r="AF215" i="1" s="1"/>
  <c r="AC216" i="1"/>
  <c r="AD169" i="1"/>
  <c r="AF169" i="1" s="1"/>
  <c r="T142" i="1" l="1"/>
  <c r="T143" i="1"/>
  <c r="R144" i="1"/>
  <c r="Z217" i="1"/>
  <c r="Z218" i="1" s="1"/>
  <c r="AD216" i="1"/>
  <c r="AF216" i="1" s="1"/>
  <c r="AC217" i="1"/>
  <c r="AD170" i="1"/>
  <c r="AF170" i="1" s="1"/>
  <c r="T144" i="1" l="1"/>
  <c r="R145" i="1"/>
  <c r="AH217" i="1"/>
  <c r="AH218" i="1"/>
  <c r="Z219" i="1"/>
  <c r="AC218" i="1"/>
  <c r="AD217" i="1"/>
  <c r="AF217" i="1" s="1"/>
  <c r="AD171" i="1"/>
  <c r="AF171" i="1" s="1"/>
  <c r="T145" i="1" l="1"/>
  <c r="R146" i="1"/>
  <c r="AH219" i="1"/>
  <c r="Z220" i="1"/>
  <c r="AC219" i="1"/>
  <c r="AD218" i="1"/>
  <c r="AF218" i="1" s="1"/>
  <c r="AD172" i="1"/>
  <c r="AF172" i="1" s="1"/>
  <c r="T146" i="1" l="1"/>
  <c r="R147" i="1"/>
  <c r="AH220" i="1"/>
  <c r="Z221" i="1"/>
  <c r="AH221" i="1" s="1"/>
  <c r="AC220" i="1"/>
  <c r="AD219" i="1"/>
  <c r="AF219" i="1" s="1"/>
  <c r="AD173" i="1"/>
  <c r="AF173" i="1" s="1"/>
  <c r="T147" i="1" l="1"/>
  <c r="R148" i="1"/>
  <c r="AC221" i="1"/>
  <c r="AD221" i="1" s="1"/>
  <c r="AF221" i="1" s="1"/>
  <c r="AD220" i="1"/>
  <c r="AF220" i="1" s="1"/>
  <c r="AD174" i="1"/>
  <c r="AF174" i="1" s="1"/>
  <c r="R149" i="1" l="1"/>
  <c r="T148" i="1"/>
  <c r="AD175" i="1"/>
  <c r="AF175" i="1" s="1"/>
  <c r="T149" i="1" l="1"/>
  <c r="R150" i="1"/>
  <c r="Z222" i="1"/>
  <c r="AC222" i="1"/>
  <c r="AD176" i="1"/>
  <c r="AF176" i="1" s="1"/>
  <c r="R151" i="1" l="1"/>
  <c r="T150" i="1"/>
  <c r="AC223" i="1"/>
  <c r="Z223" i="1"/>
  <c r="AH222" i="1"/>
  <c r="AD177" i="1"/>
  <c r="AF177" i="1" s="1"/>
  <c r="R152" i="1" l="1"/>
  <c r="R153" i="1" s="1"/>
  <c r="T151" i="1"/>
  <c r="AC224" i="1"/>
  <c r="Z224" i="1"/>
  <c r="AH223" i="1"/>
  <c r="AD178" i="1"/>
  <c r="AF178" i="1" s="1"/>
  <c r="T152" i="1" l="1"/>
  <c r="T153" i="1"/>
  <c r="R154" i="1"/>
  <c r="Z225" i="1"/>
  <c r="AH224" i="1"/>
  <c r="AC225" i="1"/>
  <c r="AD179" i="1"/>
  <c r="AF179" i="1" s="1"/>
  <c r="T154" i="1" l="1"/>
  <c r="R155" i="1"/>
  <c r="AC226" i="1"/>
  <c r="Z226" i="1"/>
  <c r="AH225" i="1"/>
  <c r="AD180" i="1"/>
  <c r="AF180" i="1" s="1"/>
  <c r="T155" i="1" l="1"/>
  <c r="R156" i="1"/>
  <c r="AC227" i="1"/>
  <c r="Z227" i="1"/>
  <c r="AH226" i="1"/>
  <c r="AD181" i="1"/>
  <c r="AF181" i="1" s="1"/>
  <c r="T156" i="1" l="1"/>
  <c r="R157" i="1"/>
  <c r="Z228" i="1"/>
  <c r="AH227" i="1"/>
  <c r="AC228" i="1"/>
  <c r="AD182" i="1"/>
  <c r="AF182" i="1" s="1"/>
  <c r="T157" i="1" l="1"/>
  <c r="R158" i="1"/>
  <c r="AC229" i="1"/>
  <c r="Z229" i="1"/>
  <c r="AH228" i="1"/>
  <c r="AD183" i="1"/>
  <c r="AF183" i="1" s="1"/>
  <c r="T158" i="1" l="1"/>
  <c r="R159" i="1"/>
  <c r="Z230" i="1"/>
  <c r="AH229" i="1"/>
  <c r="AC230" i="1"/>
  <c r="AD184" i="1"/>
  <c r="AF184" i="1" s="1"/>
  <c r="T159" i="1" l="1"/>
  <c r="R160" i="1"/>
  <c r="AC231" i="1"/>
  <c r="Z231" i="1"/>
  <c r="AH230" i="1"/>
  <c r="AD185" i="1"/>
  <c r="AF185" i="1" s="1"/>
  <c r="R161" i="1" l="1"/>
  <c r="R162" i="1" s="1"/>
  <c r="T160" i="1"/>
  <c r="AC232" i="1"/>
  <c r="Z232" i="1"/>
  <c r="AH231" i="1"/>
  <c r="AD186" i="1"/>
  <c r="AF186" i="1" s="1"/>
  <c r="R163" i="1" l="1"/>
  <c r="T163" i="1" s="1"/>
  <c r="T162" i="1"/>
  <c r="T161" i="1"/>
  <c r="AC233" i="1"/>
  <c r="Z233" i="1"/>
  <c r="AH232" i="1"/>
  <c r="AD187" i="1"/>
  <c r="AF187" i="1" s="1"/>
  <c r="R164" i="1" l="1"/>
  <c r="T164" i="1" s="1"/>
  <c r="AC234" i="1"/>
  <c r="Z234" i="1"/>
  <c r="AH233" i="1"/>
  <c r="AD188" i="1"/>
  <c r="AF188" i="1" s="1"/>
  <c r="R165" i="1" l="1"/>
  <c r="T165" i="1" s="1"/>
  <c r="AC235" i="1"/>
  <c r="Z235" i="1"/>
  <c r="AH234" i="1"/>
  <c r="AD189" i="1"/>
  <c r="AF189" i="1" s="1"/>
  <c r="R166" i="1" l="1"/>
  <c r="T166" i="1" s="1"/>
  <c r="AC236" i="1"/>
  <c r="Z236" i="1"/>
  <c r="AH235" i="1"/>
  <c r="AD190" i="1"/>
  <c r="AF190" i="1" s="1"/>
  <c r="R167" i="1" l="1"/>
  <c r="T167" i="1" s="1"/>
  <c r="AC237" i="1"/>
  <c r="Z237" i="1"/>
  <c r="AH236" i="1"/>
  <c r="AD191" i="1"/>
  <c r="AF191" i="1" s="1"/>
  <c r="R168" i="1" l="1"/>
  <c r="T168" i="1" s="1"/>
  <c r="Z238" i="1"/>
  <c r="AH237" i="1"/>
  <c r="AC238" i="1"/>
  <c r="AD192" i="1"/>
  <c r="AF192" i="1" s="1"/>
  <c r="R169" i="1" l="1"/>
  <c r="T169" i="1" s="1"/>
  <c r="Z239" i="1"/>
  <c r="AH238" i="1"/>
  <c r="AC239" i="1"/>
  <c r="AD193" i="1"/>
  <c r="AF193" i="1" s="1"/>
  <c r="R170" i="1" l="1"/>
  <c r="T170" i="1" s="1"/>
  <c r="Z240" i="1"/>
  <c r="AH239" i="1"/>
  <c r="AC240" i="1"/>
  <c r="AD194" i="1"/>
  <c r="AF194" i="1" s="1"/>
  <c r="R171" i="1" l="1"/>
  <c r="AC241" i="1"/>
  <c r="Z241" i="1"/>
  <c r="AH240" i="1"/>
  <c r="AD195" i="1"/>
  <c r="AF195" i="1" s="1"/>
  <c r="R172" i="1" l="1"/>
  <c r="T171" i="1"/>
  <c r="AC242" i="1"/>
  <c r="Z242" i="1"/>
  <c r="AH241" i="1"/>
  <c r="AD196" i="1"/>
  <c r="AF196" i="1" s="1"/>
  <c r="T172" i="1" l="1"/>
  <c r="R173" i="1"/>
  <c r="AC243" i="1"/>
  <c r="Z243" i="1"/>
  <c r="AH242" i="1"/>
  <c r="AD197" i="1"/>
  <c r="AF197" i="1" s="1"/>
  <c r="R174" i="1" l="1"/>
  <c r="T173" i="1"/>
  <c r="AC244" i="1"/>
  <c r="Z244" i="1"/>
  <c r="AH243" i="1"/>
  <c r="AD198" i="1"/>
  <c r="AF198" i="1" s="1"/>
  <c r="R175" i="1" l="1"/>
  <c r="T174" i="1"/>
  <c r="Z245" i="1"/>
  <c r="AH244" i="1"/>
  <c r="AC245" i="1"/>
  <c r="AD199" i="1"/>
  <c r="AF199" i="1" s="1"/>
  <c r="R176" i="1" l="1"/>
  <c r="T175" i="1"/>
  <c r="Z246" i="1"/>
  <c r="AH245" i="1"/>
  <c r="AC246" i="1"/>
  <c r="AD200" i="1"/>
  <c r="AF200" i="1" s="1"/>
  <c r="T176" i="1" l="1"/>
  <c r="R177" i="1"/>
  <c r="AC247" i="1"/>
  <c r="Z247" i="1"/>
  <c r="AH246" i="1"/>
  <c r="AD201" i="1"/>
  <c r="AF201" i="1" s="1"/>
  <c r="R178" i="1" l="1"/>
  <c r="T177" i="1"/>
  <c r="AC248" i="1"/>
  <c r="Z248" i="1"/>
  <c r="AH247" i="1"/>
  <c r="AD202" i="1"/>
  <c r="AF202" i="1" s="1"/>
  <c r="R179" i="1" l="1"/>
  <c r="T178" i="1"/>
  <c r="AC249" i="1"/>
  <c r="Z249" i="1"/>
  <c r="AH248" i="1"/>
  <c r="AD203" i="1"/>
  <c r="AF203" i="1" s="1"/>
  <c r="R180" i="1" l="1"/>
  <c r="T179" i="1"/>
  <c r="Z250" i="1"/>
  <c r="AH249" i="1"/>
  <c r="AC250" i="1"/>
  <c r="AD204" i="1"/>
  <c r="AF204" i="1" s="1"/>
  <c r="T180" i="1" l="1"/>
  <c r="R181" i="1"/>
  <c r="AC251" i="1"/>
  <c r="Z251" i="1"/>
  <c r="AH250" i="1"/>
  <c r="AD205" i="1"/>
  <c r="AF205" i="1" s="1"/>
  <c r="T181" i="1" l="1"/>
  <c r="R182" i="1"/>
  <c r="AC252" i="1"/>
  <c r="Z252" i="1"/>
  <c r="AH251" i="1"/>
  <c r="AD206" i="1"/>
  <c r="AF206" i="1" s="1"/>
  <c r="T182" i="1" l="1"/>
  <c r="R183" i="1"/>
  <c r="AC253" i="1"/>
  <c r="Z253" i="1"/>
  <c r="AH252" i="1"/>
  <c r="AD207" i="1"/>
  <c r="AF207" i="1" s="1"/>
  <c r="R184" i="1" l="1"/>
  <c r="T184" i="1" s="1"/>
  <c r="T183" i="1"/>
  <c r="AC254" i="1"/>
  <c r="Z254" i="1"/>
  <c r="AH253" i="1"/>
  <c r="AD208" i="1"/>
  <c r="AF208" i="1" s="1"/>
  <c r="R185" i="1" l="1"/>
  <c r="T185" i="1" s="1"/>
  <c r="AC255" i="1"/>
  <c r="Z255" i="1"/>
  <c r="AH254" i="1"/>
  <c r="AD209" i="1"/>
  <c r="AF209" i="1" s="1"/>
  <c r="R186" i="1" l="1"/>
  <c r="T186" i="1" s="1"/>
  <c r="Z256" i="1"/>
  <c r="AH255" i="1"/>
  <c r="AC256" i="1"/>
  <c r="AD210" i="1"/>
  <c r="AF210" i="1" s="1"/>
  <c r="R187" i="1" l="1"/>
  <c r="R188" i="1" s="1"/>
  <c r="Z257" i="1"/>
  <c r="AH256" i="1"/>
  <c r="AC257" i="1"/>
  <c r="AD211" i="1"/>
  <c r="AF211" i="1" s="1"/>
  <c r="T187" i="1" l="1"/>
  <c r="R189" i="1"/>
  <c r="T188" i="1"/>
  <c r="AC258" i="1"/>
  <c r="Z258" i="1"/>
  <c r="AH257" i="1"/>
  <c r="AD212" i="1"/>
  <c r="AF212" i="1" s="1"/>
  <c r="R190" i="1" l="1"/>
  <c r="T189" i="1"/>
  <c r="Z259" i="1"/>
  <c r="AH258" i="1"/>
  <c r="AC259" i="1"/>
  <c r="AD213" i="1"/>
  <c r="AF213" i="1" s="1"/>
  <c r="T190" i="1" l="1"/>
  <c r="R191" i="1"/>
  <c r="Z260" i="1"/>
  <c r="AH259" i="1"/>
  <c r="AC260" i="1"/>
  <c r="T191" i="1" l="1"/>
  <c r="R192" i="1"/>
  <c r="Z261" i="1"/>
  <c r="AH260" i="1"/>
  <c r="AC261" i="1"/>
  <c r="T192" i="1" l="1"/>
  <c r="R193" i="1"/>
  <c r="Z262" i="1"/>
  <c r="AH261" i="1"/>
  <c r="AC262" i="1"/>
  <c r="T193" i="1" l="1"/>
  <c r="R194" i="1"/>
  <c r="Z263" i="1"/>
  <c r="AH262" i="1"/>
  <c r="AC263" i="1"/>
  <c r="T194" i="1" l="1"/>
  <c r="R195" i="1"/>
  <c r="Z264" i="1"/>
  <c r="AH263" i="1"/>
  <c r="AC264" i="1"/>
  <c r="T195" i="1" l="1"/>
  <c r="R196" i="1"/>
  <c r="Z265" i="1"/>
  <c r="AH264" i="1"/>
  <c r="AC265" i="1"/>
  <c r="T196" i="1" l="1"/>
  <c r="R197" i="1"/>
  <c r="Z266" i="1"/>
  <c r="AH265" i="1"/>
  <c r="AC266" i="1"/>
  <c r="T197" i="1" l="1"/>
  <c r="R198" i="1"/>
  <c r="Z267" i="1"/>
  <c r="AH266" i="1"/>
  <c r="AC267" i="1"/>
  <c r="T198" i="1" l="1"/>
  <c r="R199" i="1"/>
  <c r="Z268" i="1"/>
  <c r="AH267" i="1"/>
  <c r="AC268" i="1"/>
  <c r="AD222" i="1"/>
  <c r="AF222" i="1" s="1"/>
  <c r="T199" i="1" l="1"/>
  <c r="R200" i="1"/>
  <c r="Z269" i="1"/>
  <c r="AH268" i="1"/>
  <c r="AC269" i="1"/>
  <c r="AD223" i="1"/>
  <c r="AF223" i="1" s="1"/>
  <c r="T200" i="1" l="1"/>
  <c r="R201" i="1"/>
  <c r="AC270" i="1"/>
  <c r="Z270" i="1"/>
  <c r="AH269" i="1"/>
  <c r="AD224" i="1"/>
  <c r="AF224" i="1" s="1"/>
  <c r="T201" i="1" l="1"/>
  <c r="R202" i="1"/>
  <c r="AC271" i="1"/>
  <c r="Z271" i="1"/>
  <c r="AH270" i="1"/>
  <c r="AD225" i="1"/>
  <c r="AF225" i="1" s="1"/>
  <c r="T202" i="1" l="1"/>
  <c r="R203" i="1"/>
  <c r="AC272" i="1"/>
  <c r="Z272" i="1"/>
  <c r="AH271" i="1"/>
  <c r="AD226" i="1"/>
  <c r="AF226" i="1" s="1"/>
  <c r="T203" i="1" l="1"/>
  <c r="R204" i="1"/>
  <c r="AC273" i="1"/>
  <c r="Z273" i="1"/>
  <c r="AH272" i="1"/>
  <c r="AD227" i="1"/>
  <c r="AF227" i="1" s="1"/>
  <c r="T204" i="1" l="1"/>
  <c r="R205" i="1"/>
  <c r="AC274" i="1"/>
  <c r="Z274" i="1"/>
  <c r="AH273" i="1"/>
  <c r="AD228" i="1"/>
  <c r="AF228" i="1" s="1"/>
  <c r="T205" i="1" l="1"/>
  <c r="R206" i="1"/>
  <c r="AC275" i="1"/>
  <c r="Z275" i="1"/>
  <c r="AH275" i="1" s="1"/>
  <c r="AH274" i="1"/>
  <c r="AD229" i="1"/>
  <c r="AF229" i="1" s="1"/>
  <c r="T206" i="1" l="1"/>
  <c r="R207" i="1"/>
  <c r="AC276" i="1"/>
  <c r="Z276" i="1"/>
  <c r="AH276" i="1" s="1"/>
  <c r="AD230" i="1"/>
  <c r="AF230" i="1" s="1"/>
  <c r="T207" i="1" l="1"/>
  <c r="R208" i="1"/>
  <c r="Z277" i="1"/>
  <c r="Z278" i="1" s="1"/>
  <c r="AC277" i="1"/>
  <c r="AD231" i="1"/>
  <c r="AF231" i="1" s="1"/>
  <c r="T208" i="1" l="1"/>
  <c r="R209" i="1"/>
  <c r="AC278" i="1"/>
  <c r="AC279" i="1" s="1"/>
  <c r="AH277" i="1"/>
  <c r="Z279" i="1"/>
  <c r="AH278" i="1"/>
  <c r="AD232" i="1"/>
  <c r="AF232" i="1" s="1"/>
  <c r="T209" i="1" l="1"/>
  <c r="R210" i="1"/>
  <c r="Z280" i="1"/>
  <c r="AH279" i="1"/>
  <c r="AC280" i="1"/>
  <c r="AD233" i="1"/>
  <c r="AF233" i="1" s="1"/>
  <c r="T210" i="1" l="1"/>
  <c r="R211" i="1"/>
  <c r="Z281" i="1"/>
  <c r="AH280" i="1"/>
  <c r="AC281" i="1"/>
  <c r="AD234" i="1"/>
  <c r="AF234" i="1" s="1"/>
  <c r="T211" i="1" l="1"/>
  <c r="R212" i="1"/>
  <c r="Z282" i="1"/>
  <c r="AH281" i="1"/>
  <c r="AC282" i="1"/>
  <c r="AD235" i="1"/>
  <c r="AF235" i="1" s="1"/>
  <c r="T212" i="1" l="1"/>
  <c r="R213" i="1"/>
  <c r="Z283" i="1"/>
  <c r="AH282" i="1"/>
  <c r="AC283" i="1"/>
  <c r="AD236" i="1"/>
  <c r="AF236" i="1" s="1"/>
  <c r="T213" i="1" l="1"/>
  <c r="R214" i="1"/>
  <c r="Z284" i="1"/>
  <c r="AH283" i="1"/>
  <c r="AC284" i="1"/>
  <c r="AD237" i="1"/>
  <c r="AF237" i="1" s="1"/>
  <c r="T214" i="1" l="1"/>
  <c r="R215" i="1"/>
  <c r="Z285" i="1"/>
  <c r="AH284" i="1"/>
  <c r="AC285" i="1"/>
  <c r="AD238" i="1"/>
  <c r="AF238" i="1" s="1"/>
  <c r="T215" i="1" l="1"/>
  <c r="R216" i="1"/>
  <c r="Z286" i="1"/>
  <c r="AH285" i="1"/>
  <c r="AC286" i="1"/>
  <c r="AD239" i="1"/>
  <c r="AF239" i="1" s="1"/>
  <c r="T216" i="1" l="1"/>
  <c r="R217" i="1"/>
  <c r="Z287" i="1"/>
  <c r="AH286" i="1"/>
  <c r="AC287" i="1"/>
  <c r="AD240" i="1"/>
  <c r="AF240" i="1" s="1"/>
  <c r="T217" i="1" l="1"/>
  <c r="R218" i="1"/>
  <c r="AC288" i="1"/>
  <c r="Z288" i="1"/>
  <c r="AH287" i="1"/>
  <c r="AD241" i="1"/>
  <c r="AF241" i="1" s="1"/>
  <c r="T218" i="1" l="1"/>
  <c r="R219" i="1"/>
  <c r="Z289" i="1"/>
  <c r="AH288" i="1"/>
  <c r="AC289" i="1"/>
  <c r="AD242" i="1"/>
  <c r="AF242" i="1" s="1"/>
  <c r="T219" i="1" l="1"/>
  <c r="R220" i="1"/>
  <c r="Z290" i="1"/>
  <c r="AH289" i="1"/>
  <c r="AC290" i="1"/>
  <c r="AD243" i="1"/>
  <c r="AF243" i="1" s="1"/>
  <c r="T220" i="1" l="1"/>
  <c r="R221" i="1"/>
  <c r="Z291" i="1"/>
  <c r="AH290" i="1"/>
  <c r="AC291" i="1"/>
  <c r="AD244" i="1"/>
  <c r="AF244" i="1" s="1"/>
  <c r="T221" i="1" l="1"/>
  <c r="R222" i="1"/>
  <c r="AC292" i="1"/>
  <c r="Z292" i="1"/>
  <c r="AH291" i="1"/>
  <c r="AD245" i="1"/>
  <c r="AF245" i="1" s="1"/>
  <c r="T222" i="1" l="1"/>
  <c r="R223" i="1"/>
  <c r="Z293" i="1"/>
  <c r="AH292" i="1"/>
  <c r="AC293" i="1"/>
  <c r="AD246" i="1"/>
  <c r="AF246" i="1" s="1"/>
  <c r="T223" i="1" l="1"/>
  <c r="R224" i="1"/>
  <c r="AC294" i="1"/>
  <c r="Z294" i="1"/>
  <c r="AH293" i="1"/>
  <c r="AD247" i="1"/>
  <c r="AF247" i="1" s="1"/>
  <c r="T224" i="1" l="1"/>
  <c r="R225" i="1"/>
  <c r="Z295" i="1"/>
  <c r="AH294" i="1"/>
  <c r="AC295" i="1"/>
  <c r="AD248" i="1"/>
  <c r="AF248" i="1" s="1"/>
  <c r="T225" i="1" l="1"/>
  <c r="R226" i="1"/>
  <c r="Z296" i="1"/>
  <c r="AH295" i="1"/>
  <c r="AC296" i="1"/>
  <c r="AD249" i="1"/>
  <c r="AF249" i="1" s="1"/>
  <c r="T226" i="1" l="1"/>
  <c r="R227" i="1"/>
  <c r="AC297" i="1"/>
  <c r="Z297" i="1"/>
  <c r="AH296" i="1"/>
  <c r="AD250" i="1"/>
  <c r="AF250" i="1" s="1"/>
  <c r="T227" i="1" l="1"/>
  <c r="R228" i="1"/>
  <c r="AC298" i="1"/>
  <c r="Z298" i="1"/>
  <c r="AH297" i="1"/>
  <c r="AD251" i="1"/>
  <c r="AF251" i="1" s="1"/>
  <c r="T228" i="1" l="1"/>
  <c r="R229" i="1"/>
  <c r="AC299" i="1"/>
  <c r="Z299" i="1"/>
  <c r="AH298" i="1"/>
  <c r="AD252" i="1"/>
  <c r="AF252" i="1" s="1"/>
  <c r="T229" i="1" l="1"/>
  <c r="R230" i="1"/>
  <c r="Z300" i="1"/>
  <c r="AH299" i="1"/>
  <c r="AC300" i="1"/>
  <c r="AD253" i="1"/>
  <c r="AF253" i="1" s="1"/>
  <c r="T230" i="1" l="1"/>
  <c r="R231" i="1"/>
  <c r="Z301" i="1"/>
  <c r="Z302" i="1" s="1"/>
  <c r="AH300" i="1"/>
  <c r="AC301" i="1"/>
  <c r="AD254" i="1"/>
  <c r="AF254" i="1" s="1"/>
  <c r="T231" i="1" l="1"/>
  <c r="R232" i="1"/>
  <c r="AH302" i="1"/>
  <c r="Z303" i="1"/>
  <c r="AH301" i="1"/>
  <c r="AC302" i="1"/>
  <c r="AD255" i="1"/>
  <c r="AF255" i="1" s="1"/>
  <c r="T232" i="1" l="1"/>
  <c r="R233" i="1"/>
  <c r="AH303" i="1"/>
  <c r="Z304" i="1"/>
  <c r="AD302" i="1"/>
  <c r="AF302" i="1" s="1"/>
  <c r="AC303" i="1"/>
  <c r="AD256" i="1"/>
  <c r="AF256" i="1" s="1"/>
  <c r="T233" i="1" l="1"/>
  <c r="R234" i="1"/>
  <c r="AH304" i="1"/>
  <c r="Z305" i="1"/>
  <c r="AD303" i="1"/>
  <c r="AF303" i="1" s="1"/>
  <c r="AC304" i="1"/>
  <c r="AC305" i="1" s="1"/>
  <c r="AD257" i="1"/>
  <c r="AF257" i="1" s="1"/>
  <c r="T234" i="1" l="1"/>
  <c r="R235" i="1"/>
  <c r="AD305" i="1"/>
  <c r="AF305" i="1" s="1"/>
  <c r="AC306" i="1"/>
  <c r="AD306" i="1" s="1"/>
  <c r="AF306" i="1" s="1"/>
  <c r="AH305" i="1"/>
  <c r="Z306" i="1"/>
  <c r="AH306" i="1" s="1"/>
  <c r="AD304" i="1"/>
  <c r="AF304" i="1" s="1"/>
  <c r="AD258" i="1"/>
  <c r="AF258" i="1" s="1"/>
  <c r="T235" i="1" l="1"/>
  <c r="R236" i="1"/>
  <c r="AC307" i="1"/>
  <c r="Z307" i="1"/>
  <c r="AD259" i="1"/>
  <c r="AF259" i="1" s="1"/>
  <c r="T236" i="1" l="1"/>
  <c r="R237" i="1"/>
  <c r="AC308" i="1"/>
  <c r="AD307" i="1"/>
  <c r="AF307" i="1" s="1"/>
  <c r="AH307" i="1"/>
  <c r="Z308" i="1"/>
  <c r="AD260" i="1"/>
  <c r="AF260" i="1" s="1"/>
  <c r="T237" i="1" l="1"/>
  <c r="R238" i="1"/>
  <c r="AH308" i="1"/>
  <c r="Z309" i="1"/>
  <c r="AC309" i="1"/>
  <c r="AD309" i="1" s="1"/>
  <c r="AF309" i="1" s="1"/>
  <c r="AD308" i="1"/>
  <c r="AF308" i="1" s="1"/>
  <c r="AD261" i="1"/>
  <c r="AF261" i="1" s="1"/>
  <c r="T238" i="1" l="1"/>
  <c r="R239" i="1"/>
  <c r="Z310" i="1"/>
  <c r="AH309" i="1"/>
  <c r="AD262" i="1"/>
  <c r="AF262" i="1" s="1"/>
  <c r="T239" i="1" l="1"/>
  <c r="R240" i="1"/>
  <c r="Z311" i="1"/>
  <c r="AH310" i="1"/>
  <c r="AC310" i="1"/>
  <c r="AD263" i="1"/>
  <c r="AF263" i="1" s="1"/>
  <c r="T240" i="1" l="1"/>
  <c r="R241" i="1"/>
  <c r="Z312" i="1"/>
  <c r="AH312" i="1" s="1"/>
  <c r="AH311" i="1"/>
  <c r="AC311" i="1"/>
  <c r="AD310" i="1"/>
  <c r="AF310" i="1" s="1"/>
  <c r="AD264" i="1"/>
  <c r="AF264" i="1" s="1"/>
  <c r="T241" i="1" l="1"/>
  <c r="R242" i="1"/>
  <c r="AC312" i="1"/>
  <c r="AD312" i="1" s="1"/>
  <c r="AF312" i="1" s="1"/>
  <c r="AD311" i="1"/>
  <c r="AF311" i="1" s="1"/>
  <c r="AD265" i="1"/>
  <c r="AF265" i="1" s="1"/>
  <c r="T242" i="1" l="1"/>
  <c r="R243" i="1"/>
  <c r="AD266" i="1"/>
  <c r="AF266" i="1" s="1"/>
  <c r="T243" i="1" l="1"/>
  <c r="R244" i="1"/>
  <c r="AD267" i="1"/>
  <c r="AF267" i="1" s="1"/>
  <c r="T244" i="1" l="1"/>
  <c r="R245" i="1"/>
  <c r="AD268" i="1"/>
  <c r="AF268" i="1" s="1"/>
  <c r="T245" i="1" l="1"/>
  <c r="R246" i="1"/>
  <c r="AD269" i="1"/>
  <c r="AF269" i="1" s="1"/>
  <c r="T246" i="1" l="1"/>
  <c r="R247" i="1"/>
  <c r="AD270" i="1"/>
  <c r="AF270" i="1" s="1"/>
  <c r="T247" i="1" l="1"/>
  <c r="R248" i="1"/>
  <c r="AD271" i="1"/>
  <c r="AF271" i="1" s="1"/>
  <c r="T248" i="1" l="1"/>
  <c r="R249" i="1"/>
  <c r="AD272" i="1"/>
  <c r="AF272" i="1" s="1"/>
  <c r="T249" i="1" l="1"/>
  <c r="R250" i="1"/>
  <c r="AD273" i="1"/>
  <c r="AF273" i="1" s="1"/>
  <c r="T250" i="1" l="1"/>
  <c r="R251" i="1"/>
  <c r="AD274" i="1"/>
  <c r="AF274" i="1" s="1"/>
  <c r="T251" i="1" l="1"/>
  <c r="R252" i="1"/>
  <c r="AD275" i="1"/>
  <c r="AF275" i="1" s="1"/>
  <c r="T252" i="1" l="1"/>
  <c r="R253" i="1"/>
  <c r="AD276" i="1"/>
  <c r="AF276" i="1" s="1"/>
  <c r="T253" i="1" l="1"/>
  <c r="R254" i="1"/>
  <c r="AD277" i="1"/>
  <c r="AF277" i="1" s="1"/>
  <c r="T254" i="1" l="1"/>
  <c r="R255" i="1"/>
  <c r="AD278" i="1"/>
  <c r="AF278" i="1" s="1"/>
  <c r="T255" i="1" l="1"/>
  <c r="R256" i="1"/>
  <c r="AD279" i="1"/>
  <c r="AF279" i="1" s="1"/>
  <c r="T256" i="1" l="1"/>
  <c r="R257" i="1"/>
  <c r="AD280" i="1"/>
  <c r="AF280" i="1" s="1"/>
  <c r="T257" i="1" l="1"/>
  <c r="R258" i="1"/>
  <c r="AD281" i="1"/>
  <c r="AF281" i="1" s="1"/>
  <c r="T258" i="1" l="1"/>
  <c r="R259" i="1"/>
  <c r="AD282" i="1"/>
  <c r="AF282" i="1" s="1"/>
  <c r="T259" i="1" l="1"/>
  <c r="R260" i="1"/>
  <c r="AD283" i="1"/>
  <c r="AF283" i="1" s="1"/>
  <c r="T260" i="1" l="1"/>
  <c r="R261" i="1"/>
  <c r="AD284" i="1"/>
  <c r="AF284" i="1" s="1"/>
  <c r="T261" i="1" l="1"/>
  <c r="R262" i="1"/>
  <c r="AD285" i="1"/>
  <c r="AF285" i="1" s="1"/>
  <c r="T262" i="1" l="1"/>
  <c r="R263" i="1"/>
  <c r="AD286" i="1"/>
  <c r="AF286" i="1" s="1"/>
  <c r="T263" i="1" l="1"/>
  <c r="R264" i="1"/>
  <c r="AD287" i="1"/>
  <c r="AF287" i="1" s="1"/>
  <c r="T264" i="1" l="1"/>
  <c r="R265" i="1"/>
  <c r="AD288" i="1"/>
  <c r="AF288" i="1" s="1"/>
  <c r="T265" i="1" l="1"/>
  <c r="R266" i="1"/>
  <c r="AD289" i="1"/>
  <c r="AF289" i="1" s="1"/>
  <c r="T266" i="1" l="1"/>
  <c r="R267" i="1"/>
  <c r="AD290" i="1"/>
  <c r="AF290" i="1" s="1"/>
  <c r="T267" i="1" l="1"/>
  <c r="R268" i="1"/>
  <c r="AD291" i="1"/>
  <c r="AF291" i="1" s="1"/>
  <c r="T268" i="1" l="1"/>
  <c r="R269" i="1"/>
  <c r="AD292" i="1"/>
  <c r="AF292" i="1" s="1"/>
  <c r="T269" i="1" l="1"/>
  <c r="R270" i="1"/>
  <c r="AD293" i="1"/>
  <c r="AF293" i="1" s="1"/>
  <c r="T270" i="1" l="1"/>
  <c r="R271" i="1"/>
  <c r="AD294" i="1"/>
  <c r="AF294" i="1" s="1"/>
  <c r="T271" i="1" l="1"/>
  <c r="R272" i="1"/>
  <c r="AD295" i="1"/>
  <c r="AF295" i="1" s="1"/>
  <c r="T272" i="1" l="1"/>
  <c r="R273" i="1"/>
  <c r="AD296" i="1"/>
  <c r="AF296" i="1" s="1"/>
  <c r="T273" i="1" l="1"/>
  <c r="R274" i="1"/>
  <c r="AD297" i="1"/>
  <c r="AF297" i="1" s="1"/>
  <c r="R275" i="1" l="1"/>
  <c r="T274" i="1"/>
  <c r="AD298" i="1"/>
  <c r="AF298" i="1" s="1"/>
  <c r="T275" i="1" l="1"/>
  <c r="R276" i="1"/>
  <c r="AD299" i="1"/>
  <c r="AF299" i="1" s="1"/>
  <c r="T276" i="1" l="1"/>
  <c r="R277" i="1"/>
  <c r="AD301" i="1"/>
  <c r="AF301" i="1" s="1"/>
  <c r="AD300" i="1"/>
  <c r="AF300" i="1" s="1"/>
  <c r="T277" i="1" l="1"/>
  <c r="R278" i="1"/>
  <c r="T278" i="1" l="1"/>
  <c r="R279" i="1"/>
  <c r="T279" i="1" l="1"/>
  <c r="R280" i="1"/>
  <c r="T280" i="1" l="1"/>
  <c r="R281" i="1"/>
  <c r="T281" i="1" l="1"/>
  <c r="R282" i="1"/>
  <c r="T282" i="1" l="1"/>
  <c r="R283" i="1"/>
  <c r="T283" i="1" l="1"/>
  <c r="R284" i="1"/>
  <c r="T284" i="1" l="1"/>
  <c r="R285" i="1"/>
  <c r="T285" i="1" l="1"/>
  <c r="R286" i="1"/>
  <c r="T286" i="1" l="1"/>
  <c r="R287" i="1"/>
  <c r="T287" i="1" l="1"/>
  <c r="R288" i="1"/>
  <c r="T288" i="1" l="1"/>
  <c r="R289" i="1"/>
  <c r="T289" i="1" l="1"/>
  <c r="R290" i="1"/>
  <c r="T290" i="1" l="1"/>
  <c r="R291" i="1"/>
  <c r="T291" i="1" l="1"/>
  <c r="R292" i="1"/>
  <c r="T292" i="1" l="1"/>
  <c r="R293" i="1"/>
  <c r="T293" i="1" l="1"/>
  <c r="R294" i="1"/>
  <c r="T294" i="1" l="1"/>
  <c r="R295" i="1"/>
  <c r="T295" i="1" l="1"/>
  <c r="R296" i="1"/>
  <c r="T296" i="1" l="1"/>
  <c r="R297" i="1"/>
  <c r="T297" i="1" l="1"/>
  <c r="R298" i="1"/>
  <c r="T298" i="1" l="1"/>
  <c r="R299" i="1"/>
  <c r="T299" i="1" l="1"/>
  <c r="R300" i="1"/>
  <c r="T300" i="1" l="1"/>
  <c r="R301" i="1"/>
  <c r="T301" i="1" l="1"/>
  <c r="R302" i="1"/>
  <c r="T302" i="1" l="1"/>
  <c r="R303" i="1"/>
  <c r="T303" i="1" l="1"/>
  <c r="R304" i="1"/>
  <c r="T304" i="1" l="1"/>
  <c r="R305" i="1"/>
  <c r="R306" i="1" l="1"/>
  <c r="T305" i="1"/>
  <c r="R307" i="1" l="1"/>
  <c r="T306" i="1"/>
  <c r="R308" i="1" l="1"/>
  <c r="T307" i="1"/>
  <c r="R309" i="1" l="1"/>
  <c r="T308" i="1"/>
  <c r="R310" i="1" l="1"/>
  <c r="T309" i="1"/>
  <c r="R311" i="1" l="1"/>
  <c r="T310" i="1"/>
  <c r="R312" i="1" l="1"/>
  <c r="T311" i="1"/>
  <c r="R313" i="1" l="1"/>
  <c r="T312" i="1"/>
  <c r="R314" i="1" l="1"/>
  <c r="T313" i="1"/>
  <c r="R315" i="1" l="1"/>
  <c r="T314" i="1"/>
  <c r="T315" i="1" l="1"/>
  <c r="R316" i="1"/>
  <c r="T316" i="1" l="1"/>
  <c r="R317" i="1"/>
  <c r="R318" i="1" l="1"/>
  <c r="T317" i="1"/>
  <c r="R319" i="1" l="1"/>
  <c r="T318" i="1"/>
  <c r="R320" i="1" l="1"/>
  <c r="T319" i="1"/>
  <c r="R321" i="1" l="1"/>
  <c r="T320" i="1"/>
  <c r="R322" i="1" l="1"/>
  <c r="T321" i="1"/>
  <c r="R323" i="1" l="1"/>
  <c r="T322" i="1"/>
  <c r="R324" i="1" l="1"/>
  <c r="T323" i="1"/>
  <c r="R325" i="1" l="1"/>
  <c r="T324" i="1"/>
  <c r="R326" i="1" l="1"/>
  <c r="T325" i="1"/>
  <c r="T326" i="1" l="1"/>
  <c r="R327" i="1"/>
  <c r="R328" i="1" l="1"/>
  <c r="R329" i="1" s="1"/>
  <c r="T327" i="1"/>
  <c r="T328" i="1" l="1"/>
  <c r="R330" i="1"/>
  <c r="T329" i="1"/>
  <c r="R331" i="1" l="1"/>
  <c r="T330" i="1"/>
  <c r="R332" i="1" l="1"/>
  <c r="T331" i="1"/>
  <c r="R333" i="1" l="1"/>
  <c r="T332" i="1"/>
  <c r="R334" i="1" l="1"/>
  <c r="T333" i="1"/>
  <c r="R335" i="1" l="1"/>
  <c r="T334" i="1"/>
  <c r="T335" i="1" l="1"/>
  <c r="R336" i="1"/>
  <c r="R337" i="1" l="1"/>
  <c r="T336" i="1"/>
  <c r="R338" i="1" l="1"/>
  <c r="T337" i="1"/>
  <c r="R339" i="1" l="1"/>
  <c r="T338" i="1"/>
  <c r="R340" i="1" l="1"/>
  <c r="T339" i="1"/>
  <c r="R341" i="1" l="1"/>
  <c r="T340" i="1"/>
  <c r="R342" i="1" l="1"/>
  <c r="T341" i="1"/>
  <c r="R343" i="1" l="1"/>
  <c r="T342" i="1"/>
  <c r="R344" i="1" l="1"/>
  <c r="T343" i="1"/>
  <c r="R345" i="1" l="1"/>
  <c r="T344" i="1"/>
  <c r="R346" i="1" l="1"/>
  <c r="T345" i="1"/>
  <c r="R347" i="1" l="1"/>
  <c r="T346" i="1"/>
  <c r="R348" i="1" l="1"/>
  <c r="T347" i="1"/>
  <c r="R349" i="1" l="1"/>
  <c r="T348" i="1"/>
  <c r="R350" i="1" l="1"/>
  <c r="T349" i="1"/>
  <c r="R351" i="1" l="1"/>
  <c r="T350" i="1"/>
  <c r="R352" i="1" l="1"/>
  <c r="T351" i="1"/>
  <c r="R353" i="1" l="1"/>
  <c r="T352" i="1"/>
  <c r="R354" i="1" l="1"/>
  <c r="T353" i="1"/>
  <c r="R355" i="1" l="1"/>
  <c r="T354" i="1"/>
  <c r="R356" i="1" l="1"/>
  <c r="T355" i="1"/>
  <c r="R357" i="1" l="1"/>
  <c r="T356" i="1"/>
  <c r="R358" i="1" l="1"/>
  <c r="T357" i="1"/>
  <c r="R359" i="1" l="1"/>
  <c r="T358" i="1"/>
  <c r="R360" i="1" l="1"/>
  <c r="T359" i="1"/>
  <c r="R361" i="1" l="1"/>
  <c r="T360" i="1"/>
  <c r="R362" i="1" l="1"/>
  <c r="T361" i="1"/>
  <c r="R363" i="1" l="1"/>
  <c r="T362" i="1"/>
  <c r="R364" i="1" l="1"/>
  <c r="T363" i="1"/>
  <c r="R365" i="1" l="1"/>
  <c r="T364" i="1"/>
  <c r="R366" i="1" l="1"/>
  <c r="T365" i="1"/>
  <c r="R367" i="1" l="1"/>
  <c r="T366" i="1"/>
  <c r="R368" i="1" l="1"/>
  <c r="T368" i="1" s="1"/>
  <c r="T367" i="1"/>
  <c r="R369" i="1" l="1"/>
  <c r="T369" i="1" s="1"/>
  <c r="R370" i="1" l="1"/>
  <c r="T370" i="1" s="1"/>
  <c r="R371" i="1" l="1"/>
  <c r="T371" i="1" s="1"/>
  <c r="R372" i="1" l="1"/>
  <c r="T372" i="1" s="1"/>
  <c r="R373" i="1" l="1"/>
  <c r="T373" i="1" s="1"/>
  <c r="R374" i="1" l="1"/>
  <c r="T374" i="1" s="1"/>
  <c r="R375" i="1" l="1"/>
  <c r="T375" i="1" s="1"/>
  <c r="R376" i="1" l="1"/>
  <c r="T376" i="1" s="1"/>
  <c r="R377" i="1" l="1"/>
  <c r="T377" i="1" s="1"/>
  <c r="R378" i="1" l="1"/>
  <c r="T378" i="1" s="1"/>
  <c r="R379" i="1" l="1"/>
  <c r="T379" i="1" s="1"/>
  <c r="R380" i="1" l="1"/>
  <c r="T380" i="1" s="1"/>
  <c r="R381" i="1" l="1"/>
  <c r="T381" i="1" s="1"/>
  <c r="R382" i="1" l="1"/>
  <c r="T382" i="1" s="1"/>
  <c r="R383" i="1" l="1"/>
  <c r="T383" i="1" s="1"/>
  <c r="R384" i="1" l="1"/>
  <c r="R385" i="1" s="1"/>
  <c r="T384" i="1" l="1"/>
  <c r="R386" i="1"/>
  <c r="T385" i="1"/>
  <c r="R387" i="1" l="1"/>
  <c r="T386" i="1"/>
  <c r="R388" i="1" l="1"/>
  <c r="T387" i="1"/>
  <c r="R389" i="1" l="1"/>
  <c r="T388" i="1"/>
  <c r="R390" i="1" l="1"/>
  <c r="T389" i="1"/>
  <c r="R391" i="1" l="1"/>
  <c r="T390" i="1"/>
  <c r="R392" i="1" l="1"/>
  <c r="T391" i="1"/>
  <c r="R393" i="1" l="1"/>
  <c r="T392" i="1"/>
  <c r="R394" i="1" l="1"/>
  <c r="T393" i="1"/>
  <c r="R395" i="1" l="1"/>
  <c r="T394" i="1"/>
  <c r="R396" i="1" l="1"/>
  <c r="T395" i="1"/>
  <c r="R397" i="1" l="1"/>
  <c r="T396" i="1"/>
  <c r="R398" i="1" l="1"/>
  <c r="T398" i="1" s="1"/>
  <c r="T397" i="1"/>
  <c r="R399" i="1" l="1"/>
  <c r="R400" i="1" s="1"/>
  <c r="T399" i="1" l="1"/>
  <c r="R401" i="1"/>
  <c r="T400" i="1"/>
  <c r="R402" i="1" l="1"/>
  <c r="T401" i="1"/>
  <c r="R403" i="1" l="1"/>
  <c r="T402" i="1"/>
  <c r="R404" i="1" l="1"/>
  <c r="T403" i="1"/>
  <c r="R405" i="1" l="1"/>
  <c r="T404" i="1"/>
  <c r="R406" i="1" l="1"/>
  <c r="T405" i="1"/>
  <c r="R407" i="1" l="1"/>
  <c r="T406" i="1"/>
  <c r="R408" i="1" l="1"/>
  <c r="T407" i="1"/>
  <c r="R409" i="1" l="1"/>
  <c r="T408" i="1"/>
  <c r="R410" i="1" l="1"/>
  <c r="T410" i="1" s="1"/>
  <c r="T409" i="1"/>
  <c r="R411" i="1" l="1"/>
  <c r="T411" i="1" s="1"/>
  <c r="R412" i="1" l="1"/>
  <c r="R413" i="1" l="1"/>
  <c r="T412" i="1"/>
  <c r="R414" i="1" l="1"/>
  <c r="T413" i="1"/>
  <c r="R415" i="1" l="1"/>
  <c r="T414" i="1"/>
  <c r="R416" i="1" l="1"/>
  <c r="T415" i="1"/>
  <c r="R417" i="1" l="1"/>
  <c r="T416" i="1"/>
  <c r="R418" i="1" l="1"/>
  <c r="T417" i="1"/>
  <c r="R419" i="1" l="1"/>
  <c r="T418" i="1"/>
  <c r="R420" i="1" l="1"/>
  <c r="T419" i="1"/>
  <c r="R421" i="1" l="1"/>
  <c r="T420" i="1"/>
  <c r="R422" i="1" l="1"/>
  <c r="T421" i="1"/>
  <c r="R423" i="1" l="1"/>
  <c r="T422" i="1"/>
  <c r="R424" i="1" l="1"/>
  <c r="T423" i="1"/>
  <c r="R425" i="1" l="1"/>
  <c r="T424" i="1"/>
  <c r="R426" i="1" l="1"/>
  <c r="T425" i="1"/>
  <c r="R427" i="1" l="1"/>
  <c r="T426" i="1"/>
  <c r="R428" i="1" l="1"/>
  <c r="T427" i="1"/>
  <c r="R429" i="1" l="1"/>
  <c r="T428" i="1"/>
  <c r="R430" i="1" l="1"/>
  <c r="T429" i="1"/>
  <c r="R431" i="1" l="1"/>
  <c r="T431" i="1" s="1"/>
  <c r="T430" i="1"/>
  <c r="R432" i="1" l="1"/>
  <c r="T432" i="1" s="1"/>
  <c r="R433" i="1" l="1"/>
  <c r="T433" i="1" s="1"/>
  <c r="R434" i="1" l="1"/>
  <c r="T434" i="1" s="1"/>
  <c r="R435" i="1" l="1"/>
  <c r="T435" i="1" s="1"/>
  <c r="R436" i="1" l="1"/>
  <c r="T436" i="1" s="1"/>
  <c r="R437" i="1" l="1"/>
  <c r="T437" i="1" s="1"/>
  <c r="R438" i="1" l="1"/>
  <c r="T438" i="1" s="1"/>
  <c r="R439" i="1" l="1"/>
  <c r="T439" i="1" s="1"/>
  <c r="R440" i="1" l="1"/>
  <c r="T440" i="1" s="1"/>
  <c r="R441" i="1" l="1"/>
  <c r="T441" i="1" s="1"/>
  <c r="R442" i="1" l="1"/>
  <c r="T442" i="1" s="1"/>
  <c r="R443" i="1" l="1"/>
  <c r="T443" i="1" s="1"/>
  <c r="R444" i="1" l="1"/>
  <c r="T444" i="1" s="1"/>
  <c r="R445" i="1" l="1"/>
  <c r="R446" i="1" l="1"/>
  <c r="T445" i="1"/>
  <c r="T446" i="1" l="1"/>
  <c r="R447" i="1"/>
  <c r="T447" i="1" l="1"/>
  <c r="R448" i="1"/>
  <c r="R449" i="1" l="1"/>
  <c r="T448" i="1"/>
  <c r="R450" i="1" l="1"/>
  <c r="T449" i="1"/>
  <c r="R451" i="1" l="1"/>
  <c r="T450" i="1"/>
  <c r="R452" i="1" l="1"/>
  <c r="T451" i="1"/>
  <c r="R453" i="1" l="1"/>
  <c r="T452" i="1"/>
  <c r="R454" i="1" l="1"/>
  <c r="T453" i="1"/>
  <c r="R455" i="1" l="1"/>
  <c r="T454" i="1"/>
  <c r="R456" i="1" l="1"/>
  <c r="T455" i="1"/>
  <c r="R457" i="1" l="1"/>
  <c r="T456" i="1"/>
  <c r="R458" i="1" l="1"/>
  <c r="T457" i="1"/>
  <c r="R459" i="1" l="1"/>
  <c r="T459" i="1" s="1"/>
  <c r="T458" i="1"/>
  <c r="R460" i="1" l="1"/>
  <c r="T460" i="1" s="1"/>
  <c r="R461" i="1" l="1"/>
  <c r="R462" i="1" s="1"/>
  <c r="T461" i="1" l="1"/>
  <c r="R463" i="1"/>
  <c r="T462" i="1"/>
  <c r="R464" i="1" l="1"/>
  <c r="T463" i="1"/>
  <c r="R465" i="1" l="1"/>
  <c r="T464" i="1"/>
  <c r="R466" i="1" l="1"/>
  <c r="T465" i="1"/>
  <c r="R467" i="1" l="1"/>
  <c r="T466" i="1"/>
  <c r="R468" i="1" l="1"/>
  <c r="T467" i="1"/>
  <c r="R469" i="1" l="1"/>
  <c r="T469" i="1" s="1"/>
  <c r="T468" i="1"/>
  <c r="R470" i="1" l="1"/>
  <c r="T470" i="1" s="1"/>
  <c r="R471" i="1" l="1"/>
  <c r="R472" i="1" s="1"/>
  <c r="T471" i="1" l="1"/>
  <c r="R473" i="1"/>
  <c r="T472" i="1"/>
  <c r="R474" i="1" l="1"/>
  <c r="T473" i="1"/>
  <c r="R475" i="1" l="1"/>
  <c r="R476" i="1" s="1"/>
  <c r="T474" i="1"/>
  <c r="R477" i="1" l="1"/>
  <c r="T476" i="1"/>
  <c r="R478" i="1" l="1"/>
  <c r="T477" i="1"/>
  <c r="R479" i="1" l="1"/>
  <c r="T478" i="1"/>
  <c r="R480" i="1"/>
  <c r="T479" i="1"/>
  <c r="R481" i="1" l="1"/>
  <c r="T480" i="1"/>
  <c r="R482" i="1" l="1"/>
  <c r="T481" i="1"/>
  <c r="R483" i="1" l="1"/>
  <c r="T482" i="1"/>
  <c r="R484" i="1" l="1"/>
  <c r="T483" i="1"/>
  <c r="R485" i="1" l="1"/>
  <c r="R486" i="1" s="1"/>
  <c r="T484" i="1"/>
  <c r="R487" i="1" l="1"/>
  <c r="T486" i="1"/>
  <c r="R488" i="1" l="1"/>
  <c r="R489" i="1" s="1"/>
  <c r="T487" i="1"/>
  <c r="R490" i="1" l="1"/>
  <c r="T489" i="1"/>
  <c r="R491" i="1" l="1"/>
  <c r="R492" i="1" s="1"/>
  <c r="R493" i="1" s="1"/>
  <c r="R494" i="1" s="1"/>
  <c r="R495" i="1" s="1"/>
  <c r="R496" i="1" s="1"/>
  <c r="R497" i="1" s="1"/>
  <c r="R498" i="1" s="1"/>
  <c r="R499" i="1" s="1"/>
  <c r="R500" i="1" s="1"/>
  <c r="R501" i="1" s="1"/>
  <c r="R502" i="1" s="1"/>
  <c r="R503" i="1" s="1"/>
  <c r="R504" i="1" s="1"/>
  <c r="R505" i="1" s="1"/>
  <c r="R506" i="1" s="1"/>
  <c r="R507" i="1" s="1"/>
  <c r="R508" i="1" s="1"/>
  <c r="R509" i="1" s="1"/>
  <c r="R510" i="1" s="1"/>
  <c r="R511" i="1" s="1"/>
  <c r="R512" i="1" s="1"/>
  <c r="R513" i="1" s="1"/>
  <c r="R514" i="1" s="1"/>
  <c r="R515" i="1" s="1"/>
  <c r="R516" i="1" s="1"/>
  <c r="R517" i="1" s="1"/>
  <c r="R518" i="1" s="1"/>
  <c r="R519" i="1" s="1"/>
  <c r="R520" i="1" s="1"/>
  <c r="R521" i="1" s="1"/>
  <c r="R522" i="1" s="1"/>
  <c r="R523" i="1" s="1"/>
  <c r="R524" i="1" s="1"/>
  <c r="R525" i="1" s="1"/>
  <c r="R526" i="1" s="1"/>
  <c r="R527" i="1" s="1"/>
  <c r="R528" i="1" s="1"/>
  <c r="R529" i="1" s="1"/>
  <c r="R530" i="1" s="1"/>
  <c r="R531" i="1" s="1"/>
  <c r="R532" i="1" s="1"/>
  <c r="R533" i="1" s="1"/>
  <c r="R534" i="1" s="1"/>
  <c r="R535" i="1" s="1"/>
  <c r="R536" i="1" s="1"/>
  <c r="R537" i="1" s="1"/>
  <c r="R538" i="1" s="1"/>
  <c r="R539" i="1" s="1"/>
  <c r="R540" i="1" s="1"/>
  <c r="R541" i="1" s="1"/>
  <c r="R542" i="1" s="1"/>
  <c r="R543" i="1" s="1"/>
  <c r="R544" i="1" s="1"/>
  <c r="R545" i="1" s="1"/>
  <c r="R546" i="1" s="1"/>
  <c r="R547" i="1" s="1"/>
  <c r="R548" i="1" s="1"/>
  <c r="R549" i="1" s="1"/>
  <c r="R550" i="1" s="1"/>
  <c r="R551" i="1" s="1"/>
  <c r="R552" i="1" s="1"/>
  <c r="T490" i="1"/>
</calcChain>
</file>

<file path=xl/sharedStrings.xml><?xml version="1.0" encoding="utf-8"?>
<sst xmlns="http://schemas.openxmlformats.org/spreadsheetml/2006/main" count="534" uniqueCount="532">
  <si>
    <t>END_ID</t>
  </si>
  <si>
    <t>START_ID</t>
  </si>
  <si>
    <t>/*---------------　SYSTEM　---------------*/\</t>
  </si>
  <si>
    <t>/*---------------　AE　---------------*/\</t>
  </si>
  <si>
    <t>/*---------------　AWB　---------------*/\</t>
  </si>
  <si>
    <t>S</t>
    <phoneticPr fontId="2" type="noConversion"/>
  </si>
  <si>
    <t>AH</t>
    <phoneticPr fontId="2" type="noConversion"/>
  </si>
  <si>
    <t>AD</t>
    <phoneticPr fontId="2" type="noConversion"/>
  </si>
  <si>
    <t>/*---------------　KEY　---------------*/\</t>
  </si>
  <si>
    <t>7f</t>
    <phoneticPr fontId="2" type="noConversion"/>
  </si>
  <si>
    <t>6f</t>
    <phoneticPr fontId="2" type="noConversion"/>
  </si>
  <si>
    <t>SYSTEM</t>
  </si>
  <si>
    <t>KEY</t>
  </si>
  <si>
    <t>TDN</t>
  </si>
  <si>
    <t>AE</t>
  </si>
  <si>
    <t>AWB</t>
  </si>
  <si>
    <t>Color　space</t>
  </si>
  <si>
    <t>Color　suppression</t>
  </si>
  <si>
    <t>Hue　&amp;　Gain</t>
  </si>
  <si>
    <t>Gamma</t>
  </si>
  <si>
    <t>DNR</t>
  </si>
  <si>
    <t>Sharpness</t>
  </si>
  <si>
    <t>ACE　&amp;　Defog</t>
  </si>
  <si>
    <t>High　 Light　 Mask</t>
  </si>
  <si>
    <t>Defect　correction</t>
  </si>
  <si>
    <t>Motion　&amp;　Intelligence</t>
  </si>
  <si>
    <t>Privacy　Box</t>
  </si>
  <si>
    <t>2motor</t>
  </si>
  <si>
    <t>AF</t>
  </si>
  <si>
    <t>EX-SDI</t>
  </si>
  <si>
    <t>Audio</t>
  </si>
  <si>
    <t>size</t>
    <phoneticPr fontId="2" type="noConversion"/>
  </si>
  <si>
    <t>USER　Custom</t>
  </si>
  <si>
    <t>END</t>
    <phoneticPr fontId="2" type="noConversion"/>
  </si>
  <si>
    <t>start</t>
    <phoneticPr fontId="2" type="noConversion"/>
  </si>
  <si>
    <t>end</t>
    <phoneticPr fontId="2" type="noConversion"/>
  </si>
  <si>
    <t>/*---------------　TDN　---------------*/\</t>
  </si>
  <si>
    <t>/*---------------　DNR　---------------*/\</t>
  </si>
  <si>
    <t>Output Scale</t>
    <phoneticPr fontId="2" type="noConversion"/>
  </si>
  <si>
    <t>/*---------------　ACE　---------------*/\</t>
  </si>
  <si>
    <t>)</t>
    <phoneticPr fontId="2" type="noConversion"/>
  </si>
  <si>
    <t>,</t>
    <phoneticPr fontId="2" type="noConversion"/>
  </si>
  <si>
    <t>Up</t>
    <phoneticPr fontId="2" type="noConversion"/>
  </si>
  <si>
    <t>(</t>
    <phoneticPr fontId="2" type="noConversion"/>
  </si>
  <si>
    <t>D</t>
    <phoneticPr fontId="2" type="noConversion"/>
  </si>
  <si>
    <t>H</t>
    <phoneticPr fontId="2" type="noConversion"/>
  </si>
  <si>
    <t>/*</t>
    <phoneticPr fontId="2" type="noConversion"/>
  </si>
  <si>
    <t>*/</t>
    <phoneticPr fontId="2" type="noConversion"/>
  </si>
  <si>
    <t>size</t>
    <phoneticPr fontId="2" type="noConversion"/>
  </si>
  <si>
    <t>UP_SET(2, UpTDN_DLY_LOW)/* TDN low delay time (1000-&gt;1s, 2000-&gt;2s, ..., 20000-&gt;20s) */\</t>
  </si>
  <si>
    <t>UP_SET(2, UpTDN_DLY_MIDDLE)/* TDN middle delay time (1000-&gt;1s, 2000-&gt;2s, ..., 20000-&gt;20s) */\</t>
  </si>
  <si>
    <t>UP_SET(2, UpTDN_DLY_HIGH)/* TDN high delay time (1000-&gt;1s, 2000-&gt;2s, ..., 20000-&gt;20s) */\</t>
  </si>
  <si>
    <t>UP_SET(1, UpAWB_SPEED_MTRX)/* Matrix tracking speed (Low is high speed, max=0xff) */\</t>
  </si>
  <si>
    <t>UP_SET(1, UpCSUP_GA)/* High Light color suppression gain (Y domain control) (0x40 = x0.5, 0x80 = x1, 0xC0 = x1.5, 0xff = x2) */\</t>
  </si>
  <si>
    <t>UP_SET(1, UpTDN_AUTO_THRS_STEP)/* AGC Value unit per one step of THRES in DAY&amp;NIGHT-AUTO Menu (1 ~ 0x64) */\</t>
  </si>
  <si>
    <t>UP_SET(2, UpAWB_TCNT_LMT)/* White pixel cnt limit to minimum (under 0x10000) */\</t>
  </si>
  <si>
    <t>UP_SET(2, UpAWB_AGC_MIN)/* Chroma AGC position for maximum weight (default +- value) */\</t>
  </si>
  <si>
    <t>UP_SET(1, UpAWB_AGC_WGT_MIN)/* Chroma minimum weight (under 0x100(100%)) */\</t>
  </si>
  <si>
    <t>UP_SET(1, UpAWB_GAIN_TIMES)/* RGB Gain limit (X times, under 4) */\</t>
  </si>
  <si>
    <t>UP_SET(1, UpGAMMA_C_ON)/* C GAMMA on/off (0:off, 1:on) */\</t>
  </si>
  <si>
    <t>UP_SET(1, UpCSUP_ON)/* High Light color suppression on/off (Y domain control) (0: off, 1: on) */\</t>
  </si>
  <si>
    <t>UP_SET(1, UpAE_SPEED)/* Tracking Speed (0 ~ 0x80 ~ 0xFF -&gt;  x0.25 ~ x1 ~ x4) */\</t>
  </si>
  <si>
    <t>UP_SET(1, UpHLMASK_CY)/* HLMASK CY of Color for Customize Color Menu (0 ~ 0xFF) */\</t>
  </si>
  <si>
    <t>UP_SET(1, UpHLMASK_CB)/* HLMASK CB of Color for Customize Color Menu (0 ~ 0xFF) */\</t>
  </si>
  <si>
    <t>UP_SET(1, UpHLMASK_CR)/* HLMASK CR of Color for Customize Color Menu (0 ~ 0xFF) */\</t>
  </si>
  <si>
    <t>UP_SET(1, UpDEFECT_GA)/* Within the pattern, this parameter uses to detect directional defect. Difference gain for isolated point determination. (0x40 = x0.5, 0x80 = x1, 0xC0 = x1.5, 0xff = x2) */\</t>
  </si>
  <si>
    <t>UP_SET(1, UpDEFECT_SPOT_GA)/* Spot pattern area gain. (0x40 = x0.5, 0x80 = x1, 0xC0 = x1.5, 0xff = x2) */\</t>
  </si>
  <si>
    <t>UP_SET(1, UpDEFECT_TSEL)/* Select test image in core for directional defect correction. (VLOCKI)  "0" : Normal operation  "1" : Difference values for isolated points  "2" : Image before correction  "3" : Complete correction image (100% correction image except weight).  "4" : Defect pattern detection value */\</t>
  </si>
  <si>
    <t>\</t>
  </si>
  <si>
    <t>UP_SET(2, UpAE2_VSP)/* Luma detection area Y start (default +- value) */\</t>
  </si>
  <si>
    <t>UP_SET(2, UpAE2_VEP)/* Luma detection area Y end (default +- value) */\</t>
  </si>
  <si>
    <t>UP_SET(2, UpAWB_HW)/* AWB detection area Y end (default +- value) */\</t>
  </si>
  <si>
    <t>UP_SET(2, UpAWB_VSP)/* AWB detection area Y start (default +- value) */\</t>
  </si>
  <si>
    <t>UP_SET(2, UpAWB_VW)/* AWB detection area Y end (default +- value) */\</t>
  </si>
  <si>
    <t>UP_SET(2, UpDEFOG_TH_MID)/* Defog Maximum Strength for menu MIDDLE (LOW ~ 0xffff) */\</t>
  </si>
  <si>
    <t>UP_SET(2, UpDEFOG_TH_HIGH)/* Defog Maximum Strength for menu HIGH (MIDDLE ~ 0xffff) */\</t>
  </si>
  <si>
    <t>UP_SET(1, UpAE_LED_TEST_RUN)/* Start Test */\</t>
  </si>
  <si>
    <t>UP_SET(1, UpAE_LED_AePos_STOP)/* Fix ae position to current position */\</t>
  </si>
  <si>
    <t>UP_SET(3, UpAE_LED_LED)/* PWM duty control (0x0 ~ 0x12E1FC) */\</t>
  </si>
  <si>
    <t>UP_SET(2, UpAE_LED_AGC)/* Apply AGC value manually (0x0 ~ 0xFFFF) */\</t>
  </si>
  <si>
    <t>UP_SET(2, UpAE_LED_HEP_Hz)/* PWM frequency control (0x0 ~ 0xFFFF) */\</t>
  </si>
  <si>
    <t>UP_SET(2, UpAE2_HEP)/* Luma detection area X end (default +- value) */\</t>
  </si>
  <si>
    <t>UP_SET(1, UpENC_RYHUEP_T)/* R-Y Positive Hue Control for HD-Analog &lt;MODE_T&gt; */\</t>
  </si>
  <si>
    <t>UP_SET(1, UpENC_RYHUEN_T)/* R-Y Negative Hue Control for HD-Analog &lt;MODE_T&gt; */\</t>
  </si>
  <si>
    <t>UP_SET(1, UpENC_BYHUEP_T)/* B-Y Positive Hue Control for HD-Analog &lt;MODE_T&gt; */\</t>
  </si>
  <si>
    <t>UP_SET(2, UpWHITE_LV_T)/* White level control parameter &lt;MODE_T&gt; */\</t>
  </si>
  <si>
    <t>UP_SET(2, UpBLANK_LV_T)/* Blank level control parameter &lt;MODE_T&gt; */\</t>
  </si>
  <si>
    <t>UP_SET(2, UpCB_BST_T)/* Burst amplitude &amp; phase select parameter(Cr) &lt;MODE_T&gt; */\</t>
  </si>
  <si>
    <t>UP_SET(2, UpHSC_K_T)/* Horizontal Scaler Ratio &lt;MODE_T&gt; */\</t>
  </si>
  <si>
    <t>UP_SET(2, UpHLOCK_CAT_T)/* Video Encoder internal H sync delay parameter based on input H sync &lt;MODE_T&gt; */\</t>
  </si>
  <si>
    <t>UP_SET(1, UpENC_RYGAINN_C)/* R-Y Negative Gain Control for HD-Analog(0 ~ 0xFF) &lt;MODE_C&gt; */\</t>
  </si>
  <si>
    <t>UP_SET(1, UpENC_BYGAINP_C)/* B-Y Positive Gain Control for HD-Analog(0 ~ 0xFF) &lt;MODE_C&gt; */\</t>
  </si>
  <si>
    <t>UP_SET(1, UpENC_BYGAINN_C)/* B-Y Negative Gain Control for HD-Analog(0 ~ 0xFF) &lt;MODE_C&gt; */\</t>
  </si>
  <si>
    <t>UP_SET(1, UpENC_RYHUEP_C)/* R-Y Positive Hue Control for HD-Analog &lt;MODE_C&gt; */\</t>
  </si>
  <si>
    <t>UP_SET(1, UpENC_RYHUEN_C)/* R-Y Negative Hue Control for HD-Analog &lt;MODE_C&gt; */\</t>
  </si>
  <si>
    <t>UP_SET(1, UpENC_BYHUEP_C)/* B-Y Positive Hue Control for HD-Analog &lt;MODE_C&gt; */\</t>
  </si>
  <si>
    <t>UP_SET(2, UpWHITE_LV_C)/* White level control parameter &lt;MODE_C&gt; */\</t>
  </si>
  <si>
    <t>UP_SET(2, UpBLANK_LV_C)/* Blank level control parameter &lt;MODE_C&gt; */\</t>
  </si>
  <si>
    <t>UP_SET(2, UpCB_BST_C)/* Burst amplitude &amp; phase select parameter(Cr) &lt;MODE_C&gt; */\</t>
  </si>
  <si>
    <t>UP_SET(2, UpHSC_K_C)/* Horizontal Scaler Ratio &lt;MODE_C&gt; */\</t>
  </si>
  <si>
    <t>UP_SET(2, UpHLOCK_CAT_C)/* Video Encoder internal H sync delay parameter based on input H sync &lt;MODE_C&gt; */\</t>
  </si>
  <si>
    <t>UP_SET(1, UpENC_RYGAINN_A)/* R-Y Negative Gain Control for HD-Analog(0 ~ 0xFF) &lt;MODE_A&gt; */\</t>
  </si>
  <si>
    <t>UP_SET(1, UpENC_BYGAINP_A)/* B-Y Positive Gain Control for HD-Analog(0 ~ 0xFF) &lt;MODE_A&gt; */\</t>
  </si>
  <si>
    <t>UP_SET(1, UpENC_BYGAINN_A)/* B-Y Negative Gain Control for HD-Analog(0 ~ 0xFF) &lt;MODE_A&gt; */\</t>
  </si>
  <si>
    <t>UP_SET(1, UpENC_RYHUEP_A)/* R-Y Positive Hue Control for HD-Analog &lt;MODE_A&gt; */\</t>
  </si>
  <si>
    <t>UP_SET(1, UpENC_RYHUEN_A)/* R-Y Negative Hue Control for HD-Analog &lt;MODE_A&gt; */\</t>
  </si>
  <si>
    <t>UP_SET(1, UpENC_BYHUEP_A)/* B-Y Positive Hue Control for HD-Analog &lt;MODE_A&gt; */\</t>
  </si>
  <si>
    <t xml:space="preserve">UP_SET(1, UpENC_BYHUEN_A)/* B-Y Negative Hue Control for HD-Analog &lt;MODE_A&gt; */\ </t>
  </si>
  <si>
    <t>UP_SET(2, UpWHITE_LV_A)/* White level control parameter &lt;MODE_A&gt; */\</t>
  </si>
  <si>
    <t>UP_SET(2, UpBLANK_LV_A)/* Blank level control parameter &lt;MODE_A&gt; */\</t>
  </si>
  <si>
    <t>UP_SET(2, UpCB_BST_A)/* Burst amplitude &amp; phase select parameter(Cr) &lt;MODE_A&gt; */\</t>
  </si>
  <si>
    <t>UP_SET(2, UpHSC_K_A)/* Horizontal Scaler Ratio &lt;MODE_A&gt; */\</t>
  </si>
  <si>
    <t>UP_SET(2, UpHLOCK_CAT_A)/* Video Encoder internal H sync delay parameter based on input H sync &lt;MODE_A&gt; */\</t>
  </si>
  <si>
    <t>UP_SET(2, UpAWB_AGC_MAX)/* Chroma AGC position for minimum weight (default +- value) */\</t>
  </si>
  <si>
    <t>UP_SET(2, UpAE_BLK_LVL_AGC_PT0)/* AGC interlocking point 0 for black level (0x0 ~ 0x300) */\</t>
  </si>
  <si>
    <t>UP_SET(2, UpAE_BLK_LVL_AGC_PT1)/* AGC interlocking point 1 for black level (0x0 ~ 0x300) */\</t>
  </si>
  <si>
    <t>UP_SET(2, UpAE_BLK_LVL_AGC_PT2)/* AGC interlocking point 2 for black level (0x0 ~ 0x300) */\</t>
  </si>
  <si>
    <t>/*---------------　SHARPNESS　---------------*/\</t>
  </si>
  <si>
    <t>/*---------------　DEFOG　---------------*/\</t>
  </si>
  <si>
    <t>/*---------------　HIGH　LIGHT　MASK　---------------*/\</t>
  </si>
  <si>
    <t>/*---------------　DEFECT　---------------*/\</t>
  </si>
  <si>
    <t>UP_SET(2, UpDEFECT_AGC_PT1)/* AGC value of Dark for control defect. (MIN ~ 0x1F4 AGC value) */\</t>
  </si>
  <si>
    <t>UP_SET(2, UpDEFECT_AGC_PT2)/* AGC value of Very dark for control defect. (MIDDLE ~ 0x1F4 AGC value) */\</t>
  </si>
  <si>
    <t>UP_SET(2, UpPEDESTAL_LV_T)/* Pedestal level control parameter &lt;MODE_T&gt; */\</t>
  </si>
  <si>
    <t>UP_SET(2, UpPEDESTAL_LV_C)/* Pedestal level control parameter &lt;MODE_C&gt; */\</t>
  </si>
  <si>
    <t>UP_SET(2, UpPEDESTAL_LV_A)/* Pedestal level control parameter &lt;MODE_A&gt; */\</t>
  </si>
  <si>
    <t>UP_SET(1, UpENC_RYGAINN_CVBS)/* R-Y Negative Gain Control for HD-Analog(0 ~ 0xFF) &lt;MODE_CVBS&gt; */\</t>
  </si>
  <si>
    <t>UP_SET(1, UpENC_BYGAINP_CVBS)/* B-Y Positive Gain Control for HD-Analog(0 ~ 0xFF) &lt;MODE_CVBS&gt; */\</t>
  </si>
  <si>
    <t>UP_SET(1, UpENC_BYGAINN_CVBS)/* B-Y Negative Gain Control for HD-Analog(0 ~ 0xFF) &lt;MODE_CVBS&gt; */\</t>
  </si>
  <si>
    <t>UP_SET(1, UpENC_RYHUEP_CVBS)/* R-Y Positive Hue Control for HD-Analog &lt;MODE_CVBS&gt; */\</t>
  </si>
  <si>
    <t>UP_SET(1, UpENC_RYHUEN_CVBS)/* R-Y Negative Hue Control for HD-Analog &lt;MODE_CVBS&gt; */\</t>
  </si>
  <si>
    <t>UP_SET(1, UpENC_BYHUEP_CVBS)/* B-Y Positive Hue Control for HD-Analog &lt;MODE_CVBS&gt; */\</t>
  </si>
  <si>
    <t>UP_SET(2, UpWHITE_LV_CVBS)/* White level control parameter &lt;MODE_CVBS&gt; */\</t>
  </si>
  <si>
    <t>UP_SET(2, UpBLANK_LV_CVBS)/* Blank level control parameter &lt;MODE_CVBS&gt; */\</t>
  </si>
  <si>
    <t>UP_SET(2, UpPEDESTAL_LV_CVBS)/* Pedestal level control parameter &lt;MODE_CVBS&gt; */\</t>
  </si>
  <si>
    <t>UP_SET(2, UpCB_BST_CVBS)/* Burst amplitude &amp; phase select parameter(Cr) &lt;MODE_CVBS&gt; */\</t>
  </si>
  <si>
    <t>UP_SET(2, UpCR_BST_CVBS)/* Burst amplitude &amp; phase select parameter(Cb) &lt;MODE_CVBS&gt; */\</t>
  </si>
  <si>
    <t>UP_SET(2, UpHSC_K_CVBS)/* Horizontal Scaler Ratio &lt;MODE_CVBS&gt; */\</t>
  </si>
  <si>
    <t>UP_SET(2, UpHLOCK_CAT_CVBS)/* Video Encoder internal H sync delay parameter based on input H sync &lt;MODE_CVBS&gt; */\</t>
  </si>
  <si>
    <t>#</t>
    <phoneticPr fontId="2" type="noConversion"/>
  </si>
  <si>
    <t>/*#AE_WINDOW*/\</t>
  </si>
  <si>
    <t>/*#AE_PAR*/\</t>
  </si>
  <si>
    <t>/*#WDR_PAR*/\</t>
  </si>
  <si>
    <t>/*#AWB_WINDOW*/\</t>
  </si>
  <si>
    <t>/*#AWB_PAR*/\</t>
  </si>
  <si>
    <t>/*#LSUP*/\</t>
  </si>
  <si>
    <t>/*#CSUP*/\</t>
  </si>
  <si>
    <t>/*#SHARPNESS_PT0*/\</t>
  </si>
  <si>
    <t>/*#SHARPNESS_PT1*/\</t>
  </si>
  <si>
    <t>/*#SHARPNESS_PT2*/\</t>
  </si>
  <si>
    <t>/*#MODE_T*/\</t>
  </si>
  <si>
    <t>/*#MODE_C*/\</t>
  </si>
  <si>
    <t>UP_SET(1, UpENC_RYGAINP_C)/* R-Y Positive Gain Control for HD-Analog(0 ~ 0xFF) &lt;MODE_C&gt; */\</t>
  </si>
  <si>
    <t>/*#MODE_A*/\</t>
  </si>
  <si>
    <t>UP_SET(1, UpENC_RYGAINP_A)/* R-Y Positive Gain Control for HD-Analog(0 ~ 0xFF) &lt;MODE_A&gt; */\</t>
  </si>
  <si>
    <t>/*#MODE_CVBS*/\</t>
  </si>
  <si>
    <t>UP_SET(1, UpENC_RYGAINP_CVBS)/* R-Y Positive Gain Control for HD-Analog(0 ~ 0xFF) &lt;MODE_CVBS&gt; */\</t>
  </si>
  <si>
    <t>/*#MIPI_TIMING*/\</t>
  </si>
  <si>
    <t>UP_SET(1, UpTDN_EXTN_THRS_STEP,=30)/* ADC Value unit per one step of THRES in DAY&amp;NIGHT-EXTERN Menu (1 ~ 0x64) */\</t>
  </si>
  <si>
    <t>UP_SET(2, UpAE2_HSP,=50)/* Luma detection area X start (default +- value) */\</t>
  </si>
  <si>
    <t>/*---------------　HUE　&amp;　GAIN　---------------*/\</t>
  </si>
  <si>
    <t>/*---------------　GAMMA　---------------*/\</t>
  </si>
  <si>
    <t>/*---------------　ENCODER　---------------*/\</t>
  </si>
  <si>
    <t>/*---------------　ADAPTIVE-LIGHTING　---------------*/\</t>
  </si>
  <si>
    <t>/*#ACE_Common*/\</t>
  </si>
  <si>
    <t>/*#DNR_AGC_PT*/\</t>
  </si>
  <si>
    <t>/*#DNR_HPF_GAIN*/\</t>
  </si>
  <si>
    <t>/*#SHARPNESS_AGC_PT*/\</t>
  </si>
  <si>
    <t>UP_SET(2, UpYGMA_AGC_PT1)/* Apply Y Gamma2 interlocking point 1 */\</t>
  </si>
  <si>
    <t>UP_SET(2, UpCGMA_AGC_PT1)/* Apply C Gamma2 interlocking point 1 */\</t>
  </si>
  <si>
    <t>/*#ACE_AGC_PT*/\</t>
  </si>
  <si>
    <t>/*#ACE_PT0*/\</t>
  </si>
  <si>
    <t>/*#ACE_PT1*/\</t>
  </si>
  <si>
    <t>/*#ACE_PT2*/\</t>
  </si>
  <si>
    <t>/*#ACE_GMGN*/\</t>
  </si>
  <si>
    <t>/*#ACE_WDR_PT*/\</t>
  </si>
  <si>
    <t>/*#ACE_WDR_GMGN*/\</t>
  </si>
  <si>
    <t>/*#CESUP*/\</t>
  </si>
  <si>
    <t>/*---------------　COLOR　SUPPRESSION　---------------*/\</t>
  </si>
  <si>
    <t>/*#DEFOG*/\</t>
  </si>
  <si>
    <t>UP_SET(1, UpSHARPNESS_GAIN_CVBS)/* Sharpness Gain CVBS(0=OFF, 1=x5, 2=x2.5, 3=x1.67, 4=1.25, 5=x1, 6=x0.83, 8=x0.625, 0xA=x0.5, 0x14=x0.25, 0x32=x0.1) */\</t>
  </si>
  <si>
    <t>UP_SET(1, UpDNR_HPF_GAIN_LV1_PT0)/* HPF gain interlocking point 0 in DNR function (0x0 ~ 0x7) */\</t>
  </si>
  <si>
    <t>UP_SET(1, UpDNR_HPF_GAIN_LV1_PT1)/* HPF gain interlocking point 1 in DNR function (0x0 ~ 0x7) */\</t>
  </si>
  <si>
    <t>UP_SET(1, UpDNR_HPF_GAIN_LV1_PT2)/* HPF gain interlocking point 2 in DNR function (0x0 ~ 0x7) */\</t>
  </si>
  <si>
    <t>UP_SET(1, UpDNR_HPF_GAIN_LV2_PT0)/* HPF gain interlocking point 0 in DNR function (0x0 ~ 0x7) */\</t>
  </si>
  <si>
    <t>UP_SET(1, UpDNR_HPF_GAIN_LV2_PT1)/* HPF gain interlocking point 1 in DNR function (0x0 ~ 0x7) */\</t>
  </si>
  <si>
    <t>UP_SET(1, UpDNR_HPF_GAIN_LV2_PT2)/* HPF gain interlocking point 2 in DNR function (0x0 ~ 0x7) */\</t>
  </si>
  <si>
    <t>UP_SET(2, UpSHP_AGC_PT0)/* AGC interlocking point 0 in sharpness function (0x0 ~ UpSHP_AGC_PT1) */\</t>
  </si>
  <si>
    <t>UP_SET(2, UpSHP_AGC_PT1)/* AGC interlocking point 1 in sharpness function (UpSHP_AGC_PT0 ~ UpSHP_AGC_PT1) */\</t>
  </si>
  <si>
    <t>UP_SET(2, UpSHP_AGC_PT2)/* AGC interlocking point 2 in sharpness function (UpSHP_AGC_PT1 ~ AGC Max value) */\</t>
  </si>
  <si>
    <t>UP_SET(2, UpDNR_AGC_PT1)/* AGC interlocking point 1 in DNR function (0x0 ~ UpDNR_AGC_PT2) */\</t>
  </si>
  <si>
    <t>UP_SET(2, UpDNR_AGC_PT2)/* AGC interlocking point 2 in DNR function (0x0 ~ AGC Max value) */\</t>
  </si>
  <si>
    <t>/*#DNR_VAL_OFST*/\</t>
  </si>
  <si>
    <t>/*#DNR_HPF_AGC_PT*/\</t>
  </si>
  <si>
    <t>UP_SET(2, UpDNR_AGC_HPF_PT0)/* AGC interlocking point 0 in DNR function (0x0 ~ UpDNR_AGC_HPF_PT1) */\</t>
  </si>
  <si>
    <t>UP_SET(2, UpDNR_AGC_HPF_PT1)/* AGC interlocking point 1 in DNR function (0x0 ~ UpDNR_AGC_HPF_PT2) */\</t>
  </si>
  <si>
    <t>UP_SET(2, UpDNR_AGC_HPF_PT2)/* AGC interlocking point 2 in DNR function (0x0 ~ AGC Max value) */\</t>
  </si>
  <si>
    <t>UP_SET(2, UpDNR_WDR_AGC_PT0)/* AGC interlocking point 0 in DNR function of WDR (0x0 ~ UpDNR_WDR_AGC_PT1) */\</t>
  </si>
  <si>
    <t>UP_SET(2, UpDNR_WDR_AGC_PT1)/* AGC interlocking point 1 in DNR function of WDR (0x0 ~ UpDNR_WDR_AGC_PT2) */\</t>
  </si>
  <si>
    <t>UP_SET(2, UpDNR_WDR_AGC_PT2)/* AGC interlocking point 2 in DNR function of WDR (0x0 ~ AGC Max value) */\</t>
  </si>
  <si>
    <t>UP_SET(2, UpSHP_WDR_AGC_PT0)/* AGC interlocking point 0 in sharpness function of WDR (0x0 ~ UpSHP_AGC_PT1) */\</t>
  </si>
  <si>
    <t>UP_SET(2, UpSHP_WDR_AGC_PT1)/* AGC interlocking point 1 in sharpness function of WDR (UpSHP_AGC_PT0 ~ UpSHP_AGC_PT1) */\</t>
  </si>
  <si>
    <t>UP_SET(2, UpSHP_WDR_AGC_PT2)/* AGC interlocking point 2 in sharpness function of WDR (UpSHP_AGC_PT1 ~ AGC Max value) */\</t>
  </si>
  <si>
    <t>UP_SET(2, UpACE_AGC_PT0)/* AGC interlocking point 0 in ACE function */\</t>
  </si>
  <si>
    <t>UP_SET(2, UpACE_AGC_PT1)/* AGC interlocking point 1 in ACE function */\</t>
  </si>
  <si>
    <t>UP_SET(2, UpYGMA_WDR_AGC_PT1)/* Apply Y Gamma2 interlocking point 1 */\</t>
  </si>
  <si>
    <t>UP_SET(2, UpCGMA_WDR_AGC_PT1)/* Apply C Gamma2 interlocking point 1 */\</t>
  </si>
  <si>
    <t>UP_SET(1, UpLVDS_CKDLY,=2)/* MIPI &amp; LVDS Input Clock Delay Adjust (0x0 ~ 0xf) &lt;Not be saved&gt; */\</t>
  </si>
  <si>
    <t>UP_SET(1, UpLDIDLY0)/* MIPI &amp; LVDS Channel 0 Delay Adjust (0x0~0xf) &lt;Not be saved&gt; */\</t>
  </si>
  <si>
    <t>UP_SET(1, UpLDIDLY1)/* MIPI &amp; LVDS Channel 1 Delay Adjust (0x0~0xf) &lt;Not be saved&gt; */\</t>
  </si>
  <si>
    <t>UP_SET(1, UpLDIDLY2)/* MIPI &amp; LVDS Channel 2 Delay Adjust (0x0~0xf) &lt;Not be saved&gt; */\</t>
  </si>
  <si>
    <t>UP_SET(1, UpLDIDLY3)/* MIPI &amp; LVDS Channel 3 Delay Adjust (0x0~0xf) &lt;Not be saved&gt; */\</t>
  </si>
  <si>
    <t>UP_SET(2, UpADC_LEVEL_C,=8)/* ADC Value of Center Key (0 ~ 0x3FF) */\</t>
  </si>
  <si>
    <t>UP_SET(2, UpADC_LEVEL_U)/* ADC Value of Up Key (0 ~ 0x3FF) */\</t>
  </si>
  <si>
    <t>UP_SET(2, UpADC_LEVEL_D)/* ADC Value of Down Key (0 ~ 0x3FF) */\</t>
  </si>
  <si>
    <t>UP_SET(2, UpADC_LEVEL_L)/* ADC Value of Left Key (0 ~ 0x3FF) */\</t>
  </si>
  <si>
    <t>UP_SET(2, UpADC_LEVEL_R)/* ADC Value of Right Key (0 ~ 0x3FF) */\</t>
  </si>
  <si>
    <t>UP_SET(1, UpAD_CHT_BIT)/* Number of bit for Chattering ADC Value of Key (1 ~ 8) */\</t>
  </si>
  <si>
    <t>UP_SET(2, UpAE_SHT_SLICE_LINE)/* Limit of Shutter minimum value (line value : spec min ~ 1123) */\</t>
  </si>
  <si>
    <t>UP_SET(1, UpAE_OUTDOOR_THRS_VAL)/* When OUTDOOR mode, Shutter threshold value (ex. 1125&gt;&gt;3 = 375 =&gt; 1/240s) */\</t>
  </si>
  <si>
    <t>UP_SET(1, UpAE_DEBLUR_THRS_VAL)/* When DEBLUR mode, Shutter threshold value (ex. 1125&gt;&gt;3 = 375 =&gt; 1/240s) */\</t>
  </si>
  <si>
    <t>UP_SET(1, UpAE_SPEED_DC)/* DC IRIS Speed ([Low]0 ~ [Fast]3) */\</t>
  </si>
  <si>
    <t>UP_SET(2, UpAE_TGT_GAIN)/* Normal Brightness target gain [(UpAE_TGT_GAIN * BRIGHTNESS in Menu) + UpAE_TGT_OFST &lt; 0x3FF] */\</t>
  </si>
  <si>
    <t>UP_SET(2, UpAE_TGT_OFST)/* Normal Brightness target offset [(UpAE_TGT_GAIN * BRIGHTNESS in Menu) + UpAE_TGT_OFST &lt; 0x3FF] */\</t>
  </si>
  <si>
    <t>UP_SET(2, UpAE_SLIC_OFST)/* Normal Brightness Slice level (AE Target - UpAE_SLIC_OFST &lt; Target) */\</t>
  </si>
  <si>
    <t>UP_SET(2, UpAE_CLIP_OFST)/* Normal Brightness Clip level (AE Target + UpAE_CLIP_OFST &lt; 0x3FF) */\</t>
  </si>
  <si>
    <t>UP_SET(2, UpAE_TGT_DCRS_AGC_PT0)/* AGC interlocking point 0 for Target Value to be decreased */\</t>
  </si>
  <si>
    <t>UP_SET(2, UpAE_TGT_DCRS_AGC_PT1)/* AGC interlocking point 1 for Target Value to be decreased */\</t>
  </si>
  <si>
    <t>UP_SET(2, UpAE_TGT_DCRS_AGC_PT2)/* AGC interlocking point 2 for Target Value to be decreased */\</t>
  </si>
  <si>
    <t>UP_SET(1, UpAE_TGT_DCRS_VAL_PT0)/* Target Value to be decreased interlocking point 0, [Target_Value = Target - DCRS_TargetVal(Calculate Target through AGC Interlocking) */\</t>
  </si>
  <si>
    <t>UP_SET(1, UpAE_TGT_DCRS_VAL_PT1)/* Target Value to be decreased interlocking point 1, [Target_Value = Target - DCRS_TargetVal(Calculate Target through AGC Interlocking) */\</t>
  </si>
  <si>
    <t>UP_SET(1, UpAE_TGT_DCRS_VAL_PT2)/* Target Value to be decreased interlocking point 2, [Target_Value = Target - DCRS_TargetVal(Calculate Target through AGC Interlocking) */\</t>
  </si>
  <si>
    <t>UP_SET(1, UpAE_DEBLUR_GAIN)/* Deblur shutter increasing gradient (0x40 ~ 0xFF -&gt; x0.5 ~ x2.0) */\</t>
  </si>
  <si>
    <t>UP_SET(1, UpAE_BLK_LVL_VAL_PT0)/* Black level corresponding to interlocking point 0 */\</t>
  </si>
  <si>
    <t>UP_SET(1, UpAE_BLK_LVL_VAL_PT1)/* Black level corresponding to interlocking point 1 */\</t>
  </si>
  <si>
    <t>UP_SET(1, UpAE_BLK_LVL_VAL_PT2)/* Black level corresponding to interlocking point 2 */\</t>
  </si>
  <si>
    <t>UP_SET(2, UpAE_CLP_AGC_PT0)/* AGC interlocking point 0 for CLIP_VALUE */\</t>
  </si>
  <si>
    <t>UP_SET(2, UpAE_CLP_AGC_PT1)/* AGC interlocking point 1 for CLIP_VALUE */\</t>
  </si>
  <si>
    <t>UP_SET(2, UpAE_CLP_AGC_PT2)/* AGC interlocking point 2 for CLIP_VALUE */\</t>
  </si>
  <si>
    <t>UP_SET(2, UpAE_CLP_VAL_PT0)/* CLIP VALUE corresponding to interlocking point 0, (Clip_LEVEL = Target_Val + CLIP_VALUE) */\</t>
  </si>
  <si>
    <t>UP_SET(2, UpAE_CLP_VAL_PT1)/* CLIP VALUE corresponding to interlocking point 1, (Clip_LEVEL = Target_Val + CLIP_VALUE) */\</t>
  </si>
  <si>
    <t>UP_SET(2, UpAE_CLP_VAL_PT2)/* CLIP VALUE corresponding to interlocking point 2, (Clip_LEVEL = Target_Val + CLIP_VALUE) */\</t>
  </si>
  <si>
    <t>UP_SET(2, UpAE_SENS_AGC_LMT)/* Limit the Analog Gain Value for each Sensor */\</t>
  </si>
  <si>
    <t>UP_SET(2, UpAE_WDR_LTGT_GAIN)/* When WDR Mode, Long Brightness target gain (default +- value) */\</t>
  </si>
  <si>
    <t>UP_SET(2, UpAE_WDR_LTGT_OFST)/* When WDR Mode, Long Brightness target offset (default +- value) */\</t>
  </si>
  <si>
    <t>UP_SET(2, UpAE_WDR_LSLIC_OFST)/* When WDR Mode, Long Brightness Slice level (AE Long Target - UpAE_WDR_LSLIC_OFST &lt; Target) */\</t>
  </si>
  <si>
    <t>UP_SET(2, UpAE_WDR_LCLIP_OFST)/* When WDR Mode, Long Brightness Clip level (AE Long Target + UpAE_WDR_LCLIP_OFST &lt; 0x3FF) */\</t>
  </si>
  <si>
    <t>UP_SET(2, UpAE_WDR_STGT_GAIN)/* When WDR Mode, Short Brightness target gain (default +- value) */\</t>
  </si>
  <si>
    <t>UP_SET(2, UpAE_WDR_STGT_OFST)/* When WDR Mode, Short Brightness target offset (default +- value) */\</t>
  </si>
  <si>
    <t>UP_SET(2, UpAE_WDR_SSLIC_OFST)/* When WDR Mode, Short Brightness Slice level (AE Short Target - UpAE_WDR_SSLIC_OFST &lt; Target) */\</t>
  </si>
  <si>
    <t>UP_SET(2, UpAE_WDR_SCLIP_OFST)/* When WDR Mode, Short Brightness Clip level (AE Short Target + UpAE_WDR_SCLIP_OFST &lt; 0x3FF) */\</t>
  </si>
  <si>
    <t>UP_SET(2, UpAE_WDR_LTGT_DCRS_AGC_PT0)/* When WDR Mode, AGC interlocking point 0 for Target Value to be decreased */\</t>
  </si>
  <si>
    <t>UP_SET(2, UpAE_WDR_LTGT_DCRS_AGC_PT1)/* When WDR Mode, AGC interlocking point 1 for Target Value to be decreased */\</t>
  </si>
  <si>
    <t>UP_SET(2, UpAE_WDR_LTGT_DCRS_AGC_PT2)/* When WDR Mode, AGC interlocking point 2 for Target Value to be decreased */\</t>
  </si>
  <si>
    <t>UP_SET(1, UpAE_WDR_LTGT_DCRS_VAL_PT0)/* When WDR Mode, Target Value to be decreased interlocking point 0, [Target_Value = Target - DCRS_TargetVal(Calculate Target through AGC Interlocking), (Must be DCRS_VAL &lt; Target)] */\</t>
  </si>
  <si>
    <t>UP_SET(1, UpAE_WDR_LTGT_DCRS_VAL_PT1)/* When WDR Mode, Target Value to be decreased interlocking point 1, [Target_Value = Target - DCRS_TargetVal(Calculate Target through AGC Interlocking), (Must be DCRS_VAL &lt; Target)] */\</t>
  </si>
  <si>
    <t>UP_SET(1, UpAE_WDR_LTGT_DCRS_VAL_PT2)/* When WDR Mode, Target Value to be decreased interlocking point 2, [Target_Value = Target - DCRS_TargetVal(Calculate Target through AGC Interlocking), (Must be DCRS_VAL &lt; Target)] */\</t>
  </si>
  <si>
    <t>UP_SET(2, UpAE_WDR_CLP_AGC_PT0)/* When WDR Mode, AGC interlocking point 0 for Long CLIP_VALUE */\</t>
  </si>
  <si>
    <t>UP_SET(2, UpAE_WDR_CLP_AGC_PT1)/* When WDR Mode, AGC interlocking point 1 for Long CLIP_VALUE */\</t>
  </si>
  <si>
    <t>UP_SET(2, UpAE_WDR_CLP_AGC_PT2)/* When WDR Mode, AGC interlocking point 2 for Long CLIP_VALUE */\</t>
  </si>
  <si>
    <t>UP_SET(2, UpAE_WDR_CLP_VAL_PT0)/* When WDR Mode, Long CLIP VALUE corresponding to interlocking point 0 (CLIP_LV = UpAE_WDR_LCIP_OFST + CLIP_VALUE),(Range : iTgtL0 ~ 0x3ff) */\</t>
  </si>
  <si>
    <t>UP_SET(2, UpAE_WDR_CLP_VAL_PT1)/* When WDR Mode, Long CLIP VALUE corresponding to interlocking point 1 (CLIP_LV = UpAE_WDR_LCIP_OFST + CLIP_VALUE),(Range : iTgtL0 ~ 0x3ff) */\</t>
  </si>
  <si>
    <t>UP_SET(2, UpAE_WDR_CLP_VAL_PT2)/* When WDR Mode, Long CLIP VALUE corresponding to interlocking point 2 (CLIP_LV = UpAE_WDR_LCIP_OFST + CLIP_VALUE),(Range : iTgtL0 ~ 0x3ff) */\</t>
  </si>
  <si>
    <t>UP_SET(2, UpAE_WDR_SATLV_AGC_PT0)/* When WDR Mode, AGC interlocking point 0 for Long SATURATION_LEVEL */\</t>
  </si>
  <si>
    <t>UP_SET(2, UpAE_WDR_SATLV_AGC_PT1)/* When WDR Mode, AGC interlocking point 1 for Long SATURATION_LEVEL */\</t>
  </si>
  <si>
    <t>UP_SET(2, UpAE_WDR_SATLV_VAL_PT0)/* When WDR Mode, Long SATURATION LEVEL VALUE corresponding to interlocking point 0 */\</t>
  </si>
  <si>
    <t>UP_SET(2, UpAE_WDR_SATLV_VAL_PT1)/* When WDR Mode, Long SATURATION LEVEL VALUE corresponding to interlocking point 1 */\</t>
  </si>
  <si>
    <t>UP_SET(1, UpAE_WDR_LONG_MIN)/* When WDR Mode, Minimum Value of Long Shutter */\</t>
  </si>
  <si>
    <t>UP_SET(1, UpAE_WDR_SHORT_MIN)/* When WDR Mode, Minimum Value of Short Shutter */\</t>
  </si>
  <si>
    <t>UP_SET(2, UpAWB_DBOFFSET)/* Color map coordinate x offset (default +- value) */\</t>
  </si>
  <si>
    <t>UP_SET(2, UpAWB_DROFFSET)/* Color map coordinate y offset (default +- value) */\</t>
  </si>
  <si>
    <t>UP_SET(2, UpAWB_WDR_AGC_MIN)/* When WDR Mode, Chroma AGC position for maximum weight (default +- value) */\</t>
  </si>
  <si>
    <t>UP_SET(2, UpAWB_WDR_AGC_MAX)/* When WDR Mode, Chroma AGC position for minimum weight (default +- value) */\</t>
  </si>
  <si>
    <t>UP_SET(2, UpAWB_YSLICE)/* White Y slice (under 0x3ff) */\</t>
  </si>
  <si>
    <t>UP_SET(2, UpAWB_YCLIP)/* White Y clip (under 0x3ff, more than UpAWB_YSLICE) */\</t>
  </si>
  <si>
    <t>UP_SET(2, UpAWB_R_WGT)/* Red weight for AWB in Low temperature */\</t>
  </si>
  <si>
    <t>UP_SET(2, UpAWB_G_WGT)/* Green weight for AWB in Low temperature */\</t>
  </si>
  <si>
    <t>UP_SET(2, UpAWB_B_WGT)/* Blue weight for AWB in Low temperature */\</t>
  </si>
  <si>
    <t>UP_SET(1, UpCES_ON)/* Color edge suppression on/off (0:Off, 1:On) */\</t>
  </si>
  <si>
    <t>UP_SET(1, UpCES_GA)/* Color edge suppression gain (0x40 = x0.5, 0x80 = x1, 0xC0 = x1.5, 0xff = x2) */\</t>
  </si>
  <si>
    <t>UP_SET(2, UpYGMA_AGC_PT0)/* Apply Y Gamma1 interlocking point 0 */\</t>
  </si>
  <si>
    <t>UP_SET(2, UpCGMA_AGC_PT0)/* Apply C Gamma1 interlocking point 0 */\</t>
  </si>
  <si>
    <t>UP_SET(2, UpYGMA_WDR_AGC_PT0)/* Apply Y Gamma1 interlocking point 0 */\</t>
  </si>
  <si>
    <t>UP_SET(2, UpCGMA_WDR_AGC_PT0)/* Apply C Gamma1 interlocking point 0 */\</t>
  </si>
  <si>
    <t>UP_SET(1, UpDNR_AGC_OFST_PVAL0)/* DNR Q-table point 0 plus offset */\</t>
  </si>
  <si>
    <t>UP_SET(1, UpDNR_AGC_OFST_PVAL1)/* DNR Q-table point 1 plus offset */\</t>
  </si>
  <si>
    <t>UP_SET(1, UpDNR_AGC_OFST_PVAL2)/* DNR Q-table point 2 plus offset */\</t>
  </si>
  <si>
    <t>UP_SET(1, UpDNR_AGC_OFST_MVAL0)/* DNR Q-table point 0 minus offset */\</t>
  </si>
  <si>
    <t>UP_SET(1, UpDNR_AGC_OFST_MVAL1)/* DNR Q-table point 1 minus offset */\</t>
  </si>
  <si>
    <t>UP_SET(1, UpDNR_AGC_OFST_MVAL2)/* DNR Q-table point 2 minus offset */\</t>
  </si>
  <si>
    <t>UP_SET(1, UpDNR_HPF_GAIN_LV0_PT0)/* HPF gain LV0 (corresponding to AGC interlocking Point 0) (0x0 ~ 0x7) */\</t>
  </si>
  <si>
    <t>UP_SET(1, UpDNR_HPF_GAIN_LV0_PT1)/* HPF gain LV0 (corresponding to AGC interlocking Point 1) (0x0 ~ 0x7) */\</t>
  </si>
  <si>
    <t>UP_SET(1, UpDNR_HPF_GAIN_LV0_PT2)/* HPF gain LV0 (corresponding to AGC interlocking Point 2) (0x0 ~ 0x7) */\</t>
  </si>
  <si>
    <t>UP_SET(2, UpAPT55_TH1_PT0)/* Sharpness 5x5 threshold 1 (corresponding to Point 0) (0x0 ~ UpAPT55_TH2_PT0) */\</t>
  </si>
  <si>
    <t>UP_SET(2, UpAPT55_TH2_PT0)/* Sharpness 5x5 threshold 2 (corresponding to Point 0) (0x0 ~ 0xFFF) */\</t>
  </si>
  <si>
    <t>UP_SET(2, UpAPT55_TH3_PT0)/* Sharpness 5x5 threshold 3 (corresponding to Point 0) (0x0 ~ 0x3FF) */\</t>
  </si>
  <si>
    <t>UP_SET(1, UpAPT55_GAIN1N_PT0)/* Sharpness 5x5 gain negative edge 1 (corresponding to Point 0) (0x0 ~ 0xFF) */\</t>
  </si>
  <si>
    <t>UP_SET(1, UpAPT55_GAIN2N_PT0)/* Sharpness 5x5 gain negative edge 2 (corresponding to Point 0) (0x0 ~ 0xFF) */\</t>
  </si>
  <si>
    <t>UP_SET(1, UpAPT55_GAIN1P_PT0)/* Sharpness 5x5 gain positive edge 1 (corresponding to Point 0) (0x0 ~ 0xFF) */\</t>
  </si>
  <si>
    <t>UP_SET(1, UpAPT55_GAIN2P_PT0)/* Sharpness 5x5 gain positive edge 2 (corresponding to Point 0) (0x0 ~ 0xFF) */\</t>
  </si>
  <si>
    <t>UP_SET(2, UpAPT33_SLIC_PT0)/* Sharpness 3x3 slice value (corresponding to Point 0) ((0x0 ~ 0x3FF) */\</t>
  </si>
  <si>
    <t>UP_SET(2, UpAPT33_CLIP_PT0)/* Sharpness 3x3 clip value (corresponding to Point 0) (0x0 ~ 0x3FF) */\</t>
  </si>
  <si>
    <t>UP_SET(1, UpAPT33_GAIN_PT0)/* Sharpness 3x3 gain (corresponding to Point 0) (0x0 ~ 0xFF) */\</t>
  </si>
  <si>
    <t>UP_SET(2, UpAPT55_TH1_PT1)/* Sharpness 5x5 threshold 1 (corresponding to Point 1) (0x0 ~ UpAPT55_TH2_PT1) */\</t>
  </si>
  <si>
    <t>UP_SET(2, UpAPT55_TH2_PT1)/* Sharpness 5x5 threshold 2 (corresponding to Point 1) (0x0 ~ 0xFFF) */\</t>
  </si>
  <si>
    <t>UP_SET(2, UpAPT55_TH3_PT1)/* Sharpness 5x5 threshold 3 (corresponding to Point 1) (0x0 ~ 0x3FF) */\</t>
  </si>
  <si>
    <t>UP_SET(1, UpAPT55_GAIN1N_PT1)/* Sharpness 5x5 negative gain 1 (corresponding to Point 1) (0x0 ~ 0xFF) */\</t>
  </si>
  <si>
    <t>UP_SET(1, UpAPT55_GAIN2N_PT1)/* Sharpness 5x5 negative gain 2 (corresponding to Point 1) (0x0 ~ 0xFF) */\</t>
  </si>
  <si>
    <t>UP_SET(1, UpAPT55_GAIN1P_PT1)/* Sharpness 5x5 positive gain 1 (corresponding to Point 1) (0x0 ~ 0xFF) */\</t>
  </si>
  <si>
    <t>UP_SET(1, UpAPT55_GAIN2P_PT1)/* Sharpness 5x5 positive gain 2 (corresponding to Point 1) (0x0 ~ 0xFF) */\</t>
  </si>
  <si>
    <t>UP_SET(2, UpAPT33_SLIC_PT1)/* Sharpness 3x3 slice value (corresponding to Point 1) (0x0 ~ 0x3FF) */\</t>
  </si>
  <si>
    <t>UP_SET(2, UpAPT33_CLIP_PT1)/* Sharpness 3x3 clip value (corresponding to Point 1) (0x0 ~ 0x3FF) */\</t>
  </si>
  <si>
    <t>UP_SET(1, UpAPT33_GAIN_PT1)/* Sharpness 3x3 gain (corresponding to Point 1) (0x0 ~ 0xFF) */\</t>
  </si>
  <si>
    <t>UP_SET(2, UpAPT55_TH1_PT2)/* Sharpness 5x5 threshold 1 (corresponding to Point 2) (0x0 ~ UpAPT55_TH2_PT2) */\</t>
  </si>
  <si>
    <t>UP_SET(2, UpAPT55_TH2_PT2)/* Sharpness 5x5 threshold 2 (corresponding to Point 2) (0x0 ~ 0xFFF) */\</t>
  </si>
  <si>
    <t>UP_SET(2, UpAPT55_TH3_PT2)/* Sharpness 5x5 threshold 3 (corresponding to Point 2) (0x0 ~ 0x3FF) */\</t>
  </si>
  <si>
    <t>UP_SET(1, UpAPT55_GAIN1N_PT2)/* Sharpness 5x5 negative gain 1 (corresponding to Point 2) (0x0 ~ 0xFF) */\</t>
  </si>
  <si>
    <t>UP_SET(1, UpAPT55_GAIN2N_PT2)/* Sharpness 5x5 negative gain 2 (corresponding to Point 2) (0x0 ~ 0xFF) */\</t>
  </si>
  <si>
    <t>UP_SET(1, UpAPT55_GAIN1P_PT2)/* Sharpness 5x5 positive gain 1 (corresponding to Point 2) (0x0 ~ 0xFF) */\</t>
  </si>
  <si>
    <t>UP_SET(1, UpAPT55_GAIN2P_PT2)/* Sharpness 5x5 positive gain 2 (corresponding to Point 2) (0x0 ~ 0xFF) */\</t>
  </si>
  <si>
    <t>UP_SET(2, UpAPT33_SLIC_PT2)/* Sharpness 3x3 slice value (corresponding to Point 2) (0x0 ~ 0x3FF) */\</t>
  </si>
  <si>
    <t>UP_SET(2, UpAPT33_CLIP_PT2)/* Sharpness 3x3 clip value (corresponding to Point 2) (0x0 ~ 0x3FF) */\</t>
  </si>
  <si>
    <t>UP_SET(1, UpAPT33_GAIN_PT2)/* Sharpness 3x3 gain (corresponding to Point 2) (0x0 ~ 0xFF) */\</t>
  </si>
  <si>
    <t>UP_SET(1, UpACE_DTH)/* Threshold dividing histogram into 2 areas [Histogram Area smaller Than DTH Value means TH1[Dark Area],In the opposite, TH2[Bright Area] */\</t>
  </si>
  <si>
    <t>UP_SET(1, UpACE_WDR_DTH)/* When WDR Mode, Threshold dividing histogram into 2 areas [Histogram Area Smaller Than DTH Value means TH1[Dark Area],In the opposite, TH2[Bright Area] */\</t>
  </si>
  <si>
    <t>UP_SET(2, UpACE_AGC_PT2)/* AGC interlocking point 2 in ACE function */\</t>
  </si>
  <si>
    <t>UP_SET(2, UpACE_WDR_AGC_PT0)/* When WDR Mode, AGC interlocking point 0 in ACE function */\</t>
  </si>
  <si>
    <t>UP_SET(2, UpACE_WDR_AGC_PT1)/* When WDR Mode, AGC interlocking point 1 in ACE function */\</t>
  </si>
  <si>
    <t>UP_SET(2, UpACE_WDR_AGC_PT2)/* When WDR Mode, AGC interlocking point 2 in ACE function */\</t>
  </si>
  <si>
    <t>UP_SET(1, UpACE_TH1_LOW_VAL_PT0)/* When ACE-LOW, Value to be applied to TH1 Area corresponding to interlocking point 0 (Apply to TH1[Dark Area]) */\</t>
  </si>
  <si>
    <t>UP_SET(1, UpACE_TH1_MID_VAL_PT0)/* When ACE-MID, Value to be applied to TH1 Area corresponding to interlocking point 0 (Apply to TH1[Dark Area]) */\</t>
  </si>
  <si>
    <t>UP_SET(1, UpACE_TH1_HIGH_VAL_PT0)/* When ACE-HIGH, Value to be applied to TH1 Area corresponding to interlocking point 0 (Apply to TH1[Dark Area]) */\</t>
  </si>
  <si>
    <t>UP_SET(1, UpACE_TH2_LOW_VAL_PT0)/* When ACE-LOW, Value to be applied to TH2 Area corresponding to interlocking point 0 (Apply to TH2[Bright Area]) */\</t>
  </si>
  <si>
    <t>UP_SET(1, UpACE_TH2_MID_VAL_PT0)/* When ACE-MID, Value to be applied to TH2 Area corresponding to interlocking point 0 (Apply to TH2[Bright Area]) */\</t>
  </si>
  <si>
    <t>UP_SET(1, UpACE_TH2_HIGH_VAL_PT0)/* When ACE-HIGH, Value to be applied to TH2 Area corresponding to interlocking point 0 (Apply to TH2[Bright Area]) */\</t>
  </si>
  <si>
    <t>UP_SET(1, UpACE_TH1_LOW_VAL_PT1)/* When ACE-LOW, Value to be applied to TH1 Area corresponding to interlocking point 1 (Apply to TH1[Dark Area]) */\</t>
  </si>
  <si>
    <t>UP_SET(1, UpACE_TH1_MID_VAL_PT1)/* When ACE-MID, Value to be applied to TH1 Area corresponding to interlocking point 1 (Apply to TH1[Dark Area]) */\</t>
  </si>
  <si>
    <t>UP_SET(1, UpACE_TH1_HIGH_VAL_PT1)/* When ACE-HIGH, Value to be applied to TH1 Area corresponding to interlocking point 1 (Apply to TH1[Dark Area]) */\</t>
  </si>
  <si>
    <t>UP_SET(1, UpACE_TH2_LOW_VAL_PT1)/* When ACE-LOW, Value to be applied to TH2 Area corresponding to interlocking point 1 (Apply to TH2[Bright Area]) */\</t>
  </si>
  <si>
    <t>UP_SET(1, UpACE_TH2_MID_VAL_PT1)/* When ACE-MID, Value to be applied to TH2 Area corresponding to interlocking point 1 (Apply to TH2[Bright Area]) */\</t>
  </si>
  <si>
    <t>UP_SET(1, UpACE_TH2_HIGH_VAL_PT1)/* When ACE-HIGH, Value to be applied to TH2 Area corresponding to interlocking point 1 (Apply to TH2[Bright Area]) */\</t>
  </si>
  <si>
    <t>UP_SET(1, UpACE_TH1_VAL_PT2)/* Value to be applied to TH1 Area corresponding to interlocking point 2 (Apply to TH1[Dark Area]) */\</t>
  </si>
  <si>
    <t>UP_SET(1, UpACE_TH2_VAL_PT2)/* Value to be applied to TH2 Area corresponding to interlocking point 2 (Apply to TH2[Bright Area]) */\</t>
  </si>
  <si>
    <t>UP_SET(1, UpACE_GMGN_VAL_PT0)/* Gamma corresponding to interlocking point 0 */\</t>
  </si>
  <si>
    <t>UP_SET(1, UpACE_GMGN_VAL_PT1)/* Gamma corresponding to interlocking point 1 */\</t>
  </si>
  <si>
    <t>UP_SET(1, UpACE_GMGN_VAL_PT2)/* Gamma corresponding to interlocking point 2 */\</t>
  </si>
  <si>
    <t>UP_SET(1, UpACE_WDR_TH1_VAL_PT0)/* When WDR Mode, Value to be applied to TH1 Area corresponding to interlocking point 0 (Apply to TH1[Dark Area])(Range : 0x0 ~ 0xff) */\</t>
  </si>
  <si>
    <t>UP_SET(1, UpACE_WDR_TH1_VAL_PT1)/* When WDR Mode, Value to be applied to TH1 Area corresponding to interlocking point 1 (Apply to TH1[Dark Area])(Range : 0x0 ~ 0xff) */\</t>
  </si>
  <si>
    <t>UP_SET(1, UpACE_WDR_TH1_VAL_PT2)/* When WDR Mode, Value to be applied to TH1 Area corresponding to interlocking point 2 (Apply to TH1[Dark Area])(Range : 0x0 ~ 0xff) */\</t>
  </si>
  <si>
    <t>UP_SET(1, UpACE_WDR_TH2_VAL_PT0)/* When WDR Mode, Value to be applied to TH2 Area corresponding to interlocking point 0 (Apply to TH2[Bright Area])(Range : 0x0 ~ 0xff) */\</t>
  </si>
  <si>
    <t>UP_SET(1, UpACE_WDR_TH2_VAL_PT1)/* When WDR Mode, Value to be applied to TH2 Area corresponding to interlocking point 1 (Apply to TH2[Bright Area])(Range : 0x0 ~ 0xff) */\</t>
  </si>
  <si>
    <t>UP_SET(1, UpACE_WDR_TH2_VAL_PT2)/* When WDR Mode, Value to be applied to TH2 Area corresponding to interlocking point 2 (Apply to TH2[Bright Area])(Range : 0x0 ~ 0xff) */\</t>
  </si>
  <si>
    <t>UP_SET(1, UpACE_WDR_GMGN_VAL_PT0)/* When WDR Mode, Gamma corresponding to interlocking point 0 */\</t>
  </si>
  <si>
    <t>UP_SET(1, UpACE_WDR_GMGN_VAL_PT1)/* When WDR Mode, Gamma corresponding to interlocking point 1 */\</t>
  </si>
  <si>
    <t>UP_SET(1, UpACE_WDR_GMGN_VAL_PT2)/* When WDR Mode, Gamma corresponding to interlocking point 2 */\</t>
  </si>
  <si>
    <t>UP_SET(1, UpENC_RYGAINP_T)/* R-Y Positive Gain Control for HD-Analog (0 ~ 0xFF) &lt;MODE_T&gt; */\</t>
  </si>
  <si>
    <t>UP_SET(1, UpENC_RYGAINN_T)/* R-Y Negative Gain Control for HD-Analog (0 ~ 0xFF) &lt;MODE_T&gt; */\</t>
  </si>
  <si>
    <t>UP_SET(1, UpENC_BYGAINP_T)/* B-Y Positive Gain Control for HD-Analog (0 ~ 0xFF) &lt;MODE_T&gt; */\</t>
  </si>
  <si>
    <t>UP_SET(1, UpENC_BYGAINN_T)/* B-Y Negative Gain Control for HD-Analog (0 ~ 0xFF) &lt;MODE_T&gt; */\</t>
  </si>
  <si>
    <t>UP_SET(1, UpENC_BYHUEN_T)/* B-Y Negative Hue Control for HD-Analog &lt;MODE_T&gt; */\</t>
  </si>
  <si>
    <t>UP_SET(4, UpFSC_TGT_T)/* Deciding Target for SubCarrier Frequency &lt;MODE_T&gt; */\</t>
  </si>
  <si>
    <t>UP_SET(2, UpY_MGAIN_T)/* Gain to be Multiplied to Y Output Value &lt;MODE_T&gt; */\</t>
  </si>
  <si>
    <t>UP_SET(2, UpCB_MGAIN_T)/* Gain to be Multiplied to Cb Value &lt;MODE_T&gt; */\</t>
  </si>
  <si>
    <t>UP_SET(2, UpCR_MGAIN_T)/* Gain to be Multiplied to Cr Value &lt;MODE_T&gt; */\</t>
  </si>
  <si>
    <t>UP_SET(2, UpCR_BST_T)/* Burst amplitude &amp; phase select parameter(Cb) &lt;MODE_T&gt; */\</t>
  </si>
  <si>
    <t>UP_SET(2, UpVLOCK_CAT_EV_T)/* Contolling Vertical Locking Catch Point(Even field) &lt;MODE_T&gt; */\</t>
  </si>
  <si>
    <t>UP_SET(2, UpVLOCK_CAT_OD_T)/* Contolling Vertical Locking Catch Point(Odd field) &lt;MODE_T&gt; */\</t>
  </si>
  <si>
    <t>UP_SET(2, UpCRX_AUTO_CAT_T)/* Delays the UTC data catching point of the corresponding parameter value from the first high signal, and the following datas are catched of the period of BITRATE (proceeded in the range of [UpCRX_HPOSEVS ~ UpCRX_HPOSEVE]) &lt;MODE_T&gt; */\</t>
  </si>
  <si>
    <t>UP_SET(2, UpCRX_HPOSEVS_T)/* When UTC Communication, Start Position of Data Catching Point &lt;MODE_T&gt; */\</t>
  </si>
  <si>
    <t>UP_SET(2, UpCRX_HPOSEVE_T)/* When UTC Communication, End Position of Data Catching Point &lt;MODE_T&gt; */\</t>
  </si>
  <si>
    <t>UP_SET(2, UpCRX_BITRATE_T)/* Decides the Catching Period of UTC Data &lt;MODE_T&gt; */\</t>
  </si>
  <si>
    <t>UP_SET(1, UpENC_BYHUEN_C)/* B-Y Negative Hue Control for HD-Analog &lt;MODE_C&gt; */\</t>
  </si>
  <si>
    <t>UP_SET(4, UpFSC_TGT_C)/* Deciding Target for SubCarrier Frequency &lt;MODE_C&gt; */\</t>
  </si>
  <si>
    <t>UP_SET(2, UpY_MGAIN_C)/* Gain to be Multiplied to Y Output Value &lt;MODE_C&gt; */\</t>
  </si>
  <si>
    <t>UP_SET(2, UpCB_MGAIN_C)/* Gain to be Multiplied to Cb Value &lt;MODE_C&gt; */\</t>
  </si>
  <si>
    <t>UP_SET(2, UpCR_MGAIN_C)/* Gain to be Multiplied to Cr Value &lt;MODE_C&gt; */\</t>
  </si>
  <si>
    <t>UP_SET(2, UpCR_BST_C)/* Burst amplitude &amp; phase select parameter(Cb) &lt;MODE_C&gt; */\</t>
  </si>
  <si>
    <t>UP_SET(2, UpVLOCK_CAT_EV_C)/* Contolling Vertical Locking Catch Point(Even field) &lt;MODE_C&gt; */\</t>
  </si>
  <si>
    <t>UP_SET(2, UpVLOCK_CAT_OD_C)/* Contolling Vertical Locking Catch Point(Odd field) &lt;MODE_C&gt; */\</t>
  </si>
  <si>
    <t>UP_SET(2, UpCRX_AUTO_CAT_C)/* Delays the UTC data catching point of the corresponding parameter value from the first high signal, and the following datas are catched of the period of BITRATE (proceeded in the range of [UpCRX_HPOSEVS ~ UpCRX_HPOSEVE]) &lt;MODE_C&gt; */\</t>
  </si>
  <si>
    <t>UP_SET(2, UpCRX_HPOSEVS_C)/* When UTC Communication, Start Position of Data Catching Point &lt;MODE_C&gt; */\</t>
  </si>
  <si>
    <t>UP_SET(2, UpCRX_HPOSEVE_C)/* When UTC Communication, End Position of Data Catching Point &lt;MODE_C&gt; */\</t>
  </si>
  <si>
    <t>UP_SET(2, UpCRX_BITRATE_C)/* Decides the Catching Period of UTC Data &lt;MODE_C&gt; */\</t>
  </si>
  <si>
    <t>UP_SET(4, UpFSC_TGT_A)/* Deciding Target for SubCarrier Frequency &lt;MODE_A&gt; */\</t>
  </si>
  <si>
    <t>UP_SET(2, UpY_MGAIN_A)/* Gain to be Multiplied to Y Output Value &lt;MODE_A&gt; */\</t>
  </si>
  <si>
    <t>UP_SET(2, UpCB_MGAIN_A)/* Gain to be Multiplied to Cb Value &lt;MODE_A&gt; */\</t>
  </si>
  <si>
    <t>UP_SET(2, UpCR_MGAIN_A)/* Gain to be Multiplied to Cr Value &lt;MODE_A&gt; */\</t>
  </si>
  <si>
    <t>UP_SET(2, UpCR_BST_A)/* Burst amplitude &amp; phase select parameter(Cb) &lt;MODE_A&gt; */\</t>
  </si>
  <si>
    <t>UP_SET(2, UpVLOCK_CAT_EV_A)/* Contolling Vertical Locking Catch Point(Even field) &lt;MODE_A&gt; */\</t>
  </si>
  <si>
    <t>UP_SET(2, UpVLOCK_CAT_OD_A)/* Contolling Vertical Locking Catch Point(Odd field) &lt;MODE_A&gt; */\</t>
  </si>
  <si>
    <t>UP_SET(2, UpCRX_AUTO_CAT_A)/* Delays the UTC data catching point of the corresponding parameter value from the first high signal, and the following datas are catched of the period of BITRATE (proceeded in the range of [UpCRX_HPOSEVS ~ UpCRX_HPOSEVE]) &lt;MODE_A&gt; */\</t>
  </si>
  <si>
    <t>UP_SET(2, UpCRX_HPOSEVS_A)/* When UTC Communication, Start Position of Data Catching Point &lt;MODE_A&gt; */\</t>
  </si>
  <si>
    <t>UP_SET(2, UpCRX_HPOSEVE_A)/* When UTC Communication, End Position of Data Catching Point &lt;MODE_A&gt; */\</t>
  </si>
  <si>
    <t>UP_SET(2, UpCRX_BITRATE_A)/* Decides the Catching Period of UTC Data &lt;MODE_A&gt; */\</t>
  </si>
  <si>
    <t>UP_SET(1, UpENC_BYHUEN_CVBS)/* B-Y Negative Hue Control for HD-Analog &lt;MODE_CVBS&gt; */\</t>
  </si>
  <si>
    <t>UP_SET(4, UpFSC_TGT_CVBS)/* Deciding Target for SubCarrier Frequency &lt;MODE_CVBS&gt; */\</t>
  </si>
  <si>
    <t>UP_SET(2, UpY_MGAIN_CVBS)/* Gain to be Multiplied to Y Output Value &lt;MODE_CVBS&gt; */\</t>
  </si>
  <si>
    <t>UP_SET(2, UpCB_MGAIN_CVBS)/* Gain to be Multiplied to Cb Value &lt;MODE_CVBS&gt; */\</t>
  </si>
  <si>
    <t>UP_SET(2, UpCR_MGAIN_CVBS)/* Gain to be Multiplied to Cr Value &lt;MODE_CVBS&gt; */\</t>
  </si>
  <si>
    <t>UP_SET(2, UpVLOCK_CAT_EV_CVBS)/* Contolling Vertical Locking Catch Point(Even field) &lt;MODE_CVBS&gt; */\</t>
  </si>
  <si>
    <t>UP_SET(2, UpVLOCK_CAT_OD_CVBS)/* Contolling Vertical Locking Catch Point(Odd field) &lt;MODE_CVBS&gt; */\</t>
  </si>
  <si>
    <t>UP_SET(2, UpCRX_AUTO_CAT_CVBS)/* Delays the UTC data catching point of the corresponding parameter value from the first high signal, and the following datas are catched of the period of BITRATE (proceeded in the range of [UpCRX_HPOSEVS ~ UpCRX_HPOSEVE]) &lt;MODE_CVBS&gt; */\</t>
  </si>
  <si>
    <t>UP_SET(2, UpCRX_HPOSEVS_CVBS)/* When UTC Communication, Start Position of Data Catching Point &lt;MODE_CVBS&gt; */\</t>
  </si>
  <si>
    <t>UP_SET(2, UpCRX_HPOSEVE_CVBS)/* When UTC Communication, End Position of Data Catching Point &lt;MODE_CVBS&gt; */\</t>
  </si>
  <si>
    <t>UP_SET(2, UpCRX_BITRATE_CVBS)/* Decides the Catching Period of UTC Data &lt;MODE_CVBS&gt; */\</t>
  </si>
  <si>
    <t>UP_SET(1, UpDKX)/* Horizontal coefficient applied when DownScaler is used &lt;MODE_CVBS&gt; */\</t>
  </si>
  <si>
    <t>UP_SET(1, UpDKY)/* Vertical coefficient applied when DownScaler is used &lt;MODE_CVBS&gt; */\</t>
  </si>
  <si>
    <t>UP_SET(2, UpDS_HOFF)/* Horizontal offset applied when DownScaler is used &lt;MODE_CVBS&gt; */\</t>
  </si>
  <si>
    <t>UP_SET(2, UpDS_VOFF)/* Vertical offset applied when DownScaler is used &lt;MODE_CVBS&gt; */\</t>
  </si>
  <si>
    <t>UP_SET(2, UpAE_LED_TEST_STEP)/* LED_TEST_STEP (0x0 ~ 0xFFFF) */\</t>
  </si>
  <si>
    <t>UP_SET(3, UpAE_LED_TEST_MIN)/* LED_TEST_MIN (0x0 ~ 0x12E1FC) */\</t>
  </si>
  <si>
    <t>UP_SET(3, UpAE_LED_TEST_MAX)/* LED_TEST_MAX (0x0 ~ 0x12E1FC) */\</t>
  </si>
  <si>
    <t>/*---------------　HV-REVERSE　---------------*/\</t>
  </si>
  <si>
    <t>UP_SET(1, UpFlip)/* Vertical Reverse */\</t>
  </si>
  <si>
    <t>UP_SET(2, UpAWB_5000K_AGC_TH)/* */\</t>
  </si>
  <si>
    <t>UP_SET(2, UpAE_WDR_LS_WGT_AGC_PT0)/* When WDR Mode, As the corresponding value decreases ,the contrast of dark areas expressed from long exposure enhance */\</t>
  </si>
  <si>
    <t>UP_SET(2, UpAE_WDR_LS_WGT_AGC_PT1)/* When WDR Mode, As the corresponding value decreases ,the contrast of dark areas expressed from long exposure enhance */\</t>
  </si>
  <si>
    <t>UP_SET(2, UpAE_WDR_LS_WGT_VAL0)/* When WDR Mode, As the corresponding value decreases ,the contrast of dark areas expressed from long exposure enhance */\</t>
  </si>
  <si>
    <t>UP_SET(2, UpAE_WDR_LS_WGT_VAL1)/* When WDR Mode, As the corresponding value decreases ,the contrast of dark areas expressed from long exposure enhance */\</t>
  </si>
  <si>
    <t>UP_SET(2, UpCSUP_TH_AGC_PT0)/* High Light color suppression threshold (Y domain control)  */\</t>
  </si>
  <si>
    <t>UP_SET(2, UpCSUP_TH_AGC_PT1)/* High Light color suppression threshold (Y domain control)  */\</t>
  </si>
  <si>
    <t>UP_SET(1, UpCSUP_TH_VAL_PT0)/* High Light color suppression threshold (Y domain control) (0 ~ 0xFF) */\</t>
  </si>
  <si>
    <t>UP_SET(1, UpCSUP_TH_VAL_PT1)/* High Light color suppression threshold (Y domain control) (0 ~ 0xFF) */\</t>
  </si>
  <si>
    <t>UP_SET(2, UpCES_TH_AGC_PT0)/* Color edge suppression clip */\</t>
  </si>
  <si>
    <t>UP_SET(2, UpCES_TH_AGC_PT1)/* Color edge suppression clip */\</t>
  </si>
  <si>
    <t>UP_SET(1, UpCES_TH_VAL_PT0)/* Color edge suppression clip */\</t>
  </si>
  <si>
    <t>UP_SET(1, UpCES_TH_VAL_PT1)/* Color edge suppression clip */\</t>
  </si>
  <si>
    <t>/*---------------　ALL　(0x7202)---------------*/\</t>
  </si>
  <si>
    <t>UP_SET(2, UpAWB_HSP,=200)/* AWB detection area X start (default +- value) */\</t>
  </si>
  <si>
    <t>/*#AWB_POST_CCM*/\</t>
  </si>
  <si>
    <t>/*#C_TEMP_PAR*/\</t>
  </si>
  <si>
    <t>UP_SET(2, UpAWB_TEMP_DR_L)/* */\</t>
  </si>
  <si>
    <t>UP_SET(2, UpAWB_TEMP_DR_M)/* */\</t>
  </si>
  <si>
    <t>UP_SET(2, UpAWB_TEMP_DR_H)/* */\</t>
  </si>
  <si>
    <t>UP_SET(2, UpAWB_TEMP_VAL_L)/* */\</t>
  </si>
  <si>
    <t>UP_SET(2, UpAWB_TEMP_VAL_M)/* */\</t>
  </si>
  <si>
    <t>UP_SET(2, UpAWB_TEMP_VAL_H)/* */\</t>
  </si>
  <si>
    <t>UP_SET(2, UpCCM_TEMP_L)/* */\</t>
  </si>
  <si>
    <t>UP_SET(2, UpCCM_TEMP_M)/* */\</t>
  </si>
  <si>
    <t>UP_SET(2, UpCCM_TEMP_H)/* */\</t>
  </si>
  <si>
    <t>UP_SET(2, UpCCM_RR_TEMP_L)/* */\</t>
  </si>
  <si>
    <t>UP_SET(2, UpCCM_RG_TEMP_L)/* */\</t>
  </si>
  <si>
    <t>UP_SET(2, UpCCM_RB_TEMP_L)/* */\</t>
  </si>
  <si>
    <t>UP_SET(2, UpCCM_GR_TEMP_L)/* */\</t>
  </si>
  <si>
    <t>UP_SET(2, UpCCM_GG_TEMP_L)/* */\</t>
  </si>
  <si>
    <t>UP_SET(2, UpCCM_GB_TEMP_L)/* */\</t>
  </si>
  <si>
    <t>UP_SET(2, UpCCM_BR_TEMP_L)/* */\</t>
  </si>
  <si>
    <t>UP_SET(2, UpCCM_BG_TEMP_L)/* */\</t>
  </si>
  <si>
    <t>UP_SET(2, UpCCM_BB_TEMP_L)/* */\</t>
  </si>
  <si>
    <t>UP_SET(2, UpCCM_RR_TEMP_M)/* */\</t>
  </si>
  <si>
    <t>UP_SET(2, UpCCM_RG_TEMP_M)/* */\</t>
  </si>
  <si>
    <t>UP_SET(2, UpCCM_RB_TEMP_M)/* */\</t>
  </si>
  <si>
    <t>UP_SET(2, UpCCM_GR_TEMP_M)/* */\</t>
  </si>
  <si>
    <t>UP_SET(2, UpCCM_GG_TEMP_M)/* */\</t>
  </si>
  <si>
    <t>UP_SET(2, UpCCM_GB_TEMP_M)/* */\</t>
  </si>
  <si>
    <t>UP_SET(2, UpCCM_BR_TEMP_M)/* */\</t>
  </si>
  <si>
    <t>UP_SET(2, UpCCM_BG_TEMP_M)/* */\</t>
  </si>
  <si>
    <t>UP_SET(2, UpCCM_BB_TEMP_M)/* */\</t>
  </si>
  <si>
    <t>UP_SET(2, UpCCM_RR_TEMP_H)/* */\</t>
  </si>
  <si>
    <t>UP_SET(2, UpCCM_RG_TEMP_H)/* */\</t>
  </si>
  <si>
    <t>UP_SET(2, UpCCM_RB_TEMP_H)/* */\</t>
  </si>
  <si>
    <t>UP_SET(2, UpCCM_GR_TEMP_H)/* */\</t>
  </si>
  <si>
    <t>UP_SET(2, UpCCM_GG_TEMP_H)/* */\</t>
  </si>
  <si>
    <t>UP_SET(2, UpCCM_GB_TEMP_H)/* */\</t>
  </si>
  <si>
    <t>UP_SET(2, UpCCM_BR_TEMP_H)/* */\</t>
  </si>
  <si>
    <t>UP_SET(2, UpCCM_BG_TEMP_H)/* */\</t>
  </si>
  <si>
    <t>UP_SET(2, UpCCM_BB_TEMP_H)/* */\</t>
  </si>
  <si>
    <t>/*#TEMP*/\</t>
  </si>
  <si>
    <t>/*#TEMP_LOW*/\</t>
  </si>
  <si>
    <t>UP_SET(1, UpBY_GAINN_TEMP_L)/* B-Y Negative Gain Control (0 ~ 0xFF, Default:0x60) */\</t>
  </si>
  <si>
    <t>UP_SET(1, UpBY_GAINP_TEMP_L)/* B-Y Positive Gain Control (0 ~ 0xFF, Default:0x60) */\</t>
  </si>
  <si>
    <t>UP_SET(1, UpRY_GAINN_TEMP_L)/* R-Y Negative Gain Control (0 ~ 0xFF, Default:0x60) */\</t>
  </si>
  <si>
    <t>UP_SET(1, UpRY_GAINP_TEMP_L)/* R-Y Positive Gain Control (0 ~ 0xFF, Default:0x60) */\</t>
  </si>
  <si>
    <t>UP_SET(1, UpBY_HUEN_TEMP_L)/* B-Y Negative Hue Control (0x1:-90°, 0x80:0°, 0xFF:90°) */\</t>
  </si>
  <si>
    <t>UP_SET(1, UpBY_HUEP_TEMP_L)/* B-Y Positive Hue Control (0x1:-90°, 0x80:0°, 0xFF:90°) */\</t>
  </si>
  <si>
    <t>UP_SET(1, UpRY_HUEN_TEMP_L)/* R-Y Negative Hue Control (0x1:-90°, 0x80:0°, 0xFF:90°) */\</t>
  </si>
  <si>
    <t>UP_SET(1, UpRY_HUEP_TEMP_L)/* R-Y Positive Hue Control (0x1:-90°, 0x80:0°, 0xFF:90°) */\</t>
  </si>
  <si>
    <t>/*#TEMP_MID*/\</t>
  </si>
  <si>
    <t>UP_SET(1, UpBY_GAINN_TEMP_M)/* B-Y Negative Gain Control (0 ~ 0xFF, Default:0x60) */\</t>
  </si>
  <si>
    <t>UP_SET(1, UpBY_GAINP_TEMP_M)/* B-Y Positive Gain Control (0 ~ 0xFF, Default:0x60) */\</t>
  </si>
  <si>
    <t>UP_SET(1, UpRY_GAINN_TEMP_M)/* R-Y Negative Gain Control (0 ~ 0xFF, Default:0x60) */\</t>
  </si>
  <si>
    <t>UP_SET(1, UpRY_GAINP_TEMP_M)/* R-Y Positive Gain Control (0 ~ 0xFF, Default:0x60) */\</t>
  </si>
  <si>
    <t>UP_SET(1, UpBY_HUEN_TEMP_M)/* B-Y Negative Hue Control (0x1:-90°, 0x80:0°, 0xFF:90°) */\</t>
  </si>
  <si>
    <t>UP_SET(1, UpBY_HUEP_TEMP_M)/* B-Y Positive Hue Control (0x1:-90°, 0x80:0°, 0xFF:90°) */\</t>
  </si>
  <si>
    <t>UP_SET(1, UpRY_HUEN_TEMP_M)/* R-Y Negative Hue Control (0x1:-90°, 0x80:0°, 0xFF:90°) */\</t>
  </si>
  <si>
    <t>UP_SET(1, UpRY_HUEP_TEMP_M)/* R-Y Positive Hue Control (0x1:-90°, 0x80:0°, 0xFF:90°) */\</t>
  </si>
  <si>
    <t>/*#TEMP_HI*/\</t>
  </si>
  <si>
    <t>UP_SET(1, UpBY_GAINN_TEMP_H)/* B-Y Negative Gain Control (0 ~ 0xFF, Default:0x60) */\</t>
  </si>
  <si>
    <t>UP_SET(1, UpBY_GAINP_TEMP_H)/* B-Y Positive Gain Control (0 ~ 0xFF, Default:0x60) */\</t>
  </si>
  <si>
    <t>UP_SET(1, UpRY_GAINN_TEMP_H)/* R-Y Negative Gain Control (0 ~ 0xFF, Default:0x60) */\</t>
  </si>
  <si>
    <t>UP_SET(1, UpRY_GAINP_TEMP_H)/* R-Y Positive Gain Control (0 ~ 0xFF, Default:0x60) */\</t>
  </si>
  <si>
    <t>UP_SET(1, UpBY_HUEN_TEMP_H)/* B-Y Negative Hue Control (0x1:-90°, 0x80:0°, 0xFF:90°) */\</t>
  </si>
  <si>
    <t>UP_SET(1, UpBY_HUEP_TEMP_H)/* B-Y Positive Hue Control (0x1:-90°, 0x80:0°, 0xFF:90°) */\</t>
  </si>
  <si>
    <t>UP_SET(1, UpRY_HUEN_TEMP_H)/* R-Y Negative Hue Control (0x1:-90°, 0x80:0°, 0xFF:90°) */\</t>
  </si>
  <si>
    <t>UP_SET(1, UpRY_HUEP_TEMP_H)/* R-Y Positive Hue Control (0x1:-90°, 0x80:0°, 0xFF:90°) */\</t>
  </si>
  <si>
    <t>UP_SET(2, UpHnG_TEMP_M)/* */\</t>
  </si>
  <si>
    <t>UP_SET(2, UpHnG_TEMP_H)/* */\</t>
  </si>
  <si>
    <t>UP_SET(2, UpAE_WDR_SENS_AGC_LMT)/* When WDR Mode, Limit the Analog Gain Value for each Sensor */\</t>
  </si>
  <si>
    <t>UP_SET(1, UpAE_WDR_TMG_SEL)/* */\</t>
  </si>
  <si>
    <t>UP_SET(2, UpAE_WDR_LONG_TH_OFST1)/* */\</t>
  </si>
  <si>
    <t>UP_SET(2, UpAE_WDR_LONG_TH_OFST2)/* */\</t>
  </si>
  <si>
    <t>UP_SET(1, UpENC_CSTM,=680)/* 0 : Default table, 1 : Cstm parameter*/\</t>
  </si>
  <si>
    <t>UP_SET(1, UpSYS_RESET)/*System Reset (1 : Reset) &lt;Not be saved&gt; */\</t>
  </si>
  <si>
    <t>UP_SET(1, UpLSUP_ON,=340)/* Low Light color suppression on/off (0: off, 1: on) */\</t>
  </si>
  <si>
    <t>UP_SET(2, UpHnG_TEMP_L,=380)/* */\</t>
  </si>
  <si>
    <t>UP_SET(1, UpGAMMA_Y_ON,=420)/* Y GAMMA on/off (0: off, 1: on) */\</t>
  </si>
  <si>
    <t>UP_SET(2, UpDNR_AGC_PT0,=460)/* AGC interlocking point 0 in DNR function (0x0 ~ UpDNR_AGC_PT1) */\</t>
  </si>
  <si>
    <t>UP_SET(1, UpSHARPNESS_GAIN,=500)/* Sharpness Gain (0=OFF, 1=x5, 2=x2.5, 3=x1.67, 4=1.25, 5=x1, 6=x0.83, 8=x0.625, 0xA=x0.5, 0x14=x0.25, 0x32=x0.1) */\</t>
  </si>
  <si>
    <t>UP_SET(2, UpDEFOG_TH_LOW,=570)/* Defog Maximum Strength for menu LOW (0x0 ~ 0xffff) */\</t>
  </si>
  <si>
    <t>UP_SET(1, UpACE_IIR,=590)/* ACE IIR coefficient (0x0 ~ 0x3f) */\</t>
  </si>
  <si>
    <t>UP_SET(1, UpHLMASK_THRS_STEP,=640)/* Menu Step of High Light masking level (0 ~ 0xA) */\</t>
  </si>
  <si>
    <t>UP_SET(2, UpDEFECT_AGC_PT0,=650)/* AGC value of Rather dark for control defect. (0 ~ 0x1F4 AGC value) */\</t>
  </si>
  <si>
    <t>UP_SET(1, UpAE_LED_TuningOn,=960)/* Tuning Mode Enable */\</t>
  </si>
  <si>
    <t>UP_SET(1, UpMirror,=1000)/* Horizontal Reverse */\</t>
  </si>
  <si>
    <t>/*---------------　PAR-RESET　---------------*/\</t>
  </si>
  <si>
    <t>UP_SET(1, UpUsrDatRst)/* User Data Reset (Gamma, ColorMap) */\</t>
  </si>
  <si>
    <t>UP_SET(1, UpUsrParRst,=1020)/* User Parameter Reset */\</t>
  </si>
  <si>
    <t>UP_SET(2, UpLSUP_GA_AGC_PT0)/* Low Light color suppression gradient (Y domain control)  */\</t>
  </si>
  <si>
    <t>UP_SET(2, UpLSUP_GA_AGC_PT1)/* Low Light color suppression gradient (Y domain control)  */\</t>
  </si>
  <si>
    <t>UP_SET(1, UpLSUP_GA_VAL_PT0)/* Low Light color suppression gradient (Y domain control) (0 ~ 0x3F) */\</t>
  </si>
  <si>
    <t>UP_SET(1, UpLSUP_GA_VAL_PT1)/* Low Light color suppression gradient (Y domain control) (0 ~ 0x3F) */\</t>
  </si>
  <si>
    <t>UP_SET(1, UpLSUP_TH)/* Low Light color suppression threshold (Y domain control) */\</t>
  </si>
  <si>
    <t>/*---------------　PARKING-GUIDE-LINE　---------------*/\</t>
  </si>
  <si>
    <t>UP_SET(1, UpPARK_LINE0_Y,=880)/* */\</t>
  </si>
  <si>
    <t>UP_SET(1, UpPARK_LINE0_CB)/* */\</t>
  </si>
  <si>
    <t>UP_SET(1, UpPARK_LINE0_CR)/* */\</t>
  </si>
  <si>
    <t>UP_SET(1, UpPARK_LINE1_Y)/* */\</t>
  </si>
  <si>
    <t>UP_SET(1, UpPARK_LINE1_CB)/* */\</t>
  </si>
  <si>
    <t>UP_SET(1, UpPARK_LINE1_CR)/* */\</t>
  </si>
  <si>
    <t>UP_SET(1, UpPARK_LINE2_Y)/* */\</t>
  </si>
  <si>
    <t>UP_SET(1, UpPARK_LINE2_CB)/* */\</t>
  </si>
  <si>
    <t>UP_SET(1, UpPARK_LINE2_CR)/*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</si>
</sst>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1"/>
      <color rgb="FFFF0000"/>
      <name val="맑은 고딕"/>
      <family val="3"/>
      <charset val="129"/>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alignment vertical="center"/>
    </xf>
  </cellStyleXfs>
  <cellXfs count="23">
    <xf numFmtId="0" fontId="0" fillId="0" borderId="0" xfId="0">
      <alignment vertical="center"/>
    </xf>
    <xf numFmtId="0" fontId="0" fillId="0" borderId="0" xfId="0" applyAlignment="1">
      <alignment horizontal="righ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center" vertical="center"/>
    </xf>
    <xf numFmtId="0" fontId="1" fillId="0" borderId="0" xfId="0" applyFont="1">
      <alignment vertical="center"/>
    </xf>
    <xf numFmtId="0" fontId="5" fillId="0" borderId="0" xfId="0" applyFont="1">
      <alignment vertical="center"/>
    </xf>
    <xf numFmtId="0" fontId="3" fillId="0" borderId="0" xfId="0" applyFont="1" applyAlignment="1">
      <alignment horizontal="right" vertical="center"/>
    </xf>
    <xf numFmtId="0" fontId="4" fillId="0" borderId="0" xfId="0" applyFont="1" applyAlignment="1">
      <alignment horizontal="right" vertical="center"/>
    </xf>
    <xf numFmtId="0" fontId="4" fillId="0" borderId="0" xfId="0" applyFo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3" borderId="1" xfId="0" applyFont="1" applyFill="1" applyBorder="1">
      <alignment vertical="center"/>
    </xf>
    <xf numFmtId="0" fontId="3" fillId="3" borderId="1" xfId="0" applyFont="1" applyFill="1" applyBorder="1" applyAlignment="1">
      <alignment horizontal="left" vertical="center"/>
    </xf>
    <xf numFmtId="0" fontId="3" fillId="0" borderId="1" xfId="0" applyFont="1" applyBorder="1">
      <alignmen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2" borderId="1" xfId="0" applyFont="1" applyFill="1" applyBorder="1" applyAlignment="1">
      <alignment horizontal="left" vertical="center"/>
    </xf>
  </cellXfs>
  <cellStyles count="1">
    <cellStyle name="표준" xfId="0" builtinId="0"/>
  </cellStyles>
  <dxfs count="3">
    <dxf>
      <font>
        <b val="0"/>
        <i val="0"/>
      </font>
      <fill>
        <patternFill>
          <bgColor theme="0"/>
        </patternFill>
      </fill>
    </dxf>
    <dxf>
      <font>
        <b val="0"/>
        <i val="0"/>
      </font>
      <fill>
        <patternFill>
          <bgColor theme="0"/>
        </patternFill>
      </fill>
    </dxf>
    <dxf>
      <font>
        <b val="0"/>
        <i val="0"/>
      </font>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604"/>
  <sheetViews>
    <sheetView tabSelected="1" workbookViewId="0">
      <selection activeCell="X491" sqref="T4:X491"/>
    </sheetView>
  </sheetViews>
  <sheetFormatPr defaultRowHeight="16.5" x14ac:dyDescent="0.3"/>
  <cols>
    <col min="1" max="1" width="59.125" style="15" customWidth="1"/>
    <col min="2" max="2" width="2.5" hidden="1" customWidth="1"/>
    <col min="3" max="3" width="3.5" hidden="1" customWidth="1"/>
    <col min="4" max="4" width="4.5" style="4" hidden="1" customWidth="1"/>
    <col min="5" max="8" width="3.5" hidden="1" customWidth="1"/>
    <col min="9" max="9" width="20.875" hidden="1" customWidth="1"/>
    <col min="10" max="10" width="3.5" hidden="1" customWidth="1"/>
    <col min="11" max="11" width="5.375" hidden="1" customWidth="1"/>
    <col min="12" max="12" width="4.75" hidden="1" customWidth="1"/>
    <col min="13" max="13" width="5.125" style="4" hidden="1" customWidth="1"/>
    <col min="14" max="15" width="3.5" hidden="1" customWidth="1"/>
    <col min="16" max="16" width="4.5" hidden="1" customWidth="1"/>
    <col min="17" max="17" width="15.75" style="2" hidden="1" customWidth="1"/>
    <col min="18" max="18" width="7" style="12" customWidth="1"/>
    <col min="19" max="19" width="12.5" style="12" customWidth="1"/>
    <col min="20" max="20" width="9.375" style="13" bestFit="1" customWidth="1"/>
    <col min="21" max="21" width="34.125" style="14" customWidth="1"/>
    <col min="22" max="22" width="8.375" style="13" bestFit="1" customWidth="1"/>
    <col min="23" max="23" width="2.875" style="13" bestFit="1" customWidth="1"/>
    <col min="24" max="24" width="45.375" style="14" customWidth="1"/>
    <col min="25" max="25" width="12.5" customWidth="1"/>
    <col min="26" max="26" width="2.5" hidden="1" customWidth="1"/>
    <col min="27" max="28" width="3.5" hidden="1" customWidth="1"/>
    <col min="29" max="29" width="6.5" style="4" hidden="1" customWidth="1"/>
    <col min="30" max="30" width="4.125" hidden="1" customWidth="1"/>
    <col min="31" max="31" width="9" hidden="1" customWidth="1"/>
    <col min="32" max="32" width="9.375" style="3" hidden="1" customWidth="1"/>
    <col min="33" max="33" width="32.625" style="5" hidden="1" customWidth="1"/>
    <col min="34" max="34" width="9" style="3" hidden="1" customWidth="1"/>
    <col min="35" max="35" width="4" style="3" hidden="1" customWidth="1"/>
    <col min="36" max="36" width="4" style="7" customWidth="1"/>
    <col min="37" max="37" width="25" customWidth="1"/>
    <col min="39" max="39" width="9" style="4"/>
    <col min="47" max="47" width="9" style="2"/>
    <col min="48" max="48" width="42.5" customWidth="1"/>
    <col min="49" max="50" width="9" style="2"/>
  </cols>
  <sheetData>
    <row r="1" spans="1:54" x14ac:dyDescent="0.3">
      <c r="A1" s="17"/>
      <c r="S1" s="9">
        <f>HEX2DEC(T1)+1</f>
        <v>1025</v>
      </c>
      <c r="T1" s="18">
        <v>400</v>
      </c>
      <c r="U1" s="22" t="s">
        <v>0</v>
      </c>
      <c r="V1" s="20"/>
      <c r="W1" s="20"/>
      <c r="X1" s="21"/>
      <c r="AH1" s="7">
        <v>1</v>
      </c>
      <c r="AI1" s="7">
        <v>0</v>
      </c>
    </row>
    <row r="2" spans="1:54" x14ac:dyDescent="0.3">
      <c r="A2" s="17"/>
      <c r="D2" s="10" t="s">
        <v>48</v>
      </c>
      <c r="T2" s="20"/>
      <c r="U2" s="21"/>
      <c r="V2" s="20"/>
      <c r="W2" s="20"/>
      <c r="X2" s="21"/>
      <c r="Z2" s="2" t="s">
        <v>5</v>
      </c>
      <c r="AA2" s="2"/>
      <c r="AB2" s="2"/>
      <c r="AC2" s="3" t="s">
        <v>7</v>
      </c>
      <c r="AD2" s="2" t="s">
        <v>6</v>
      </c>
      <c r="AL2" s="2" t="s">
        <v>31</v>
      </c>
      <c r="AM2" s="3"/>
      <c r="AN2" s="2" t="s">
        <v>34</v>
      </c>
      <c r="AO2" s="2" t="s">
        <v>35</v>
      </c>
    </row>
    <row r="3" spans="1:54" x14ac:dyDescent="0.3">
      <c r="A3" s="17" t="s">
        <v>68</v>
      </c>
      <c r="B3" s="1" t="s">
        <v>43</v>
      </c>
      <c r="C3" s="1" t="s">
        <v>41</v>
      </c>
      <c r="D3" s="9">
        <v>0</v>
      </c>
      <c r="E3" s="1" t="s">
        <v>42</v>
      </c>
      <c r="F3" s="1" t="s">
        <v>41</v>
      </c>
      <c r="G3" s="1" t="s">
        <v>40</v>
      </c>
      <c r="H3" s="1"/>
      <c r="I3" s="1"/>
      <c r="J3" s="1"/>
      <c r="K3" s="1"/>
      <c r="L3" s="1" t="s">
        <v>45</v>
      </c>
      <c r="M3" s="10" t="s">
        <v>44</v>
      </c>
      <c r="N3" s="1" t="s">
        <v>46</v>
      </c>
      <c r="O3" s="1" t="s">
        <v>139</v>
      </c>
      <c r="P3" s="1" t="s">
        <v>47</v>
      </c>
      <c r="R3" s="12">
        <v>1</v>
      </c>
      <c r="T3" s="18">
        <f>D3</f>
        <v>0</v>
      </c>
      <c r="U3" s="19" t="s">
        <v>1</v>
      </c>
      <c r="V3" s="18">
        <v>1</v>
      </c>
      <c r="W3" s="18">
        <v>0</v>
      </c>
      <c r="X3" s="19"/>
      <c r="Z3" s="8">
        <v>1</v>
      </c>
      <c r="AC3" s="9">
        <v>1</v>
      </c>
      <c r="AD3" s="1" t="str">
        <f>DEC2HEX(AC3)</f>
        <v>1</v>
      </c>
      <c r="AF3" s="3">
        <v>1</v>
      </c>
      <c r="AG3" s="5" t="s">
        <v>1</v>
      </c>
      <c r="AH3" s="3">
        <v>1</v>
      </c>
      <c r="AI3" s="3">
        <v>0</v>
      </c>
      <c r="AK3" s="1" t="s">
        <v>11</v>
      </c>
      <c r="AL3" s="1">
        <v>48</v>
      </c>
      <c r="AM3" s="10"/>
      <c r="AN3" s="1"/>
      <c r="AO3" s="1"/>
      <c r="AP3" s="1"/>
      <c r="AQ3" s="1"/>
      <c r="AR3" s="1"/>
      <c r="AS3" s="1"/>
      <c r="AT3" s="1"/>
      <c r="AV3" s="6"/>
    </row>
    <row r="4" spans="1:54" x14ac:dyDescent="0.3">
      <c r="A4" s="16" t="s">
        <v>2</v>
      </c>
      <c r="B4" s="1">
        <f>IFERROR(SEARCH("UP_SET(",$A4)+7,0)</f>
        <v>0</v>
      </c>
      <c r="C4" s="1">
        <f>IFERROR(SEARCH(",",$A4,B4)-1,0)</f>
        <v>0</v>
      </c>
      <c r="D4" s="10">
        <f>IF(AND(B4&gt;0,C4&gt;0),MID($A4,B4,C4-B4+1),0)</f>
        <v>0</v>
      </c>
      <c r="E4" s="1">
        <f>IF($B4&gt;0,FIND("Up",$A4,$C4),0)</f>
        <v>0</v>
      </c>
      <c r="F4" s="1">
        <f>IF($B4&gt;0,IFERROR(FIND(",",$A4,$E4),0),0)</f>
        <v>0</v>
      </c>
      <c r="G4" s="1">
        <f>IF($B4&gt;0,FIND(")",$A4,$B4),0)</f>
        <v>0</v>
      </c>
      <c r="H4" s="1">
        <f>IF(AND(F4&gt;0,F4&lt;G4),F4,G4)</f>
        <v>0</v>
      </c>
      <c r="I4" s="10">
        <f>IF($B4&gt;0,MID($A4,$E4,$H4-$E4),0)</f>
        <v>0</v>
      </c>
      <c r="J4" s="1">
        <f>IF(AND(F4&gt;0,F4&lt;G4),FIND("=",A4,F4)+1,0)</f>
        <v>0</v>
      </c>
      <c r="K4" s="1">
        <f>IF(J4&gt;0,MID(A4,J4,G4-J4),0)</f>
        <v>0</v>
      </c>
      <c r="L4" s="1" t="str">
        <f>IFERROR(RIGHT(K4,LEN(K4)-FIND("0x",K4)-1),DEC2HEX(K4))</f>
        <v>0</v>
      </c>
      <c r="M4" s="10">
        <f>HEX2DEC(L4)</f>
        <v>0</v>
      </c>
      <c r="N4" s="1">
        <f>IFERROR(FIND("/*",$A4)+2,0)</f>
        <v>3</v>
      </c>
      <c r="O4" s="1">
        <f>IFERROR(FIND("#",$A4)+1-N4,0)</f>
        <v>0</v>
      </c>
      <c r="P4" s="1">
        <f>IFERROR(FIND("*/",$A4,N4+1),0)</f>
        <v>41</v>
      </c>
      <c r="Q4" s="3" t="str">
        <f t="shared" ref="Q4:Q67" si="0">IF($N4&gt;0,MID($A4,($N4+$O4),$P4-($N4+$O4)),"")</f>
        <v>---------------　SYSTEM　---------------</v>
      </c>
      <c r="R4" s="11">
        <f>IF(M4&gt;0,M4,D3+R3)</f>
        <v>1</v>
      </c>
      <c r="S4" s="11"/>
      <c r="T4" s="13" t="str">
        <f>IF(A4="",IF(A3="","",$T$1),IF(O4=1,"#",IF(B4=0,"*",DEC2HEX(R4))))</f>
        <v>*</v>
      </c>
      <c r="U4" s="14" t="str">
        <f t="shared" ref="U4:U67" si="1">IF(A4="",IF(A3="","",$U$1),  IF(B4=0,Q4,I4)  )</f>
        <v>---------------　SYSTEM　---------------</v>
      </c>
      <c r="V4" s="13">
        <f t="shared" ref="V4:V67" si="2">IF(U4=$U$1,"",IF(A4="",IF(A3="","",1),  IF(B4=0,1,D4)  ))</f>
        <v>1</v>
      </c>
      <c r="W4" s="13">
        <f t="shared" ref="W4:W67" si="3">IF(U4=$U$1,"",IF(A4="",IF(A3="","",0),  IF(C4=0,0,0)  ))</f>
        <v>0</v>
      </c>
      <c r="X4" s="14" t="str">
        <f t="shared" ref="X4:X67" si="4">IF(U4=$U$1,"",IF(U4="","",IF(B4&gt;0,IF(Q4&lt;&gt;"",Q4,"No description"),"-")))</f>
        <v>-</v>
      </c>
      <c r="Y4" s="1">
        <f t="shared" ref="Y4:Y67" si="5">IFERROR(SEARCH("UP_SET",A4),0)</f>
        <v>0</v>
      </c>
      <c r="Z4" s="1">
        <f t="shared" ref="Z4:Z67" si="6">IF(Y4=0,Z3,INT(MID(A4,8,1)))</f>
        <v>1</v>
      </c>
      <c r="AA4" s="1">
        <f t="shared" ref="AA4:AA34" si="7">IFERROR(FIND("=",A4)+1,0)</f>
        <v>0</v>
      </c>
      <c r="AB4" s="1">
        <f t="shared" ref="AB4:AB67" si="8">IF(AA4=0,0,MID(A4,AA4,LEN(A4)-AA4-1))</f>
        <v>0</v>
      </c>
      <c r="AC4" s="10">
        <f t="shared" ref="AC4:AC67" si="9">IF(AB4=0,IF(Y4=0,AC3,Z3+AC3),AB4)</f>
        <v>1</v>
      </c>
      <c r="AD4" s="1" t="str">
        <f>DEC2HEX(AC4)</f>
        <v>1</v>
      </c>
      <c r="AF4" s="3" t="str">
        <f t="shared" ref="AF4:AF67" si="10">IF(A4="",IF(A3="","",$T$1),IF(Y4=0,"0",AD4))</f>
        <v>0</v>
      </c>
      <c r="AG4" s="5" t="str">
        <f t="shared" ref="AG4:AG67" si="11">IF(A4="",IF(A3="","",$U$1),IFERROR(IF(Y4=0,MID(A4,3,LEN(A4)-5),MID(A4,11,IF(AA4=0,LEN(A4)-1-11,AA4-11-2))),"-"))</f>
        <v>---------------　SYSTEM　---------------</v>
      </c>
      <c r="AH4" s="3" t="str">
        <f t="shared" ref="AH4:AH67" si="12">IF(Y4=0,"1",Z4)</f>
        <v>1</v>
      </c>
      <c r="AI4" s="3" t="str">
        <f t="shared" ref="AI4:AI67" si="13">IF(Y4=0,"0",0)</f>
        <v>0</v>
      </c>
      <c r="AJ4" s="7">
        <f>IF(LEN(U4)=0,0,IF(U4="END_ID",0,1))</f>
        <v>1</v>
      </c>
      <c r="AK4" s="1" t="s">
        <v>12</v>
      </c>
      <c r="AL4" s="1">
        <v>20</v>
      </c>
      <c r="AM4" s="10">
        <f>AL3</f>
        <v>48</v>
      </c>
      <c r="AN4" s="1" t="str">
        <f>DEC2HEX(AM4)</f>
        <v>30</v>
      </c>
      <c r="AO4" s="1" t="str">
        <f>DEC2HEX(AM5-1)</f>
        <v>43</v>
      </c>
      <c r="AP4" s="1"/>
      <c r="AQ4" s="1"/>
      <c r="AR4" s="1"/>
      <c r="AS4" s="1"/>
      <c r="AT4" s="1"/>
    </row>
    <row r="5" spans="1:54" x14ac:dyDescent="0.3">
      <c r="A5" s="15" t="s">
        <v>157</v>
      </c>
      <c r="B5" s="1">
        <f>IFERROR(FIND("UP_SET(",$A5)+7,0)</f>
        <v>0</v>
      </c>
      <c r="C5" s="1">
        <f>IF($B5&gt;0,FIND(",",$A5,$B5),0)</f>
        <v>0</v>
      </c>
      <c r="D5" s="10">
        <f>IF($B5&gt;0,MID($A5,$B5,$C5-$B5),0)</f>
        <v>0</v>
      </c>
      <c r="E5" s="1">
        <f>IF($B5&gt;0,FIND("Up",$A5,$C5),0)</f>
        <v>0</v>
      </c>
      <c r="F5" s="1">
        <f>IF($B5&gt;0,IFERROR(FIND(",",$A5,$E5),0),0)</f>
        <v>0</v>
      </c>
      <c r="G5" s="1">
        <f>IF($B5&gt;0,FIND(")",$A5,$B5),0)</f>
        <v>0</v>
      </c>
      <c r="H5" s="1">
        <f>IF(AND(F5&gt;0,F5&lt;G5),F5,G5)</f>
        <v>0</v>
      </c>
      <c r="I5" s="10">
        <f>IF($B5&gt;0,MID($A5,$E5,$H5-$E5),0)</f>
        <v>0</v>
      </c>
      <c r="J5" s="1">
        <f>IF(AND(F5&gt;0,F5&lt;G5),FIND("=",A5,F5)+1,0)</f>
        <v>0</v>
      </c>
      <c r="K5" s="1">
        <f>IF(J5&gt;0,MID(A5,J5,G5-J5),0)</f>
        <v>0</v>
      </c>
      <c r="L5" s="1" t="str">
        <f>IFERROR(RIGHT(K5,LEN(K5)-FIND("0x",K5)-1),DEC2HEX(K5))</f>
        <v>0</v>
      </c>
      <c r="M5" s="10">
        <f>HEX2DEC(L5)</f>
        <v>0</v>
      </c>
      <c r="N5" s="1">
        <f>IFERROR(FIND("/*",$A5)+2,0)</f>
        <v>3</v>
      </c>
      <c r="O5" s="1">
        <f t="shared" ref="O5:O68" si="14">IFERROR(FIND("#",$A5)+1-N5,0)</f>
        <v>1</v>
      </c>
      <c r="P5" s="1">
        <f>IFERROR(FIND("*/",$A5,N5+1),0)</f>
        <v>15</v>
      </c>
      <c r="Q5" s="3" t="str">
        <f t="shared" si="0"/>
        <v>MIPI_TIMING</v>
      </c>
      <c r="R5" s="11">
        <f t="shared" ref="R5:R68" si="15">IF(M5&gt;0,M5,D4+R4)</f>
        <v>1</v>
      </c>
      <c r="S5" s="11"/>
      <c r="T5" s="13" t="str">
        <f t="shared" ref="T5:T68" si="16">IF(A5="",IF(A4="","",$T$1),IF(O5=1,"#",IF(B5=0,"*",DEC2HEX(R5))))</f>
        <v>#</v>
      </c>
      <c r="U5" s="14" t="str">
        <f t="shared" si="1"/>
        <v>MIPI_TIMING</v>
      </c>
      <c r="V5" s="13">
        <f t="shared" si="2"/>
        <v>1</v>
      </c>
      <c r="W5" s="13">
        <f t="shared" si="3"/>
        <v>0</v>
      </c>
      <c r="X5" s="14" t="str">
        <f t="shared" si="4"/>
        <v>-</v>
      </c>
      <c r="Y5" s="1">
        <f t="shared" si="5"/>
        <v>0</v>
      </c>
      <c r="Z5" s="1">
        <f t="shared" si="6"/>
        <v>1</v>
      </c>
      <c r="AA5" s="1">
        <f t="shared" si="7"/>
        <v>0</v>
      </c>
      <c r="AB5" s="1">
        <f t="shared" si="8"/>
        <v>0</v>
      </c>
      <c r="AC5" s="10">
        <f t="shared" si="9"/>
        <v>1</v>
      </c>
      <c r="AD5" s="1" t="str">
        <f t="shared" ref="AD5:AD68" si="17">DEC2HEX(AC5)</f>
        <v>1</v>
      </c>
      <c r="AF5" s="3" t="str">
        <f t="shared" si="10"/>
        <v>0</v>
      </c>
      <c r="AG5" s="5" t="str">
        <f t="shared" si="11"/>
        <v>#MIPI_TIMING</v>
      </c>
      <c r="AH5" s="3" t="str">
        <f t="shared" si="12"/>
        <v>1</v>
      </c>
      <c r="AI5" s="3" t="str">
        <f t="shared" si="13"/>
        <v>0</v>
      </c>
      <c r="AJ5" s="7">
        <f t="shared" ref="AJ5:AJ68" si="18">IF(LEN(U5)=0,0,IF(U5="END_ID",0,1))</f>
        <v>1</v>
      </c>
      <c r="AK5" s="1" t="s">
        <v>13</v>
      </c>
      <c r="AL5" s="1">
        <v>12</v>
      </c>
      <c r="AM5" s="10">
        <f>AM4+AL4</f>
        <v>68</v>
      </c>
      <c r="AN5" s="1" t="str">
        <f t="shared" ref="AN5:AN22" si="19">DEC2HEX(AM5)</f>
        <v>44</v>
      </c>
      <c r="AO5" s="1" t="str">
        <f t="shared" ref="AO5:AO21" si="20">DEC2HEX(AM6-1)</f>
        <v>4F</v>
      </c>
      <c r="AP5" s="1"/>
      <c r="AQ5" s="1"/>
      <c r="AR5" s="1"/>
      <c r="AS5" s="1"/>
      <c r="AT5" s="1"/>
    </row>
    <row r="6" spans="1:54" x14ac:dyDescent="0.3">
      <c r="A6" s="15" t="s">
        <v>207</v>
      </c>
      <c r="B6" s="1">
        <f>IFERROR(FIND("UP_SET(",$A6)+7,0)</f>
        <v>8</v>
      </c>
      <c r="C6" s="1">
        <f>IF($B6&gt;0,FIND(",",$A6,$B6),0)</f>
        <v>9</v>
      </c>
      <c r="D6" s="10" t="str">
        <f>IF($B6&gt;0,MID($A6,$B6,$C6-$B6),0)</f>
        <v>1</v>
      </c>
      <c r="E6" s="1">
        <f>IF($B6&gt;0,FIND("Up",$A6,$C6),0)</f>
        <v>11</v>
      </c>
      <c r="F6" s="1">
        <f>IF($B6&gt;0,IFERROR(FIND(",",$A6,$E6),0),0)</f>
        <v>23</v>
      </c>
      <c r="G6" s="1">
        <f>IF($B6&gt;0,FIND(")",$A6,$B6),0)</f>
        <v>26</v>
      </c>
      <c r="H6" s="1">
        <f>IF(AND(F6&gt;0,F6&lt;G6),F6,G6)</f>
        <v>23</v>
      </c>
      <c r="I6" s="10" t="str">
        <f>IF($B6&gt;0,MID($A6,$E6,$H6-$E6),0)</f>
        <v>UpLVDS_CKDLY</v>
      </c>
      <c r="J6" s="1">
        <f>IF(AND(F6&gt;0,F6&lt;G6),FIND("=",A6,F6)+1,0)</f>
        <v>25</v>
      </c>
      <c r="K6" s="1" t="str">
        <f>IF(J6&gt;0,MID(A6,J6,G6-J6),0)</f>
        <v>2</v>
      </c>
      <c r="L6" s="1" t="str">
        <f>IFERROR(RIGHT(K6,LEN(K6)-FIND("0x",K6)-1),DEC2HEX(K6))</f>
        <v>2</v>
      </c>
      <c r="M6" s="10">
        <f>HEX2DEC(L6)</f>
        <v>2</v>
      </c>
      <c r="N6" s="1">
        <f>IFERROR(FIND("/*",$A6)+2,0)</f>
        <v>29</v>
      </c>
      <c r="O6" s="1">
        <f t="shared" si="14"/>
        <v>0</v>
      </c>
      <c r="P6" s="1">
        <f>IFERROR(FIND("*/",$A6,N6+1),0)</f>
        <v>94</v>
      </c>
      <c r="Q6" s="3" t="str">
        <f t="shared" si="0"/>
        <v xml:space="preserve"> MIPI &amp; LVDS Input Clock Delay Adjust (0x0 ~ 0xf) &lt;Not be saved&gt; </v>
      </c>
      <c r="R6" s="11">
        <f t="shared" si="15"/>
        <v>2</v>
      </c>
      <c r="S6" s="11"/>
      <c r="T6" s="13" t="str">
        <f t="shared" si="16"/>
        <v>2</v>
      </c>
      <c r="U6" s="14" t="str">
        <f t="shared" si="1"/>
        <v>UpLVDS_CKDLY</v>
      </c>
      <c r="V6" s="13" t="str">
        <f t="shared" si="2"/>
        <v>1</v>
      </c>
      <c r="W6" s="13">
        <f t="shared" si="3"/>
        <v>0</v>
      </c>
      <c r="X6" s="14" t="str">
        <f t="shared" si="4"/>
        <v xml:space="preserve"> MIPI &amp; LVDS Input Clock Delay Adjust (0x0 ~ 0xf) &lt;Not be saved&gt; </v>
      </c>
      <c r="Y6" s="1">
        <f t="shared" si="5"/>
        <v>1</v>
      </c>
      <c r="Z6" s="1">
        <f t="shared" si="6"/>
        <v>1</v>
      </c>
      <c r="AA6" s="1">
        <f t="shared" si="7"/>
        <v>25</v>
      </c>
      <c r="AB6" s="1" t="str">
        <f t="shared" si="8"/>
        <v>2)/* MIPI &amp; LVDS Input Clock Delay Adjust (0x0 ~ 0xf) &lt;Not be saved&gt; *</v>
      </c>
      <c r="AC6" s="10" t="str">
        <f t="shared" si="9"/>
        <v>2)/* MIPI &amp; LVDS Input Clock Delay Adjust (0x0 ~ 0xf) &lt;Not be saved&gt; *</v>
      </c>
      <c r="AD6" s="1" t="e">
        <f t="shared" si="17"/>
        <v>#VALUE!</v>
      </c>
      <c r="AF6" s="3" t="e">
        <f t="shared" si="10"/>
        <v>#VALUE!</v>
      </c>
      <c r="AG6" s="5" t="str">
        <f t="shared" si="11"/>
        <v>UpLVDS_CKDLY</v>
      </c>
      <c r="AH6" s="3">
        <f t="shared" si="12"/>
        <v>1</v>
      </c>
      <c r="AI6" s="3">
        <f t="shared" si="13"/>
        <v>0</v>
      </c>
      <c r="AJ6" s="7">
        <f t="shared" si="18"/>
        <v>1</v>
      </c>
      <c r="AK6" s="1" t="s">
        <v>14</v>
      </c>
      <c r="AL6" s="1">
        <v>48</v>
      </c>
      <c r="AM6" s="10">
        <f t="shared" ref="AM6:AM22" si="21">AM5+AL5</f>
        <v>80</v>
      </c>
      <c r="AN6" s="1" t="str">
        <f t="shared" si="19"/>
        <v>50</v>
      </c>
      <c r="AO6" s="1" t="str">
        <f t="shared" si="20"/>
        <v>7F</v>
      </c>
      <c r="AP6" s="1"/>
      <c r="AQ6" s="1"/>
      <c r="AR6" s="1"/>
      <c r="AS6" s="1"/>
      <c r="AT6" s="1"/>
      <c r="AV6">
        <f>S1-1-4*32</f>
        <v>896</v>
      </c>
      <c r="AW6" s="7" t="str">
        <f>DEC2HEX(AV6-1)</f>
        <v>37F</v>
      </c>
    </row>
    <row r="7" spans="1:54" x14ac:dyDescent="0.3">
      <c r="A7" s="15" t="s">
        <v>208</v>
      </c>
      <c r="B7" s="1">
        <f t="shared" ref="B7:B70" si="22">IFERROR(FIND("UP_SET(",$A7)+7,0)</f>
        <v>8</v>
      </c>
      <c r="C7" s="1">
        <f t="shared" ref="C7:C70" si="23">IF($B7&gt;0,FIND(",",$A7,$B7),0)</f>
        <v>9</v>
      </c>
      <c r="D7" s="10" t="str">
        <f t="shared" ref="D7:D70" si="24">IF($B7&gt;0,MID($A7,$B7,$C7-$B7),0)</f>
        <v>1</v>
      </c>
      <c r="E7" s="1">
        <f t="shared" ref="E7:E70" si="25">IF($B7&gt;0,FIND("Up",$A7,$C7),0)</f>
        <v>11</v>
      </c>
      <c r="F7" s="1">
        <f t="shared" ref="F7:F70" si="26">IF($B7&gt;0,IFERROR(FIND(",",$A7,$E7),0),0)</f>
        <v>0</v>
      </c>
      <c r="G7" s="1">
        <f t="shared" ref="G7:G70" si="27">IF($B7&gt;0,FIND(")",$A7,$B7),0)</f>
        <v>20</v>
      </c>
      <c r="H7" s="1">
        <f>IF(AND(F7&gt;0,F7&lt;G7),F7,G7)</f>
        <v>20</v>
      </c>
      <c r="I7" s="10" t="str">
        <f t="shared" ref="I7:I70" si="28">IF($B7&gt;0,MID($A7,$E7,$H7-$E7),0)</f>
        <v>UpLDIDLY0</v>
      </c>
      <c r="J7" s="1">
        <f>IF(AND(F7&gt;0,F7&lt;G7),FIND("=",A7,F7)+1,0)</f>
        <v>0</v>
      </c>
      <c r="K7" s="1">
        <f t="shared" ref="K7:K70" si="29">IF(J7&gt;0,MID(A7,J7,G7-J7),0)</f>
        <v>0</v>
      </c>
      <c r="L7" s="1" t="str">
        <f t="shared" ref="L7:L70" si="30">IFERROR(RIGHT(K7,LEN(K7)-FIND("0x",K7)-1),DEC2HEX(K7))</f>
        <v>0</v>
      </c>
      <c r="M7" s="10">
        <f t="shared" ref="M7:M70" si="31">HEX2DEC(L7)</f>
        <v>0</v>
      </c>
      <c r="N7" s="1">
        <f t="shared" ref="N7:N70" si="32">IFERROR(FIND("/*",$A7)+2,0)</f>
        <v>23</v>
      </c>
      <c r="O7" s="1">
        <f t="shared" si="14"/>
        <v>0</v>
      </c>
      <c r="P7" s="1">
        <f t="shared" ref="P7:P70" si="33">IFERROR(FIND("*/",$A7,N7+1),0)</f>
        <v>84</v>
      </c>
      <c r="Q7" s="3" t="str">
        <f t="shared" si="0"/>
        <v xml:space="preserve"> MIPI &amp; LVDS Channel 0 Delay Adjust (0x0~0xf) &lt;Not be saved&gt; </v>
      </c>
      <c r="R7" s="11">
        <f t="shared" si="15"/>
        <v>3</v>
      </c>
      <c r="S7" s="11"/>
      <c r="T7" s="13" t="str">
        <f t="shared" si="16"/>
        <v>3</v>
      </c>
      <c r="U7" s="14" t="str">
        <f t="shared" si="1"/>
        <v>UpLDIDLY0</v>
      </c>
      <c r="V7" s="13" t="str">
        <f t="shared" si="2"/>
        <v>1</v>
      </c>
      <c r="W7" s="13">
        <f t="shared" si="3"/>
        <v>0</v>
      </c>
      <c r="X7" s="14" t="str">
        <f t="shared" si="4"/>
        <v xml:space="preserve"> MIPI &amp; LVDS Channel 0 Delay Adjust (0x0~0xf) &lt;Not be saved&gt; </v>
      </c>
      <c r="Y7" s="1">
        <f t="shared" si="5"/>
        <v>1</v>
      </c>
      <c r="Z7" s="1">
        <f t="shared" si="6"/>
        <v>1</v>
      </c>
      <c r="AA7" s="1">
        <f t="shared" si="7"/>
        <v>0</v>
      </c>
      <c r="AB7" s="1">
        <f t="shared" si="8"/>
        <v>0</v>
      </c>
      <c r="AC7" s="10" t="e">
        <f t="shared" si="9"/>
        <v>#VALUE!</v>
      </c>
      <c r="AD7" s="1" t="e">
        <f t="shared" si="17"/>
        <v>#VALUE!</v>
      </c>
      <c r="AF7" s="3" t="e">
        <f t="shared" si="10"/>
        <v>#VALUE!</v>
      </c>
      <c r="AG7" s="5" t="str">
        <f t="shared" si="11"/>
        <v>UpLDIDLY0)/* MIPI &amp; LVDS Channel 0 Delay Adjust (0x0~0xf) &lt;Not be saved&gt; *</v>
      </c>
      <c r="AH7" s="3">
        <f t="shared" si="12"/>
        <v>1</v>
      </c>
      <c r="AI7" s="3">
        <f t="shared" si="13"/>
        <v>0</v>
      </c>
      <c r="AJ7" s="7">
        <f t="shared" si="18"/>
        <v>1</v>
      </c>
      <c r="AK7" s="1" t="s">
        <v>15</v>
      </c>
      <c r="AL7" s="1">
        <v>48</v>
      </c>
      <c r="AM7" s="10">
        <f t="shared" si="21"/>
        <v>128</v>
      </c>
      <c r="AN7" s="1" t="str">
        <f t="shared" si="19"/>
        <v>80</v>
      </c>
      <c r="AO7" s="1" t="str">
        <f t="shared" si="20"/>
        <v>AF</v>
      </c>
      <c r="AP7" s="1"/>
      <c r="AQ7" s="1"/>
      <c r="AR7" s="1"/>
      <c r="AS7" s="1"/>
      <c r="AT7" s="1"/>
    </row>
    <row r="8" spans="1:54" x14ac:dyDescent="0.3">
      <c r="A8" s="15" t="s">
        <v>209</v>
      </c>
      <c r="B8" s="1">
        <f t="shared" si="22"/>
        <v>8</v>
      </c>
      <c r="C8" s="1">
        <f t="shared" si="23"/>
        <v>9</v>
      </c>
      <c r="D8" s="10" t="str">
        <f t="shared" si="24"/>
        <v>1</v>
      </c>
      <c r="E8" s="1">
        <f t="shared" si="25"/>
        <v>11</v>
      </c>
      <c r="F8" s="1">
        <f t="shared" si="26"/>
        <v>0</v>
      </c>
      <c r="G8" s="1">
        <f t="shared" si="27"/>
        <v>20</v>
      </c>
      <c r="H8" s="1">
        <f t="shared" ref="H8:H71" si="34">IF(AND(F8&gt;0,F8&lt;G8),F8,G8)</f>
        <v>20</v>
      </c>
      <c r="I8" s="10" t="str">
        <f t="shared" si="28"/>
        <v>UpLDIDLY1</v>
      </c>
      <c r="J8" s="1">
        <f t="shared" ref="J8:J71" si="35">IF(AND(F8&gt;0,F8&lt;G8),FIND("=",A8,F8)+1,0)</f>
        <v>0</v>
      </c>
      <c r="K8" s="1">
        <f t="shared" si="29"/>
        <v>0</v>
      </c>
      <c r="L8" s="1" t="str">
        <f t="shared" si="30"/>
        <v>0</v>
      </c>
      <c r="M8" s="10">
        <f t="shared" si="31"/>
        <v>0</v>
      </c>
      <c r="N8" s="1">
        <f t="shared" si="32"/>
        <v>23</v>
      </c>
      <c r="O8" s="1">
        <f t="shared" si="14"/>
        <v>0</v>
      </c>
      <c r="P8" s="1">
        <f t="shared" si="33"/>
        <v>84</v>
      </c>
      <c r="Q8" s="3" t="str">
        <f t="shared" si="0"/>
        <v xml:space="preserve"> MIPI &amp; LVDS Channel 1 Delay Adjust (0x0~0xf) &lt;Not be saved&gt; </v>
      </c>
      <c r="R8" s="11">
        <f t="shared" si="15"/>
        <v>4</v>
      </c>
      <c r="S8" s="11"/>
      <c r="T8" s="13" t="str">
        <f t="shared" si="16"/>
        <v>4</v>
      </c>
      <c r="U8" s="14" t="str">
        <f t="shared" si="1"/>
        <v>UpLDIDLY1</v>
      </c>
      <c r="V8" s="13" t="str">
        <f t="shared" si="2"/>
        <v>1</v>
      </c>
      <c r="W8" s="13">
        <f t="shared" si="3"/>
        <v>0</v>
      </c>
      <c r="X8" s="14" t="str">
        <f t="shared" si="4"/>
        <v xml:space="preserve"> MIPI &amp; LVDS Channel 1 Delay Adjust (0x0~0xf) &lt;Not be saved&gt; </v>
      </c>
      <c r="Y8" s="1">
        <f t="shared" si="5"/>
        <v>1</v>
      </c>
      <c r="Z8" s="1">
        <f t="shared" si="6"/>
        <v>1</v>
      </c>
      <c r="AA8" s="1">
        <f t="shared" si="7"/>
        <v>0</v>
      </c>
      <c r="AB8" s="1">
        <f t="shared" si="8"/>
        <v>0</v>
      </c>
      <c r="AC8" s="10" t="e">
        <f t="shared" si="9"/>
        <v>#VALUE!</v>
      </c>
      <c r="AD8" s="1" t="e">
        <f t="shared" si="17"/>
        <v>#VALUE!</v>
      </c>
      <c r="AF8" s="3" t="e">
        <f t="shared" si="10"/>
        <v>#VALUE!</v>
      </c>
      <c r="AG8" s="5" t="str">
        <f t="shared" si="11"/>
        <v>UpLDIDLY1)/* MIPI &amp; LVDS Channel 1 Delay Adjust (0x0~0xf) &lt;Not be saved&gt; *</v>
      </c>
      <c r="AH8" s="3">
        <f t="shared" si="12"/>
        <v>1</v>
      </c>
      <c r="AI8" s="3">
        <f t="shared" si="13"/>
        <v>0</v>
      </c>
      <c r="AJ8" s="7">
        <f t="shared" si="18"/>
        <v>1</v>
      </c>
      <c r="AK8" s="1" t="s">
        <v>16</v>
      </c>
      <c r="AL8" s="1">
        <v>0</v>
      </c>
      <c r="AM8" s="11">
        <f t="shared" si="21"/>
        <v>176</v>
      </c>
      <c r="AN8" s="1" t="str">
        <f t="shared" si="19"/>
        <v>B0</v>
      </c>
      <c r="AO8" s="1" t="str">
        <f t="shared" si="20"/>
        <v>AF</v>
      </c>
      <c r="AP8" s="1"/>
      <c r="AQ8" s="1"/>
      <c r="AR8" s="1"/>
      <c r="AS8" s="1"/>
      <c r="AT8" s="1"/>
      <c r="AX8" s="1">
        <v>81</v>
      </c>
      <c r="AY8" s="1">
        <f>HEX2DEC(AX8)</f>
        <v>129</v>
      </c>
      <c r="AZ8" s="1">
        <f>AY8+128</f>
        <v>257</v>
      </c>
      <c r="BA8" s="1">
        <f>IF(AZ8&gt;=256,AZ8-256,AZ8)</f>
        <v>1</v>
      </c>
      <c r="BB8" s="1" t="str">
        <f>DEC2HEX(BA8)</f>
        <v>1</v>
      </c>
    </row>
    <row r="9" spans="1:54" x14ac:dyDescent="0.3">
      <c r="A9" s="15" t="s">
        <v>210</v>
      </c>
      <c r="B9" s="1">
        <f t="shared" si="22"/>
        <v>8</v>
      </c>
      <c r="C9" s="1">
        <f t="shared" si="23"/>
        <v>9</v>
      </c>
      <c r="D9" s="10" t="str">
        <f t="shared" si="24"/>
        <v>1</v>
      </c>
      <c r="E9" s="1">
        <f t="shared" si="25"/>
        <v>11</v>
      </c>
      <c r="F9" s="1">
        <f t="shared" si="26"/>
        <v>0</v>
      </c>
      <c r="G9" s="1">
        <f t="shared" si="27"/>
        <v>20</v>
      </c>
      <c r="H9" s="1">
        <f t="shared" si="34"/>
        <v>20</v>
      </c>
      <c r="I9" s="10" t="str">
        <f t="shared" si="28"/>
        <v>UpLDIDLY2</v>
      </c>
      <c r="J9" s="1">
        <f t="shared" si="35"/>
        <v>0</v>
      </c>
      <c r="K9" s="1">
        <f t="shared" si="29"/>
        <v>0</v>
      </c>
      <c r="L9" s="1" t="str">
        <f t="shared" si="30"/>
        <v>0</v>
      </c>
      <c r="M9" s="10">
        <f t="shared" si="31"/>
        <v>0</v>
      </c>
      <c r="N9" s="1">
        <f t="shared" si="32"/>
        <v>23</v>
      </c>
      <c r="O9" s="1">
        <f t="shared" si="14"/>
        <v>0</v>
      </c>
      <c r="P9" s="1">
        <f t="shared" si="33"/>
        <v>84</v>
      </c>
      <c r="Q9" s="3" t="str">
        <f t="shared" si="0"/>
        <v xml:space="preserve"> MIPI &amp; LVDS Channel 2 Delay Adjust (0x0~0xf) &lt;Not be saved&gt; </v>
      </c>
      <c r="R9" s="11">
        <f t="shared" si="15"/>
        <v>5</v>
      </c>
      <c r="S9" s="11"/>
      <c r="T9" s="13" t="str">
        <f t="shared" si="16"/>
        <v>5</v>
      </c>
      <c r="U9" s="14" t="str">
        <f t="shared" si="1"/>
        <v>UpLDIDLY2</v>
      </c>
      <c r="V9" s="13" t="str">
        <f t="shared" si="2"/>
        <v>1</v>
      </c>
      <c r="W9" s="13">
        <f t="shared" si="3"/>
        <v>0</v>
      </c>
      <c r="X9" s="14" t="str">
        <f t="shared" si="4"/>
        <v xml:space="preserve"> MIPI &amp; LVDS Channel 2 Delay Adjust (0x0~0xf) &lt;Not be saved&gt; </v>
      </c>
      <c r="Y9" s="1">
        <f t="shared" si="5"/>
        <v>1</v>
      </c>
      <c r="Z9" s="1">
        <f t="shared" si="6"/>
        <v>1</v>
      </c>
      <c r="AA9" s="1">
        <f t="shared" si="7"/>
        <v>0</v>
      </c>
      <c r="AB9" s="1">
        <f t="shared" si="8"/>
        <v>0</v>
      </c>
      <c r="AC9" s="10" t="e">
        <f t="shared" si="9"/>
        <v>#VALUE!</v>
      </c>
      <c r="AD9" s="1" t="e">
        <f t="shared" si="17"/>
        <v>#VALUE!</v>
      </c>
      <c r="AF9" s="3" t="e">
        <f t="shared" si="10"/>
        <v>#VALUE!</v>
      </c>
      <c r="AG9" s="5" t="str">
        <f t="shared" si="11"/>
        <v>UpLDIDLY2)/* MIPI &amp; LVDS Channel 2 Delay Adjust (0x0~0xf) &lt;Not be saved&gt; *</v>
      </c>
      <c r="AH9" s="3">
        <f t="shared" si="12"/>
        <v>1</v>
      </c>
      <c r="AI9" s="3">
        <f t="shared" si="13"/>
        <v>0</v>
      </c>
      <c r="AJ9" s="7">
        <f t="shared" si="18"/>
        <v>1</v>
      </c>
      <c r="AK9" s="1" t="s">
        <v>17</v>
      </c>
      <c r="AL9" s="1">
        <v>12</v>
      </c>
      <c r="AM9" s="10">
        <f t="shared" si="21"/>
        <v>176</v>
      </c>
      <c r="AN9" s="1" t="str">
        <f t="shared" si="19"/>
        <v>B0</v>
      </c>
      <c r="AO9" s="1" t="str">
        <f t="shared" si="20"/>
        <v>BB</v>
      </c>
      <c r="AP9" s="1"/>
      <c r="AQ9" s="1"/>
      <c r="AR9" s="1"/>
      <c r="AS9" s="1"/>
      <c r="AT9" s="1"/>
      <c r="AX9" s="1">
        <v>0</v>
      </c>
      <c r="AY9" s="1">
        <f>HEX2DEC(AX9)</f>
        <v>0</v>
      </c>
      <c r="AZ9" s="1">
        <f>AY9+128</f>
        <v>128</v>
      </c>
      <c r="BA9" s="1">
        <f>IF(AZ9&gt;=256,AZ9-256,AZ9)</f>
        <v>128</v>
      </c>
      <c r="BB9" s="1" t="str">
        <f>DEC2HEX(BA9)</f>
        <v>80</v>
      </c>
    </row>
    <row r="10" spans="1:54" x14ac:dyDescent="0.3">
      <c r="A10" s="15" t="s">
        <v>211</v>
      </c>
      <c r="B10" s="1">
        <f t="shared" si="22"/>
        <v>8</v>
      </c>
      <c r="C10" s="1">
        <f t="shared" si="23"/>
        <v>9</v>
      </c>
      <c r="D10" s="10" t="str">
        <f t="shared" si="24"/>
        <v>1</v>
      </c>
      <c r="E10" s="1">
        <f t="shared" si="25"/>
        <v>11</v>
      </c>
      <c r="F10" s="1">
        <f t="shared" si="26"/>
        <v>0</v>
      </c>
      <c r="G10" s="1">
        <f t="shared" si="27"/>
        <v>20</v>
      </c>
      <c r="H10" s="1">
        <f t="shared" si="34"/>
        <v>20</v>
      </c>
      <c r="I10" s="10" t="str">
        <f t="shared" si="28"/>
        <v>UpLDIDLY3</v>
      </c>
      <c r="J10" s="1">
        <f t="shared" si="35"/>
        <v>0</v>
      </c>
      <c r="K10" s="1">
        <f t="shared" si="29"/>
        <v>0</v>
      </c>
      <c r="L10" s="1" t="str">
        <f t="shared" si="30"/>
        <v>0</v>
      </c>
      <c r="M10" s="10">
        <f t="shared" si="31"/>
        <v>0</v>
      </c>
      <c r="N10" s="1">
        <f t="shared" si="32"/>
        <v>23</v>
      </c>
      <c r="O10" s="1">
        <f t="shared" si="14"/>
        <v>0</v>
      </c>
      <c r="P10" s="1">
        <f t="shared" si="33"/>
        <v>84</v>
      </c>
      <c r="Q10" s="3" t="str">
        <f t="shared" si="0"/>
        <v xml:space="preserve"> MIPI &amp; LVDS Channel 3 Delay Adjust (0x0~0xf) &lt;Not be saved&gt; </v>
      </c>
      <c r="R10" s="11">
        <f t="shared" si="15"/>
        <v>6</v>
      </c>
      <c r="S10" s="11"/>
      <c r="T10" s="13" t="str">
        <f t="shared" si="16"/>
        <v>6</v>
      </c>
      <c r="U10" s="14" t="str">
        <f t="shared" si="1"/>
        <v>UpLDIDLY3</v>
      </c>
      <c r="V10" s="13" t="str">
        <f t="shared" si="2"/>
        <v>1</v>
      </c>
      <c r="W10" s="13">
        <f t="shared" si="3"/>
        <v>0</v>
      </c>
      <c r="X10" s="14" t="str">
        <f t="shared" si="4"/>
        <v xml:space="preserve"> MIPI &amp; LVDS Channel 3 Delay Adjust (0x0~0xf) &lt;Not be saved&gt; </v>
      </c>
      <c r="Y10" s="1">
        <f t="shared" si="5"/>
        <v>1</v>
      </c>
      <c r="Z10" s="1">
        <f t="shared" si="6"/>
        <v>1</v>
      </c>
      <c r="AA10" s="1">
        <f t="shared" si="7"/>
        <v>0</v>
      </c>
      <c r="AB10" s="1">
        <f t="shared" si="8"/>
        <v>0</v>
      </c>
      <c r="AC10" s="10" t="e">
        <f t="shared" si="9"/>
        <v>#VALUE!</v>
      </c>
      <c r="AD10" s="1" t="e">
        <f t="shared" si="17"/>
        <v>#VALUE!</v>
      </c>
      <c r="AF10" s="3" t="e">
        <f t="shared" si="10"/>
        <v>#VALUE!</v>
      </c>
      <c r="AG10" s="5" t="str">
        <f t="shared" si="11"/>
        <v>UpLDIDLY3)/* MIPI &amp; LVDS Channel 3 Delay Adjust (0x0~0xf) &lt;Not be saved&gt; *</v>
      </c>
      <c r="AH10" s="3">
        <f t="shared" si="12"/>
        <v>1</v>
      </c>
      <c r="AI10" s="3">
        <f t="shared" si="13"/>
        <v>0</v>
      </c>
      <c r="AJ10" s="7">
        <f t="shared" si="18"/>
        <v>1</v>
      </c>
      <c r="AK10" s="1" t="s">
        <v>18</v>
      </c>
      <c r="AL10" s="1">
        <v>10</v>
      </c>
      <c r="AM10" s="10">
        <f t="shared" si="21"/>
        <v>188</v>
      </c>
      <c r="AN10" s="1" t="str">
        <f t="shared" si="19"/>
        <v>BC</v>
      </c>
      <c r="AO10" s="1" t="str">
        <f t="shared" si="20"/>
        <v>C5</v>
      </c>
      <c r="AP10" s="1"/>
      <c r="AQ10" s="1"/>
      <c r="AR10" s="1"/>
      <c r="AS10" s="1"/>
      <c r="AT10" s="1"/>
      <c r="AX10" s="1" t="s">
        <v>9</v>
      </c>
      <c r="AY10" s="1">
        <f>HEX2DEC(AX10)</f>
        <v>127</v>
      </c>
      <c r="AZ10" s="1">
        <f>AY10+128</f>
        <v>255</v>
      </c>
      <c r="BA10" s="1">
        <f>IF(AZ10&gt;=256,AZ10-256,AZ10)</f>
        <v>255</v>
      </c>
      <c r="BB10" s="1" t="str">
        <f>DEC2HEX(BA10)</f>
        <v>FF</v>
      </c>
    </row>
    <row r="11" spans="1:54" x14ac:dyDescent="0.3">
      <c r="A11" s="15" t="s">
        <v>502</v>
      </c>
      <c r="B11" s="1">
        <f t="shared" si="22"/>
        <v>8</v>
      </c>
      <c r="C11" s="1">
        <f t="shared" si="23"/>
        <v>9</v>
      </c>
      <c r="D11" s="10" t="str">
        <f t="shared" si="24"/>
        <v>1</v>
      </c>
      <c r="E11" s="1">
        <f t="shared" si="25"/>
        <v>11</v>
      </c>
      <c r="F11" s="1">
        <f t="shared" si="26"/>
        <v>0</v>
      </c>
      <c r="G11" s="1">
        <f t="shared" si="27"/>
        <v>22</v>
      </c>
      <c r="H11" s="1">
        <f t="shared" si="34"/>
        <v>22</v>
      </c>
      <c r="I11" s="10" t="str">
        <f t="shared" si="28"/>
        <v>UpSYS_RESET</v>
      </c>
      <c r="J11" s="1">
        <f t="shared" si="35"/>
        <v>0</v>
      </c>
      <c r="K11" s="1">
        <f t="shared" si="29"/>
        <v>0</v>
      </c>
      <c r="L11" s="1" t="str">
        <f t="shared" si="30"/>
        <v>0</v>
      </c>
      <c r="M11" s="10">
        <f t="shared" si="31"/>
        <v>0</v>
      </c>
      <c r="N11" s="1">
        <f t="shared" si="32"/>
        <v>25</v>
      </c>
      <c r="O11" s="1">
        <f t="shared" si="14"/>
        <v>0</v>
      </c>
      <c r="P11" s="1">
        <f t="shared" si="33"/>
        <v>65</v>
      </c>
      <c r="Q11" s="3" t="str">
        <f t="shared" si="0"/>
        <v xml:space="preserve">System Reset (1 : Reset) &lt;Not be saved&gt; </v>
      </c>
      <c r="R11" s="11">
        <f t="shared" si="15"/>
        <v>7</v>
      </c>
      <c r="S11" s="11"/>
      <c r="T11" s="13" t="str">
        <f t="shared" si="16"/>
        <v>7</v>
      </c>
      <c r="U11" s="14" t="str">
        <f t="shared" si="1"/>
        <v>UpSYS_RESET</v>
      </c>
      <c r="V11" s="13" t="str">
        <f t="shared" si="2"/>
        <v>1</v>
      </c>
      <c r="W11" s="13">
        <f t="shared" si="3"/>
        <v>0</v>
      </c>
      <c r="X11" s="14" t="str">
        <f t="shared" si="4"/>
        <v xml:space="preserve">System Reset (1 : Reset) &lt;Not be saved&gt; </v>
      </c>
      <c r="Y11" s="1">
        <f t="shared" si="5"/>
        <v>1</v>
      </c>
      <c r="Z11" s="1">
        <f t="shared" si="6"/>
        <v>1</v>
      </c>
      <c r="AA11" s="1">
        <f t="shared" si="7"/>
        <v>0</v>
      </c>
      <c r="AB11" s="1">
        <f t="shared" si="8"/>
        <v>0</v>
      </c>
      <c r="AC11" s="10" t="e">
        <f t="shared" si="9"/>
        <v>#VALUE!</v>
      </c>
      <c r="AD11" s="1" t="e">
        <f t="shared" si="17"/>
        <v>#VALUE!</v>
      </c>
      <c r="AF11" s="3" t="e">
        <f t="shared" si="10"/>
        <v>#VALUE!</v>
      </c>
      <c r="AG11" s="5" t="str">
        <f t="shared" si="11"/>
        <v>UpSYS_RESET)/*System Reset (1 : Reset) &lt;Not be saved&gt; *</v>
      </c>
      <c r="AH11" s="3">
        <f t="shared" si="12"/>
        <v>1</v>
      </c>
      <c r="AI11" s="3">
        <f t="shared" si="13"/>
        <v>0</v>
      </c>
      <c r="AJ11" s="7">
        <f t="shared" si="18"/>
        <v>1</v>
      </c>
      <c r="AK11" s="1" t="s">
        <v>19</v>
      </c>
      <c r="AL11" s="1">
        <v>10</v>
      </c>
      <c r="AM11" s="10">
        <f t="shared" si="21"/>
        <v>198</v>
      </c>
      <c r="AN11" s="1" t="str">
        <f t="shared" si="19"/>
        <v>C6</v>
      </c>
      <c r="AO11" s="1" t="str">
        <f t="shared" si="20"/>
        <v>CF</v>
      </c>
      <c r="AP11" s="1"/>
      <c r="AQ11" s="1"/>
      <c r="AR11" s="1"/>
      <c r="AS11" s="1"/>
      <c r="AT11" s="1"/>
      <c r="AX11" s="1">
        <v>80</v>
      </c>
      <c r="AY11" s="1">
        <f>HEX2DEC(AX11)</f>
        <v>128</v>
      </c>
      <c r="AZ11" s="1">
        <f>AY11+128</f>
        <v>256</v>
      </c>
      <c r="BA11" s="1">
        <f>IF(AZ11&gt;=256,AZ11-256,AZ11)</f>
        <v>0</v>
      </c>
      <c r="BB11" s="1" t="str">
        <f>DEC2HEX(BA11)</f>
        <v>0</v>
      </c>
    </row>
    <row r="12" spans="1:54" x14ac:dyDescent="0.3">
      <c r="A12" s="15" t="s">
        <v>8</v>
      </c>
      <c r="B12" s="1">
        <f t="shared" si="22"/>
        <v>0</v>
      </c>
      <c r="C12" s="1">
        <f t="shared" si="23"/>
        <v>0</v>
      </c>
      <c r="D12" s="10">
        <f t="shared" si="24"/>
        <v>0</v>
      </c>
      <c r="E12" s="1">
        <f t="shared" si="25"/>
        <v>0</v>
      </c>
      <c r="F12" s="1">
        <f t="shared" si="26"/>
        <v>0</v>
      </c>
      <c r="G12" s="1">
        <f t="shared" si="27"/>
        <v>0</v>
      </c>
      <c r="H12" s="1">
        <f t="shared" si="34"/>
        <v>0</v>
      </c>
      <c r="I12" s="10">
        <f t="shared" si="28"/>
        <v>0</v>
      </c>
      <c r="J12" s="1">
        <f t="shared" si="35"/>
        <v>0</v>
      </c>
      <c r="K12" s="1">
        <f t="shared" si="29"/>
        <v>0</v>
      </c>
      <c r="L12" s="1" t="str">
        <f t="shared" si="30"/>
        <v>0</v>
      </c>
      <c r="M12" s="10">
        <f t="shared" si="31"/>
        <v>0</v>
      </c>
      <c r="N12" s="1">
        <f t="shared" si="32"/>
        <v>3</v>
      </c>
      <c r="O12" s="1">
        <f t="shared" si="14"/>
        <v>0</v>
      </c>
      <c r="P12" s="1">
        <f t="shared" si="33"/>
        <v>38</v>
      </c>
      <c r="Q12" s="3" t="str">
        <f t="shared" si="0"/>
        <v>---------------　KEY　---------------</v>
      </c>
      <c r="R12" s="11">
        <f t="shared" si="15"/>
        <v>8</v>
      </c>
      <c r="S12" s="11"/>
      <c r="T12" s="13" t="str">
        <f t="shared" si="16"/>
        <v>*</v>
      </c>
      <c r="U12" s="14" t="str">
        <f t="shared" si="1"/>
        <v>---------------　KEY　---------------</v>
      </c>
      <c r="V12" s="13">
        <f t="shared" si="2"/>
        <v>1</v>
      </c>
      <c r="W12" s="13">
        <f t="shared" si="3"/>
        <v>0</v>
      </c>
      <c r="X12" s="14" t="str">
        <f t="shared" si="4"/>
        <v>-</v>
      </c>
      <c r="Y12" s="1">
        <f t="shared" si="5"/>
        <v>0</v>
      </c>
      <c r="Z12" s="1">
        <f t="shared" si="6"/>
        <v>1</v>
      </c>
      <c r="AA12" s="1">
        <f t="shared" si="7"/>
        <v>0</v>
      </c>
      <c r="AB12" s="1">
        <f t="shared" si="8"/>
        <v>0</v>
      </c>
      <c r="AC12" s="10" t="e">
        <f t="shared" si="9"/>
        <v>#VALUE!</v>
      </c>
      <c r="AD12" s="1" t="e">
        <f t="shared" si="17"/>
        <v>#VALUE!</v>
      </c>
      <c r="AF12" s="3" t="str">
        <f t="shared" si="10"/>
        <v>0</v>
      </c>
      <c r="AG12" s="5" t="str">
        <f t="shared" si="11"/>
        <v>---------------　KEY　---------------</v>
      </c>
      <c r="AH12" s="3" t="str">
        <f t="shared" si="12"/>
        <v>1</v>
      </c>
      <c r="AI12" s="3" t="str">
        <f t="shared" si="13"/>
        <v>0</v>
      </c>
      <c r="AJ12" s="7">
        <f t="shared" si="18"/>
        <v>1</v>
      </c>
      <c r="AK12" s="1" t="s">
        <v>20</v>
      </c>
      <c r="AL12" s="1">
        <v>14</v>
      </c>
      <c r="AM12" s="10">
        <f t="shared" si="21"/>
        <v>208</v>
      </c>
      <c r="AN12" s="1" t="str">
        <f t="shared" si="19"/>
        <v>D0</v>
      </c>
      <c r="AO12" s="1" t="str">
        <f t="shared" si="20"/>
        <v>DD</v>
      </c>
      <c r="AP12" s="1"/>
      <c r="AQ12" s="1"/>
      <c r="AR12" s="1"/>
      <c r="AS12" s="1"/>
      <c r="AT12" s="1"/>
    </row>
    <row r="13" spans="1:54" x14ac:dyDescent="0.3">
      <c r="A13" s="15" t="s">
        <v>212</v>
      </c>
      <c r="B13" s="1">
        <f t="shared" si="22"/>
        <v>8</v>
      </c>
      <c r="C13" s="1">
        <f t="shared" si="23"/>
        <v>9</v>
      </c>
      <c r="D13" s="10" t="str">
        <f t="shared" si="24"/>
        <v>2</v>
      </c>
      <c r="E13" s="1">
        <f t="shared" si="25"/>
        <v>11</v>
      </c>
      <c r="F13" s="1">
        <f t="shared" si="26"/>
        <v>24</v>
      </c>
      <c r="G13" s="1">
        <f t="shared" si="27"/>
        <v>27</v>
      </c>
      <c r="H13" s="1">
        <f t="shared" si="34"/>
        <v>24</v>
      </c>
      <c r="I13" s="10" t="str">
        <f t="shared" si="28"/>
        <v>UpADC_LEVEL_C</v>
      </c>
      <c r="J13" s="1">
        <f t="shared" si="35"/>
        <v>26</v>
      </c>
      <c r="K13" s="1" t="str">
        <f t="shared" si="29"/>
        <v>8</v>
      </c>
      <c r="L13" s="1" t="str">
        <f t="shared" si="30"/>
        <v>8</v>
      </c>
      <c r="M13" s="10">
        <f t="shared" si="31"/>
        <v>8</v>
      </c>
      <c r="N13" s="1">
        <f t="shared" si="32"/>
        <v>30</v>
      </c>
      <c r="O13" s="1">
        <f t="shared" si="14"/>
        <v>0</v>
      </c>
      <c r="P13" s="1">
        <f t="shared" si="33"/>
        <v>67</v>
      </c>
      <c r="Q13" s="3" t="str">
        <f t="shared" si="0"/>
        <v xml:space="preserve"> ADC Value of Center Key (0 ~ 0x3FF) </v>
      </c>
      <c r="R13" s="11">
        <f t="shared" si="15"/>
        <v>8</v>
      </c>
      <c r="S13" s="11"/>
      <c r="T13" s="13" t="str">
        <f t="shared" si="16"/>
        <v>8</v>
      </c>
      <c r="U13" s="14" t="str">
        <f t="shared" si="1"/>
        <v>UpADC_LEVEL_C</v>
      </c>
      <c r="V13" s="13" t="str">
        <f t="shared" si="2"/>
        <v>2</v>
      </c>
      <c r="W13" s="13">
        <f t="shared" si="3"/>
        <v>0</v>
      </c>
      <c r="X13" s="14" t="str">
        <f t="shared" si="4"/>
        <v xml:space="preserve"> ADC Value of Center Key (0 ~ 0x3FF) </v>
      </c>
      <c r="Y13" s="1">
        <f t="shared" si="5"/>
        <v>1</v>
      </c>
      <c r="Z13" s="1">
        <f t="shared" si="6"/>
        <v>2</v>
      </c>
      <c r="AA13" s="1">
        <f t="shared" si="7"/>
        <v>26</v>
      </c>
      <c r="AB13" s="1" t="str">
        <f t="shared" si="8"/>
        <v>8)/* ADC Value of Center Key (0 ~ 0x3FF) *</v>
      </c>
      <c r="AC13" s="10" t="str">
        <f t="shared" si="9"/>
        <v>8)/* ADC Value of Center Key (0 ~ 0x3FF) *</v>
      </c>
      <c r="AD13" s="1" t="e">
        <f t="shared" si="17"/>
        <v>#VALUE!</v>
      </c>
      <c r="AF13" s="3" t="e">
        <f t="shared" si="10"/>
        <v>#VALUE!</v>
      </c>
      <c r="AG13" s="5" t="str">
        <f t="shared" si="11"/>
        <v>UpADC_LEVEL_C</v>
      </c>
      <c r="AH13" s="3">
        <f t="shared" si="12"/>
        <v>2</v>
      </c>
      <c r="AI13" s="3">
        <f t="shared" si="13"/>
        <v>0</v>
      </c>
      <c r="AJ13" s="7">
        <f t="shared" si="18"/>
        <v>1</v>
      </c>
      <c r="AK13" s="1" t="s">
        <v>21</v>
      </c>
      <c r="AL13" s="1">
        <v>8</v>
      </c>
      <c r="AM13" s="10">
        <f t="shared" si="21"/>
        <v>222</v>
      </c>
      <c r="AN13" s="1" t="str">
        <f t="shared" si="19"/>
        <v>DE</v>
      </c>
      <c r="AO13" s="1" t="str">
        <f t="shared" si="20"/>
        <v>E5</v>
      </c>
      <c r="AP13" s="1"/>
      <c r="AQ13" s="1"/>
      <c r="AR13" s="1"/>
      <c r="AS13" s="1"/>
      <c r="AT13" s="1"/>
      <c r="AX13" s="1" t="s">
        <v>10</v>
      </c>
      <c r="AY13" s="1">
        <f>HEX2DEC(AX13)</f>
        <v>111</v>
      </c>
      <c r="AZ13" s="1">
        <f>AY13+128</f>
        <v>239</v>
      </c>
      <c r="BA13" s="1">
        <f>IF(AZ13&gt;=256,AZ13-256,AZ13)</f>
        <v>239</v>
      </c>
      <c r="BB13" s="1" t="str">
        <f>DEC2HEX(BA13)</f>
        <v>EF</v>
      </c>
    </row>
    <row r="14" spans="1:54" x14ac:dyDescent="0.3">
      <c r="A14" s="15" t="s">
        <v>213</v>
      </c>
      <c r="B14" s="1">
        <f t="shared" si="22"/>
        <v>8</v>
      </c>
      <c r="C14" s="1">
        <f t="shared" si="23"/>
        <v>9</v>
      </c>
      <c r="D14" s="10" t="str">
        <f t="shared" si="24"/>
        <v>2</v>
      </c>
      <c r="E14" s="1">
        <f t="shared" si="25"/>
        <v>11</v>
      </c>
      <c r="F14" s="1">
        <f t="shared" si="26"/>
        <v>0</v>
      </c>
      <c r="G14" s="1">
        <f t="shared" si="27"/>
        <v>24</v>
      </c>
      <c r="H14" s="1">
        <f t="shared" si="34"/>
        <v>24</v>
      </c>
      <c r="I14" s="10" t="str">
        <f t="shared" si="28"/>
        <v>UpADC_LEVEL_U</v>
      </c>
      <c r="J14" s="1">
        <f t="shared" si="35"/>
        <v>0</v>
      </c>
      <c r="K14" s="1">
        <f t="shared" si="29"/>
        <v>0</v>
      </c>
      <c r="L14" s="1" t="str">
        <f t="shared" si="30"/>
        <v>0</v>
      </c>
      <c r="M14" s="10">
        <f t="shared" si="31"/>
        <v>0</v>
      </c>
      <c r="N14" s="1">
        <f t="shared" si="32"/>
        <v>27</v>
      </c>
      <c r="O14" s="1">
        <f t="shared" si="14"/>
        <v>0</v>
      </c>
      <c r="P14" s="1">
        <f t="shared" si="33"/>
        <v>60</v>
      </c>
      <c r="Q14" s="3" t="str">
        <f t="shared" si="0"/>
        <v xml:space="preserve"> ADC Value of Up Key (0 ~ 0x3FF) </v>
      </c>
      <c r="R14" s="11">
        <f t="shared" si="15"/>
        <v>10</v>
      </c>
      <c r="S14" s="11"/>
      <c r="T14" s="13" t="str">
        <f t="shared" si="16"/>
        <v>A</v>
      </c>
      <c r="U14" s="14" t="str">
        <f t="shared" si="1"/>
        <v>UpADC_LEVEL_U</v>
      </c>
      <c r="V14" s="13" t="str">
        <f t="shared" si="2"/>
        <v>2</v>
      </c>
      <c r="W14" s="13">
        <f t="shared" si="3"/>
        <v>0</v>
      </c>
      <c r="X14" s="14" t="str">
        <f t="shared" si="4"/>
        <v xml:space="preserve"> ADC Value of Up Key (0 ~ 0x3FF) </v>
      </c>
      <c r="Y14" s="1">
        <f t="shared" si="5"/>
        <v>1</v>
      </c>
      <c r="Z14" s="1">
        <f t="shared" si="6"/>
        <v>2</v>
      </c>
      <c r="AA14" s="1">
        <f t="shared" si="7"/>
        <v>0</v>
      </c>
      <c r="AB14" s="1">
        <f t="shared" si="8"/>
        <v>0</v>
      </c>
      <c r="AC14" s="10" t="e">
        <f t="shared" si="9"/>
        <v>#VALUE!</v>
      </c>
      <c r="AD14" s="1" t="e">
        <f t="shared" si="17"/>
        <v>#VALUE!</v>
      </c>
      <c r="AF14" s="3" t="e">
        <f t="shared" si="10"/>
        <v>#VALUE!</v>
      </c>
      <c r="AG14" s="5" t="str">
        <f t="shared" si="11"/>
        <v>UpADC_LEVEL_U)/* ADC Value of Up Key (0 ~ 0x3FF) *</v>
      </c>
      <c r="AH14" s="3">
        <f t="shared" si="12"/>
        <v>2</v>
      </c>
      <c r="AI14" s="3">
        <f t="shared" si="13"/>
        <v>0</v>
      </c>
      <c r="AJ14" s="7">
        <f t="shared" si="18"/>
        <v>1</v>
      </c>
      <c r="AK14" s="1" t="s">
        <v>22</v>
      </c>
      <c r="AL14" s="1">
        <v>30</v>
      </c>
      <c r="AM14" s="10">
        <f t="shared" si="21"/>
        <v>230</v>
      </c>
      <c r="AN14" s="1" t="str">
        <f t="shared" si="19"/>
        <v>E6</v>
      </c>
      <c r="AO14" s="1" t="str">
        <f t="shared" si="20"/>
        <v>103</v>
      </c>
      <c r="AP14" s="1"/>
      <c r="AQ14" s="1"/>
      <c r="AR14" s="1"/>
      <c r="AS14" s="1"/>
      <c r="AT14" s="1"/>
      <c r="AX14" s="1">
        <v>62</v>
      </c>
      <c r="AY14" s="1">
        <f>HEX2DEC(AX14)</f>
        <v>98</v>
      </c>
      <c r="AZ14" s="1">
        <f>AY14+128</f>
        <v>226</v>
      </c>
      <c r="BA14" s="1">
        <f>IF(AZ14&gt;=256,AZ14-256,AZ14)</f>
        <v>226</v>
      </c>
      <c r="BB14" s="1" t="str">
        <f>DEC2HEX(BA14)</f>
        <v>E2</v>
      </c>
    </row>
    <row r="15" spans="1:54" x14ac:dyDescent="0.3">
      <c r="A15" s="15" t="s">
        <v>214</v>
      </c>
      <c r="B15" s="1">
        <f t="shared" si="22"/>
        <v>8</v>
      </c>
      <c r="C15" s="1">
        <f t="shared" si="23"/>
        <v>9</v>
      </c>
      <c r="D15" s="10" t="str">
        <f t="shared" si="24"/>
        <v>2</v>
      </c>
      <c r="E15" s="1">
        <f t="shared" si="25"/>
        <v>11</v>
      </c>
      <c r="F15" s="1">
        <f t="shared" si="26"/>
        <v>0</v>
      </c>
      <c r="G15" s="1">
        <f t="shared" si="27"/>
        <v>24</v>
      </c>
      <c r="H15" s="1">
        <f t="shared" si="34"/>
        <v>24</v>
      </c>
      <c r="I15" s="10" t="str">
        <f t="shared" si="28"/>
        <v>UpADC_LEVEL_D</v>
      </c>
      <c r="J15" s="1">
        <f t="shared" si="35"/>
        <v>0</v>
      </c>
      <c r="K15" s="1">
        <f t="shared" si="29"/>
        <v>0</v>
      </c>
      <c r="L15" s="1" t="str">
        <f t="shared" si="30"/>
        <v>0</v>
      </c>
      <c r="M15" s="10">
        <f t="shared" si="31"/>
        <v>0</v>
      </c>
      <c r="N15" s="1">
        <f t="shared" si="32"/>
        <v>27</v>
      </c>
      <c r="O15" s="1">
        <f t="shared" si="14"/>
        <v>0</v>
      </c>
      <c r="P15" s="1">
        <f t="shared" si="33"/>
        <v>62</v>
      </c>
      <c r="Q15" s="3" t="str">
        <f t="shared" si="0"/>
        <v xml:space="preserve"> ADC Value of Down Key (0 ~ 0x3FF) </v>
      </c>
      <c r="R15" s="11">
        <f t="shared" si="15"/>
        <v>12</v>
      </c>
      <c r="S15" s="11"/>
      <c r="T15" s="13" t="str">
        <f t="shared" si="16"/>
        <v>C</v>
      </c>
      <c r="U15" s="14" t="str">
        <f t="shared" si="1"/>
        <v>UpADC_LEVEL_D</v>
      </c>
      <c r="V15" s="13" t="str">
        <f t="shared" si="2"/>
        <v>2</v>
      </c>
      <c r="W15" s="13">
        <f t="shared" si="3"/>
        <v>0</v>
      </c>
      <c r="X15" s="14" t="str">
        <f t="shared" si="4"/>
        <v xml:space="preserve"> ADC Value of Down Key (0 ~ 0x3FF) </v>
      </c>
      <c r="Y15" s="1">
        <f t="shared" si="5"/>
        <v>1</v>
      </c>
      <c r="Z15" s="1">
        <f t="shared" si="6"/>
        <v>2</v>
      </c>
      <c r="AA15" s="1">
        <f t="shared" si="7"/>
        <v>0</v>
      </c>
      <c r="AB15" s="1">
        <f t="shared" si="8"/>
        <v>0</v>
      </c>
      <c r="AC15" s="10" t="e">
        <f t="shared" si="9"/>
        <v>#VALUE!</v>
      </c>
      <c r="AD15" s="1" t="e">
        <f t="shared" si="17"/>
        <v>#VALUE!</v>
      </c>
      <c r="AF15" s="3" t="e">
        <f t="shared" si="10"/>
        <v>#VALUE!</v>
      </c>
      <c r="AG15" s="5" t="str">
        <f t="shared" si="11"/>
        <v>UpADC_LEVEL_D)/* ADC Value of Down Key (0 ~ 0x3FF) *</v>
      </c>
      <c r="AH15" s="3">
        <f t="shared" si="12"/>
        <v>2</v>
      </c>
      <c r="AI15" s="3">
        <f t="shared" si="13"/>
        <v>0</v>
      </c>
      <c r="AJ15" s="7">
        <f t="shared" si="18"/>
        <v>1</v>
      </c>
      <c r="AK15" s="1" t="s">
        <v>23</v>
      </c>
      <c r="AL15" s="1">
        <v>4</v>
      </c>
      <c r="AM15" s="10">
        <f t="shared" si="21"/>
        <v>260</v>
      </c>
      <c r="AN15" s="1" t="str">
        <f t="shared" si="19"/>
        <v>104</v>
      </c>
      <c r="AO15" s="1" t="str">
        <f t="shared" si="20"/>
        <v>107</v>
      </c>
      <c r="AP15" s="1"/>
      <c r="AQ15" s="1"/>
      <c r="AR15" s="1"/>
      <c r="AS15" s="1"/>
      <c r="AT15" s="1"/>
    </row>
    <row r="16" spans="1:54" x14ac:dyDescent="0.3">
      <c r="A16" s="15" t="s">
        <v>215</v>
      </c>
      <c r="B16" s="1">
        <f t="shared" si="22"/>
        <v>8</v>
      </c>
      <c r="C16" s="1">
        <f t="shared" si="23"/>
        <v>9</v>
      </c>
      <c r="D16" s="10" t="str">
        <f t="shared" si="24"/>
        <v>2</v>
      </c>
      <c r="E16" s="1">
        <f t="shared" si="25"/>
        <v>11</v>
      </c>
      <c r="F16" s="1">
        <f t="shared" si="26"/>
        <v>0</v>
      </c>
      <c r="G16" s="1">
        <f t="shared" si="27"/>
        <v>24</v>
      </c>
      <c r="H16" s="1">
        <f t="shared" si="34"/>
        <v>24</v>
      </c>
      <c r="I16" s="10" t="str">
        <f t="shared" si="28"/>
        <v>UpADC_LEVEL_L</v>
      </c>
      <c r="J16" s="1">
        <f t="shared" si="35"/>
        <v>0</v>
      </c>
      <c r="K16" s="1">
        <f t="shared" si="29"/>
        <v>0</v>
      </c>
      <c r="L16" s="1" t="str">
        <f t="shared" si="30"/>
        <v>0</v>
      </c>
      <c r="M16" s="10">
        <f t="shared" si="31"/>
        <v>0</v>
      </c>
      <c r="N16" s="1">
        <f t="shared" si="32"/>
        <v>27</v>
      </c>
      <c r="O16" s="1">
        <f t="shared" si="14"/>
        <v>0</v>
      </c>
      <c r="P16" s="1">
        <f t="shared" si="33"/>
        <v>62</v>
      </c>
      <c r="Q16" s="3" t="str">
        <f t="shared" si="0"/>
        <v xml:space="preserve"> ADC Value of Left Key (0 ~ 0x3FF) </v>
      </c>
      <c r="R16" s="11">
        <f t="shared" si="15"/>
        <v>14</v>
      </c>
      <c r="S16" s="11"/>
      <c r="T16" s="13" t="str">
        <f t="shared" si="16"/>
        <v>E</v>
      </c>
      <c r="U16" s="14" t="str">
        <f t="shared" si="1"/>
        <v>UpADC_LEVEL_L</v>
      </c>
      <c r="V16" s="13" t="str">
        <f t="shared" si="2"/>
        <v>2</v>
      </c>
      <c r="W16" s="13">
        <f t="shared" si="3"/>
        <v>0</v>
      </c>
      <c r="X16" s="14" t="str">
        <f t="shared" si="4"/>
        <v xml:space="preserve"> ADC Value of Left Key (0 ~ 0x3FF) </v>
      </c>
      <c r="Y16" s="1">
        <f t="shared" si="5"/>
        <v>1</v>
      </c>
      <c r="Z16" s="1">
        <f t="shared" si="6"/>
        <v>2</v>
      </c>
      <c r="AA16" s="1">
        <f t="shared" si="7"/>
        <v>0</v>
      </c>
      <c r="AB16" s="1">
        <f t="shared" si="8"/>
        <v>0</v>
      </c>
      <c r="AC16" s="10" t="e">
        <f t="shared" si="9"/>
        <v>#VALUE!</v>
      </c>
      <c r="AD16" s="1" t="e">
        <f t="shared" si="17"/>
        <v>#VALUE!</v>
      </c>
      <c r="AF16" s="3" t="e">
        <f t="shared" si="10"/>
        <v>#VALUE!</v>
      </c>
      <c r="AG16" s="5" t="str">
        <f t="shared" si="11"/>
        <v>UpADC_LEVEL_L)/* ADC Value of Left Key (0 ~ 0x3FF) *</v>
      </c>
      <c r="AH16" s="3">
        <f t="shared" si="12"/>
        <v>2</v>
      </c>
      <c r="AI16" s="3">
        <f t="shared" si="13"/>
        <v>0</v>
      </c>
      <c r="AJ16" s="7">
        <f t="shared" si="18"/>
        <v>1</v>
      </c>
      <c r="AK16" s="1" t="s">
        <v>24</v>
      </c>
      <c r="AL16" s="1">
        <v>14</v>
      </c>
      <c r="AM16" s="10">
        <f t="shared" si="21"/>
        <v>264</v>
      </c>
      <c r="AN16" s="1" t="str">
        <f t="shared" si="19"/>
        <v>108</v>
      </c>
      <c r="AO16" s="1" t="str">
        <f t="shared" si="20"/>
        <v>115</v>
      </c>
      <c r="AP16" s="1"/>
      <c r="AQ16" s="1"/>
      <c r="AR16" s="1"/>
      <c r="AS16" s="1"/>
      <c r="AT16" s="1"/>
    </row>
    <row r="17" spans="1:46" x14ac:dyDescent="0.3">
      <c r="A17" s="15" t="s">
        <v>216</v>
      </c>
      <c r="B17" s="1">
        <f t="shared" si="22"/>
        <v>8</v>
      </c>
      <c r="C17" s="1">
        <f t="shared" si="23"/>
        <v>9</v>
      </c>
      <c r="D17" s="10" t="str">
        <f t="shared" si="24"/>
        <v>2</v>
      </c>
      <c r="E17" s="1">
        <f t="shared" si="25"/>
        <v>11</v>
      </c>
      <c r="F17" s="1">
        <f t="shared" si="26"/>
        <v>0</v>
      </c>
      <c r="G17" s="1">
        <f t="shared" si="27"/>
        <v>24</v>
      </c>
      <c r="H17" s="1">
        <f t="shared" si="34"/>
        <v>24</v>
      </c>
      <c r="I17" s="10" t="str">
        <f t="shared" si="28"/>
        <v>UpADC_LEVEL_R</v>
      </c>
      <c r="J17" s="1">
        <f t="shared" si="35"/>
        <v>0</v>
      </c>
      <c r="K17" s="1">
        <f t="shared" si="29"/>
        <v>0</v>
      </c>
      <c r="L17" s="1" t="str">
        <f t="shared" si="30"/>
        <v>0</v>
      </c>
      <c r="M17" s="10">
        <f t="shared" si="31"/>
        <v>0</v>
      </c>
      <c r="N17" s="1">
        <f t="shared" si="32"/>
        <v>27</v>
      </c>
      <c r="O17" s="1">
        <f t="shared" si="14"/>
        <v>0</v>
      </c>
      <c r="P17" s="1">
        <f t="shared" si="33"/>
        <v>63</v>
      </c>
      <c r="Q17" s="3" t="str">
        <f t="shared" si="0"/>
        <v xml:space="preserve"> ADC Value of Right Key (0 ~ 0x3FF) </v>
      </c>
      <c r="R17" s="11">
        <f t="shared" si="15"/>
        <v>16</v>
      </c>
      <c r="S17" s="11"/>
      <c r="T17" s="13" t="str">
        <f t="shared" si="16"/>
        <v>10</v>
      </c>
      <c r="U17" s="14" t="str">
        <f t="shared" si="1"/>
        <v>UpADC_LEVEL_R</v>
      </c>
      <c r="V17" s="13" t="str">
        <f t="shared" si="2"/>
        <v>2</v>
      </c>
      <c r="W17" s="13">
        <f t="shared" si="3"/>
        <v>0</v>
      </c>
      <c r="X17" s="14" t="str">
        <f t="shared" si="4"/>
        <v xml:space="preserve"> ADC Value of Right Key (0 ~ 0x3FF) </v>
      </c>
      <c r="Y17" s="1">
        <f t="shared" si="5"/>
        <v>1</v>
      </c>
      <c r="Z17" s="1">
        <f t="shared" si="6"/>
        <v>2</v>
      </c>
      <c r="AA17" s="1">
        <f t="shared" si="7"/>
        <v>0</v>
      </c>
      <c r="AB17" s="1">
        <f t="shared" si="8"/>
        <v>0</v>
      </c>
      <c r="AC17" s="10" t="e">
        <f t="shared" si="9"/>
        <v>#VALUE!</v>
      </c>
      <c r="AD17" s="1" t="e">
        <f t="shared" si="17"/>
        <v>#VALUE!</v>
      </c>
      <c r="AF17" s="3" t="e">
        <f t="shared" si="10"/>
        <v>#VALUE!</v>
      </c>
      <c r="AG17" s="5" t="str">
        <f t="shared" si="11"/>
        <v>UpADC_LEVEL_R)/* ADC Value of Right Key (0 ~ 0x3FF) *</v>
      </c>
      <c r="AH17" s="3">
        <f t="shared" si="12"/>
        <v>2</v>
      </c>
      <c r="AI17" s="3">
        <f t="shared" si="13"/>
        <v>0</v>
      </c>
      <c r="AJ17" s="7">
        <f t="shared" si="18"/>
        <v>1</v>
      </c>
      <c r="AK17" s="1" t="s">
        <v>25</v>
      </c>
      <c r="AL17" s="1">
        <v>18</v>
      </c>
      <c r="AM17" s="10">
        <f t="shared" si="21"/>
        <v>278</v>
      </c>
      <c r="AN17" s="1" t="str">
        <f t="shared" si="19"/>
        <v>116</v>
      </c>
      <c r="AO17" s="1" t="str">
        <f t="shared" si="20"/>
        <v>127</v>
      </c>
      <c r="AP17" s="1"/>
      <c r="AQ17" s="1"/>
      <c r="AR17" s="1"/>
      <c r="AS17" s="1"/>
      <c r="AT17" s="1"/>
    </row>
    <row r="18" spans="1:46" x14ac:dyDescent="0.3">
      <c r="A18" s="15" t="s">
        <v>217</v>
      </c>
      <c r="B18" s="1">
        <f t="shared" si="22"/>
        <v>8</v>
      </c>
      <c r="C18" s="1">
        <f t="shared" si="23"/>
        <v>9</v>
      </c>
      <c r="D18" s="10" t="str">
        <f t="shared" si="24"/>
        <v>1</v>
      </c>
      <c r="E18" s="1">
        <f t="shared" si="25"/>
        <v>11</v>
      </c>
      <c r="F18" s="1">
        <f t="shared" si="26"/>
        <v>0</v>
      </c>
      <c r="G18" s="1">
        <f t="shared" si="27"/>
        <v>23</v>
      </c>
      <c r="H18" s="1">
        <f t="shared" si="34"/>
        <v>23</v>
      </c>
      <c r="I18" s="10" t="str">
        <f t="shared" si="28"/>
        <v>UpAD_CHT_BIT</v>
      </c>
      <c r="J18" s="1">
        <f t="shared" si="35"/>
        <v>0</v>
      </c>
      <c r="K18" s="1">
        <f t="shared" si="29"/>
        <v>0</v>
      </c>
      <c r="L18" s="1" t="str">
        <f t="shared" si="30"/>
        <v>0</v>
      </c>
      <c r="M18" s="10">
        <f t="shared" si="31"/>
        <v>0</v>
      </c>
      <c r="N18" s="1">
        <f t="shared" si="32"/>
        <v>26</v>
      </c>
      <c r="O18" s="1">
        <f t="shared" si="14"/>
        <v>0</v>
      </c>
      <c r="P18" s="1">
        <f t="shared" si="33"/>
        <v>81</v>
      </c>
      <c r="Q18" s="3" t="str">
        <f t="shared" si="0"/>
        <v xml:space="preserve"> Number of bit for Chattering ADC Value of Key (1 ~ 8) </v>
      </c>
      <c r="R18" s="11">
        <f t="shared" si="15"/>
        <v>18</v>
      </c>
      <c r="S18" s="11"/>
      <c r="T18" s="13" t="str">
        <f t="shared" si="16"/>
        <v>12</v>
      </c>
      <c r="U18" s="14" t="str">
        <f t="shared" si="1"/>
        <v>UpAD_CHT_BIT</v>
      </c>
      <c r="V18" s="13" t="str">
        <f t="shared" si="2"/>
        <v>1</v>
      </c>
      <c r="W18" s="13">
        <f t="shared" si="3"/>
        <v>0</v>
      </c>
      <c r="X18" s="14" t="str">
        <f t="shared" si="4"/>
        <v xml:space="preserve"> Number of bit for Chattering ADC Value of Key (1 ~ 8) </v>
      </c>
      <c r="Y18" s="1">
        <f t="shared" si="5"/>
        <v>1</v>
      </c>
      <c r="Z18" s="1">
        <f t="shared" si="6"/>
        <v>1</v>
      </c>
      <c r="AA18" s="1">
        <f t="shared" si="7"/>
        <v>0</v>
      </c>
      <c r="AB18" s="1">
        <f t="shared" si="8"/>
        <v>0</v>
      </c>
      <c r="AC18" s="10" t="e">
        <f t="shared" si="9"/>
        <v>#VALUE!</v>
      </c>
      <c r="AD18" s="1" t="e">
        <f t="shared" si="17"/>
        <v>#VALUE!</v>
      </c>
      <c r="AF18" s="3" t="e">
        <f t="shared" si="10"/>
        <v>#VALUE!</v>
      </c>
      <c r="AG18" s="5" t="str">
        <f t="shared" si="11"/>
        <v>UpAD_CHT_BIT)/* Number of bit for Chattering ADC Value of Key (1 ~ 8) *</v>
      </c>
      <c r="AH18" s="3">
        <f t="shared" si="12"/>
        <v>1</v>
      </c>
      <c r="AI18" s="3">
        <f t="shared" si="13"/>
        <v>0</v>
      </c>
      <c r="AJ18" s="7">
        <f t="shared" si="18"/>
        <v>1</v>
      </c>
      <c r="AK18" s="1" t="s">
        <v>26</v>
      </c>
      <c r="AL18" s="1">
        <v>8</v>
      </c>
      <c r="AM18" s="10">
        <f t="shared" si="21"/>
        <v>296</v>
      </c>
      <c r="AN18" s="1" t="str">
        <f t="shared" si="19"/>
        <v>128</v>
      </c>
      <c r="AO18" s="1" t="str">
        <f t="shared" si="20"/>
        <v>12F</v>
      </c>
      <c r="AP18" s="1"/>
      <c r="AQ18" s="1"/>
      <c r="AR18" s="1"/>
      <c r="AS18" s="1"/>
      <c r="AT18" s="1"/>
    </row>
    <row r="19" spans="1:46" x14ac:dyDescent="0.3">
      <c r="A19" s="15" t="s">
        <v>36</v>
      </c>
      <c r="B19" s="1">
        <f t="shared" si="22"/>
        <v>0</v>
      </c>
      <c r="C19" s="1">
        <f t="shared" si="23"/>
        <v>0</v>
      </c>
      <c r="D19" s="10">
        <f t="shared" si="24"/>
        <v>0</v>
      </c>
      <c r="E19" s="1">
        <f t="shared" si="25"/>
        <v>0</v>
      </c>
      <c r="F19" s="1">
        <f t="shared" si="26"/>
        <v>0</v>
      </c>
      <c r="G19" s="1">
        <f t="shared" si="27"/>
        <v>0</v>
      </c>
      <c r="H19" s="1">
        <f t="shared" si="34"/>
        <v>0</v>
      </c>
      <c r="I19" s="10">
        <f t="shared" si="28"/>
        <v>0</v>
      </c>
      <c r="J19" s="1">
        <f t="shared" si="35"/>
        <v>0</v>
      </c>
      <c r="K19" s="1">
        <f t="shared" si="29"/>
        <v>0</v>
      </c>
      <c r="L19" s="1" t="str">
        <f t="shared" si="30"/>
        <v>0</v>
      </c>
      <c r="M19" s="10">
        <f t="shared" si="31"/>
        <v>0</v>
      </c>
      <c r="N19" s="1">
        <f t="shared" si="32"/>
        <v>3</v>
      </c>
      <c r="O19" s="1">
        <f t="shared" si="14"/>
        <v>0</v>
      </c>
      <c r="P19" s="1">
        <f t="shared" si="33"/>
        <v>38</v>
      </c>
      <c r="Q19" s="3" t="str">
        <f t="shared" si="0"/>
        <v>---------------　TDN　---------------</v>
      </c>
      <c r="R19" s="11">
        <f t="shared" si="15"/>
        <v>19</v>
      </c>
      <c r="S19" s="11"/>
      <c r="T19" s="13" t="str">
        <f t="shared" si="16"/>
        <v>*</v>
      </c>
      <c r="U19" s="14" t="str">
        <f t="shared" si="1"/>
        <v>---------------　TDN　---------------</v>
      </c>
      <c r="V19" s="13">
        <f t="shared" si="2"/>
        <v>1</v>
      </c>
      <c r="W19" s="13">
        <f t="shared" si="3"/>
        <v>0</v>
      </c>
      <c r="X19" s="14" t="str">
        <f t="shared" si="4"/>
        <v>-</v>
      </c>
      <c r="Y19" s="1">
        <f t="shared" si="5"/>
        <v>0</v>
      </c>
      <c r="Z19" s="1">
        <f t="shared" si="6"/>
        <v>1</v>
      </c>
      <c r="AA19" s="1">
        <f t="shared" si="7"/>
        <v>0</v>
      </c>
      <c r="AB19" s="1">
        <f t="shared" si="8"/>
        <v>0</v>
      </c>
      <c r="AC19" s="10" t="e">
        <f t="shared" si="9"/>
        <v>#VALUE!</v>
      </c>
      <c r="AD19" s="1" t="e">
        <f t="shared" si="17"/>
        <v>#VALUE!</v>
      </c>
      <c r="AF19" s="3" t="str">
        <f t="shared" si="10"/>
        <v>0</v>
      </c>
      <c r="AG19" s="5" t="str">
        <f t="shared" si="11"/>
        <v>---------------　TDN　---------------</v>
      </c>
      <c r="AH19" s="3" t="str">
        <f t="shared" si="12"/>
        <v>1</v>
      </c>
      <c r="AI19" s="3" t="str">
        <f t="shared" si="13"/>
        <v>0</v>
      </c>
      <c r="AJ19" s="7">
        <f t="shared" si="18"/>
        <v>1</v>
      </c>
      <c r="AK19" s="1" t="s">
        <v>27</v>
      </c>
      <c r="AL19" s="1">
        <v>0</v>
      </c>
      <c r="AM19" s="11">
        <f t="shared" si="21"/>
        <v>304</v>
      </c>
      <c r="AN19" s="1" t="str">
        <f t="shared" si="19"/>
        <v>130</v>
      </c>
      <c r="AO19" s="1" t="str">
        <f t="shared" si="20"/>
        <v>12F</v>
      </c>
      <c r="AP19" s="1"/>
      <c r="AQ19" s="1"/>
      <c r="AR19" s="1"/>
      <c r="AS19" s="1"/>
      <c r="AT19" s="1"/>
    </row>
    <row r="20" spans="1:46" x14ac:dyDescent="0.3">
      <c r="A20" s="15" t="s">
        <v>158</v>
      </c>
      <c r="B20" s="1">
        <f t="shared" si="22"/>
        <v>8</v>
      </c>
      <c r="C20" s="1">
        <f t="shared" si="23"/>
        <v>9</v>
      </c>
      <c r="D20" s="10" t="str">
        <f t="shared" si="24"/>
        <v>1</v>
      </c>
      <c r="E20" s="1">
        <f t="shared" si="25"/>
        <v>11</v>
      </c>
      <c r="F20" s="1">
        <f t="shared" si="26"/>
        <v>31</v>
      </c>
      <c r="G20" s="1">
        <f t="shared" si="27"/>
        <v>35</v>
      </c>
      <c r="H20" s="1">
        <f t="shared" si="34"/>
        <v>31</v>
      </c>
      <c r="I20" s="10" t="str">
        <f t="shared" si="28"/>
        <v>UpTDN_EXTN_THRS_STEP</v>
      </c>
      <c r="J20" s="1">
        <f t="shared" si="35"/>
        <v>33</v>
      </c>
      <c r="K20" s="1" t="str">
        <f t="shared" si="29"/>
        <v>30</v>
      </c>
      <c r="L20" s="1" t="str">
        <f t="shared" si="30"/>
        <v>1E</v>
      </c>
      <c r="M20" s="10">
        <f t="shared" si="31"/>
        <v>30</v>
      </c>
      <c r="N20" s="1">
        <f t="shared" si="32"/>
        <v>38</v>
      </c>
      <c r="O20" s="1">
        <f t="shared" si="14"/>
        <v>0</v>
      </c>
      <c r="P20" s="1">
        <f t="shared" si="33"/>
        <v>112</v>
      </c>
      <c r="Q20" s="3" t="str">
        <f t="shared" si="0"/>
        <v xml:space="preserve"> ADC Value unit per one step of THRES in DAY&amp;NIGHT-EXTERN Menu (1 ~ 0x64) </v>
      </c>
      <c r="R20" s="11">
        <f t="shared" si="15"/>
        <v>30</v>
      </c>
      <c r="S20" s="11"/>
      <c r="T20" s="13" t="str">
        <f t="shared" si="16"/>
        <v>1E</v>
      </c>
      <c r="U20" s="14" t="str">
        <f t="shared" si="1"/>
        <v>UpTDN_EXTN_THRS_STEP</v>
      </c>
      <c r="V20" s="13" t="str">
        <f t="shared" si="2"/>
        <v>1</v>
      </c>
      <c r="W20" s="13">
        <f t="shared" si="3"/>
        <v>0</v>
      </c>
      <c r="X20" s="14" t="str">
        <f t="shared" si="4"/>
        <v xml:space="preserve"> ADC Value unit per one step of THRES in DAY&amp;NIGHT-EXTERN Menu (1 ~ 0x64) </v>
      </c>
      <c r="Y20" s="1">
        <f t="shared" si="5"/>
        <v>1</v>
      </c>
      <c r="Z20" s="1">
        <f t="shared" si="6"/>
        <v>1</v>
      </c>
      <c r="AA20" s="1">
        <f t="shared" si="7"/>
        <v>33</v>
      </c>
      <c r="AB20" s="1" t="str">
        <f t="shared" si="8"/>
        <v>30)/* ADC Value unit per one step of THRES in DAY&amp;NIGHT-EXTERN Menu (1 ~ 0x64) *</v>
      </c>
      <c r="AC20" s="10" t="str">
        <f t="shared" si="9"/>
        <v>30)/* ADC Value unit per one step of THRES in DAY&amp;NIGHT-EXTERN Menu (1 ~ 0x64) *</v>
      </c>
      <c r="AD20" s="1" t="e">
        <f t="shared" si="17"/>
        <v>#VALUE!</v>
      </c>
      <c r="AF20" s="3" t="e">
        <f t="shared" si="10"/>
        <v>#VALUE!</v>
      </c>
      <c r="AG20" s="5" t="str">
        <f t="shared" si="11"/>
        <v>UpTDN_EXTN_THRS_STEP</v>
      </c>
      <c r="AH20" s="3">
        <f t="shared" si="12"/>
        <v>1</v>
      </c>
      <c r="AI20" s="3">
        <f t="shared" si="13"/>
        <v>0</v>
      </c>
      <c r="AJ20" s="7">
        <f t="shared" si="18"/>
        <v>1</v>
      </c>
      <c r="AK20" s="1" t="s">
        <v>28</v>
      </c>
      <c r="AL20" s="1">
        <v>0</v>
      </c>
      <c r="AM20" s="11">
        <f t="shared" si="21"/>
        <v>304</v>
      </c>
      <c r="AN20" s="1" t="str">
        <f t="shared" si="19"/>
        <v>130</v>
      </c>
      <c r="AO20" s="1" t="str">
        <f t="shared" si="20"/>
        <v>12F</v>
      </c>
      <c r="AP20" s="1"/>
      <c r="AQ20" s="1"/>
      <c r="AR20" s="1"/>
      <c r="AS20" s="1"/>
      <c r="AT20" s="1"/>
    </row>
    <row r="21" spans="1:46" x14ac:dyDescent="0.3">
      <c r="A21" s="15" t="s">
        <v>54</v>
      </c>
      <c r="B21" s="1">
        <f t="shared" si="22"/>
        <v>8</v>
      </c>
      <c r="C21" s="1">
        <f t="shared" si="23"/>
        <v>9</v>
      </c>
      <c r="D21" s="10" t="str">
        <f t="shared" si="24"/>
        <v>1</v>
      </c>
      <c r="E21" s="1">
        <f t="shared" si="25"/>
        <v>11</v>
      </c>
      <c r="F21" s="1">
        <f t="shared" si="26"/>
        <v>0</v>
      </c>
      <c r="G21" s="1">
        <f t="shared" si="27"/>
        <v>31</v>
      </c>
      <c r="H21" s="1">
        <f t="shared" si="34"/>
        <v>31</v>
      </c>
      <c r="I21" s="10" t="str">
        <f t="shared" si="28"/>
        <v>UpTDN_AUTO_THRS_STEP</v>
      </c>
      <c r="J21" s="1">
        <f t="shared" si="35"/>
        <v>0</v>
      </c>
      <c r="K21" s="1">
        <f t="shared" si="29"/>
        <v>0</v>
      </c>
      <c r="L21" s="1" t="str">
        <f t="shared" si="30"/>
        <v>0</v>
      </c>
      <c r="M21" s="10">
        <f t="shared" si="31"/>
        <v>0</v>
      </c>
      <c r="N21" s="1">
        <f t="shared" si="32"/>
        <v>34</v>
      </c>
      <c r="O21" s="1">
        <f t="shared" si="14"/>
        <v>0</v>
      </c>
      <c r="P21" s="1">
        <f t="shared" si="33"/>
        <v>106</v>
      </c>
      <c r="Q21" s="3" t="str">
        <f t="shared" si="0"/>
        <v xml:space="preserve"> AGC Value unit per one step of THRES in DAY&amp;NIGHT-AUTO Menu (1 ~ 0x64) </v>
      </c>
      <c r="R21" s="11">
        <f t="shared" si="15"/>
        <v>31</v>
      </c>
      <c r="S21" s="11"/>
      <c r="T21" s="13" t="str">
        <f t="shared" si="16"/>
        <v>1F</v>
      </c>
      <c r="U21" s="14" t="str">
        <f t="shared" si="1"/>
        <v>UpTDN_AUTO_THRS_STEP</v>
      </c>
      <c r="V21" s="13" t="str">
        <f t="shared" si="2"/>
        <v>1</v>
      </c>
      <c r="W21" s="13">
        <f t="shared" si="3"/>
        <v>0</v>
      </c>
      <c r="X21" s="14" t="str">
        <f t="shared" si="4"/>
        <v xml:space="preserve"> AGC Value unit per one step of THRES in DAY&amp;NIGHT-AUTO Menu (1 ~ 0x64) </v>
      </c>
      <c r="Y21" s="1">
        <f t="shared" si="5"/>
        <v>1</v>
      </c>
      <c r="Z21" s="1">
        <f t="shared" si="6"/>
        <v>1</v>
      </c>
      <c r="AA21" s="1">
        <f t="shared" si="7"/>
        <v>0</v>
      </c>
      <c r="AB21" s="1">
        <f t="shared" si="8"/>
        <v>0</v>
      </c>
      <c r="AC21" s="10" t="e">
        <f t="shared" si="9"/>
        <v>#VALUE!</v>
      </c>
      <c r="AD21" s="1" t="e">
        <f t="shared" si="17"/>
        <v>#VALUE!</v>
      </c>
      <c r="AF21" s="3" t="e">
        <f t="shared" si="10"/>
        <v>#VALUE!</v>
      </c>
      <c r="AG21" s="5" t="str">
        <f t="shared" si="11"/>
        <v>UpTDN_AUTO_THRS_STEP)/* AGC Value unit per one step of THRES in DAY&amp;NIGHT-AUTO Menu (1 ~ 0x64) *</v>
      </c>
      <c r="AH21" s="3">
        <f t="shared" si="12"/>
        <v>1</v>
      </c>
      <c r="AI21" s="3">
        <f t="shared" si="13"/>
        <v>0</v>
      </c>
      <c r="AJ21" s="7">
        <f t="shared" si="18"/>
        <v>1</v>
      </c>
      <c r="AK21" s="1" t="s">
        <v>29</v>
      </c>
      <c r="AL21" s="1">
        <v>8</v>
      </c>
      <c r="AM21" s="10">
        <f t="shared" si="21"/>
        <v>304</v>
      </c>
      <c r="AN21" s="1" t="str">
        <f t="shared" si="19"/>
        <v>130</v>
      </c>
      <c r="AO21" s="1" t="str">
        <f t="shared" si="20"/>
        <v>137</v>
      </c>
      <c r="AP21" s="1"/>
      <c r="AQ21" s="1"/>
      <c r="AR21" s="1"/>
      <c r="AS21" s="1"/>
      <c r="AT21" s="1"/>
    </row>
    <row r="22" spans="1:46" x14ac:dyDescent="0.3">
      <c r="A22" s="15" t="s">
        <v>49</v>
      </c>
      <c r="B22" s="1">
        <f t="shared" si="22"/>
        <v>8</v>
      </c>
      <c r="C22" s="1">
        <f t="shared" si="23"/>
        <v>9</v>
      </c>
      <c r="D22" s="10" t="str">
        <f t="shared" si="24"/>
        <v>2</v>
      </c>
      <c r="E22" s="1">
        <f t="shared" si="25"/>
        <v>11</v>
      </c>
      <c r="F22" s="1">
        <f t="shared" si="26"/>
        <v>56</v>
      </c>
      <c r="G22" s="1">
        <f t="shared" si="27"/>
        <v>24</v>
      </c>
      <c r="H22" s="1">
        <f t="shared" si="34"/>
        <v>24</v>
      </c>
      <c r="I22" s="10" t="str">
        <f t="shared" si="28"/>
        <v>UpTDN_DLY_LOW</v>
      </c>
      <c r="J22" s="1">
        <f t="shared" si="35"/>
        <v>0</v>
      </c>
      <c r="K22" s="1">
        <f t="shared" si="29"/>
        <v>0</v>
      </c>
      <c r="L22" s="1" t="str">
        <f t="shared" si="30"/>
        <v>0</v>
      </c>
      <c r="M22" s="10">
        <f t="shared" si="31"/>
        <v>0</v>
      </c>
      <c r="N22" s="1">
        <f t="shared" si="32"/>
        <v>27</v>
      </c>
      <c r="O22" s="1">
        <f t="shared" si="14"/>
        <v>0</v>
      </c>
      <c r="P22" s="1">
        <f t="shared" si="33"/>
        <v>85</v>
      </c>
      <c r="Q22" s="3" t="str">
        <f t="shared" si="0"/>
        <v xml:space="preserve"> TDN low delay time (1000-&gt;1s, 2000-&gt;2s, ..., 20000-&gt;20s) </v>
      </c>
      <c r="R22" s="11">
        <f t="shared" si="15"/>
        <v>32</v>
      </c>
      <c r="S22" s="11"/>
      <c r="T22" s="13" t="str">
        <f t="shared" si="16"/>
        <v>20</v>
      </c>
      <c r="U22" s="14" t="str">
        <f t="shared" si="1"/>
        <v>UpTDN_DLY_LOW</v>
      </c>
      <c r="V22" s="13" t="str">
        <f t="shared" si="2"/>
        <v>2</v>
      </c>
      <c r="W22" s="13">
        <f t="shared" si="3"/>
        <v>0</v>
      </c>
      <c r="X22" s="14" t="str">
        <f t="shared" si="4"/>
        <v xml:space="preserve"> TDN low delay time (1000-&gt;1s, 2000-&gt;2s, ..., 20000-&gt;20s) </v>
      </c>
      <c r="Y22" s="1">
        <f t="shared" si="5"/>
        <v>1</v>
      </c>
      <c r="Z22" s="1">
        <f t="shared" si="6"/>
        <v>2</v>
      </c>
      <c r="AA22" s="1">
        <f t="shared" si="7"/>
        <v>0</v>
      </c>
      <c r="AB22" s="1">
        <f t="shared" si="8"/>
        <v>0</v>
      </c>
      <c r="AC22" s="10" t="e">
        <f t="shared" si="9"/>
        <v>#VALUE!</v>
      </c>
      <c r="AD22" s="1" t="e">
        <f t="shared" si="17"/>
        <v>#VALUE!</v>
      </c>
      <c r="AF22" s="3" t="e">
        <f t="shared" si="10"/>
        <v>#VALUE!</v>
      </c>
      <c r="AG22" s="5" t="str">
        <f t="shared" si="11"/>
        <v>UpTDN_DLY_LOW)/* TDN low delay time (1000-&gt;1s, 2000-&gt;2s, ..., 20000-&gt;20s) *</v>
      </c>
      <c r="AH22" s="3">
        <f t="shared" si="12"/>
        <v>2</v>
      </c>
      <c r="AI22" s="3">
        <f t="shared" si="13"/>
        <v>0</v>
      </c>
      <c r="AJ22" s="7">
        <f t="shared" si="18"/>
        <v>1</v>
      </c>
      <c r="AK22" s="1" t="s">
        <v>30</v>
      </c>
      <c r="AL22" s="1">
        <v>4</v>
      </c>
      <c r="AM22" s="10">
        <f t="shared" si="21"/>
        <v>312</v>
      </c>
      <c r="AN22" s="1" t="str">
        <f t="shared" si="19"/>
        <v>138</v>
      </c>
      <c r="AO22" s="1" t="str">
        <f>DEC2HEX(AM23-1)</f>
        <v>13B</v>
      </c>
      <c r="AP22" s="1"/>
      <c r="AQ22" s="1"/>
      <c r="AR22" s="1"/>
      <c r="AS22" s="1"/>
      <c r="AT22" s="1"/>
    </row>
    <row r="23" spans="1:46" x14ac:dyDescent="0.3">
      <c r="A23" s="15" t="s">
        <v>50</v>
      </c>
      <c r="B23" s="1">
        <f t="shared" si="22"/>
        <v>8</v>
      </c>
      <c r="C23" s="1">
        <f t="shared" si="23"/>
        <v>9</v>
      </c>
      <c r="D23" s="10" t="str">
        <f t="shared" si="24"/>
        <v>2</v>
      </c>
      <c r="E23" s="1">
        <f t="shared" si="25"/>
        <v>11</v>
      </c>
      <c r="F23" s="1">
        <f t="shared" si="26"/>
        <v>62</v>
      </c>
      <c r="G23" s="1">
        <f t="shared" si="27"/>
        <v>27</v>
      </c>
      <c r="H23" s="1">
        <f t="shared" si="34"/>
        <v>27</v>
      </c>
      <c r="I23" s="10" t="str">
        <f t="shared" si="28"/>
        <v>UpTDN_DLY_MIDDLE</v>
      </c>
      <c r="J23" s="1">
        <f t="shared" si="35"/>
        <v>0</v>
      </c>
      <c r="K23" s="1">
        <f t="shared" si="29"/>
        <v>0</v>
      </c>
      <c r="L23" s="1" t="str">
        <f t="shared" si="30"/>
        <v>0</v>
      </c>
      <c r="M23" s="10">
        <f t="shared" si="31"/>
        <v>0</v>
      </c>
      <c r="N23" s="1">
        <f t="shared" si="32"/>
        <v>30</v>
      </c>
      <c r="O23" s="1">
        <f t="shared" si="14"/>
        <v>0</v>
      </c>
      <c r="P23" s="1">
        <f t="shared" si="33"/>
        <v>91</v>
      </c>
      <c r="Q23" s="3" t="str">
        <f t="shared" si="0"/>
        <v xml:space="preserve"> TDN middle delay time (1000-&gt;1s, 2000-&gt;2s, ..., 20000-&gt;20s) </v>
      </c>
      <c r="R23" s="11">
        <f t="shared" si="15"/>
        <v>34</v>
      </c>
      <c r="S23" s="11"/>
      <c r="T23" s="13" t="str">
        <f t="shared" si="16"/>
        <v>22</v>
      </c>
      <c r="U23" s="14" t="str">
        <f t="shared" si="1"/>
        <v>UpTDN_DLY_MIDDLE</v>
      </c>
      <c r="V23" s="13" t="str">
        <f t="shared" si="2"/>
        <v>2</v>
      </c>
      <c r="W23" s="13">
        <f t="shared" si="3"/>
        <v>0</v>
      </c>
      <c r="X23" s="14" t="str">
        <f t="shared" si="4"/>
        <v xml:space="preserve"> TDN middle delay time (1000-&gt;1s, 2000-&gt;2s, ..., 20000-&gt;20s) </v>
      </c>
      <c r="Y23" s="1">
        <f t="shared" si="5"/>
        <v>1</v>
      </c>
      <c r="Z23" s="1">
        <f t="shared" si="6"/>
        <v>2</v>
      </c>
      <c r="AA23" s="1">
        <f t="shared" si="7"/>
        <v>0</v>
      </c>
      <c r="AB23" s="1">
        <f t="shared" si="8"/>
        <v>0</v>
      </c>
      <c r="AC23" s="10" t="e">
        <f t="shared" si="9"/>
        <v>#VALUE!</v>
      </c>
      <c r="AD23" s="1" t="e">
        <f t="shared" si="17"/>
        <v>#VALUE!</v>
      </c>
      <c r="AF23" s="3" t="e">
        <f t="shared" si="10"/>
        <v>#VALUE!</v>
      </c>
      <c r="AG23" s="5" t="str">
        <f t="shared" si="11"/>
        <v>UpTDN_DLY_MIDDLE)/* TDN middle delay time (1000-&gt;1s, 2000-&gt;2s, ..., 20000-&gt;20s) *</v>
      </c>
      <c r="AH23" s="3">
        <f t="shared" si="12"/>
        <v>2</v>
      </c>
      <c r="AI23" s="3">
        <f t="shared" si="13"/>
        <v>0</v>
      </c>
      <c r="AJ23" s="7">
        <f t="shared" si="18"/>
        <v>1</v>
      </c>
      <c r="AK23" s="1" t="s">
        <v>38</v>
      </c>
      <c r="AL23" s="1">
        <v>0</v>
      </c>
      <c r="AM23" s="11">
        <f>AM22+AL22</f>
        <v>316</v>
      </c>
      <c r="AN23" s="1" t="str">
        <f>DEC2HEX(AM23)</f>
        <v>13C</v>
      </c>
      <c r="AO23" s="1" t="str">
        <f>DEC2HEX(AM24-1)</f>
        <v>3DF</v>
      </c>
      <c r="AP23" s="1"/>
      <c r="AQ23" s="1"/>
      <c r="AR23" s="1"/>
      <c r="AS23" s="1"/>
      <c r="AT23" s="1"/>
    </row>
    <row r="24" spans="1:46" x14ac:dyDescent="0.3">
      <c r="A24" s="15" t="s">
        <v>51</v>
      </c>
      <c r="B24" s="1">
        <f t="shared" si="22"/>
        <v>8</v>
      </c>
      <c r="C24" s="1">
        <f t="shared" si="23"/>
        <v>9</v>
      </c>
      <c r="D24" s="10" t="str">
        <f t="shared" si="24"/>
        <v>2</v>
      </c>
      <c r="E24" s="1">
        <f t="shared" si="25"/>
        <v>11</v>
      </c>
      <c r="F24" s="1">
        <f t="shared" si="26"/>
        <v>58</v>
      </c>
      <c r="G24" s="1">
        <f t="shared" si="27"/>
        <v>25</v>
      </c>
      <c r="H24" s="1">
        <f t="shared" si="34"/>
        <v>25</v>
      </c>
      <c r="I24" s="10" t="str">
        <f t="shared" si="28"/>
        <v>UpTDN_DLY_HIGH</v>
      </c>
      <c r="J24" s="1">
        <f t="shared" si="35"/>
        <v>0</v>
      </c>
      <c r="K24" s="1">
        <f t="shared" si="29"/>
        <v>0</v>
      </c>
      <c r="L24" s="1" t="str">
        <f t="shared" si="30"/>
        <v>0</v>
      </c>
      <c r="M24" s="10">
        <f t="shared" si="31"/>
        <v>0</v>
      </c>
      <c r="N24" s="1">
        <f t="shared" si="32"/>
        <v>28</v>
      </c>
      <c r="O24" s="1">
        <f t="shared" si="14"/>
        <v>0</v>
      </c>
      <c r="P24" s="1">
        <f t="shared" si="33"/>
        <v>87</v>
      </c>
      <c r="Q24" s="3" t="str">
        <f t="shared" si="0"/>
        <v xml:space="preserve"> TDN high delay time (1000-&gt;1s, 2000-&gt;2s, ..., 20000-&gt;20s) </v>
      </c>
      <c r="R24" s="11">
        <f t="shared" si="15"/>
        <v>36</v>
      </c>
      <c r="S24" s="11"/>
      <c r="T24" s="13" t="str">
        <f t="shared" si="16"/>
        <v>24</v>
      </c>
      <c r="U24" s="14" t="str">
        <f t="shared" si="1"/>
        <v>UpTDN_DLY_HIGH</v>
      </c>
      <c r="V24" s="13" t="str">
        <f t="shared" si="2"/>
        <v>2</v>
      </c>
      <c r="W24" s="13">
        <f t="shared" si="3"/>
        <v>0</v>
      </c>
      <c r="X24" s="14" t="str">
        <f t="shared" si="4"/>
        <v xml:space="preserve"> TDN high delay time (1000-&gt;1s, 2000-&gt;2s, ..., 20000-&gt;20s) </v>
      </c>
      <c r="Y24" s="1">
        <f t="shared" si="5"/>
        <v>1</v>
      </c>
      <c r="Z24" s="1">
        <f t="shared" si="6"/>
        <v>2</v>
      </c>
      <c r="AA24" s="1">
        <f t="shared" si="7"/>
        <v>0</v>
      </c>
      <c r="AB24" s="1">
        <f t="shared" si="8"/>
        <v>0</v>
      </c>
      <c r="AC24" s="10" t="e">
        <f t="shared" si="9"/>
        <v>#VALUE!</v>
      </c>
      <c r="AD24" s="1" t="e">
        <f t="shared" si="17"/>
        <v>#VALUE!</v>
      </c>
      <c r="AF24" s="3" t="e">
        <f t="shared" si="10"/>
        <v>#VALUE!</v>
      </c>
      <c r="AG24" s="5" t="str">
        <f t="shared" si="11"/>
        <v>UpTDN_DLY_HIGH)/* TDN high delay time (1000-&gt;1s, 2000-&gt;2s, ..., 20000-&gt;20s) *</v>
      </c>
      <c r="AH24" s="3">
        <f t="shared" si="12"/>
        <v>2</v>
      </c>
      <c r="AI24" s="3">
        <f t="shared" si="13"/>
        <v>0</v>
      </c>
      <c r="AJ24" s="7">
        <f t="shared" si="18"/>
        <v>1</v>
      </c>
      <c r="AK24" s="1" t="s">
        <v>32</v>
      </c>
      <c r="AL24" s="1">
        <f>1*32</f>
        <v>32</v>
      </c>
      <c r="AM24" s="10">
        <f>AM25-AL24</f>
        <v>992</v>
      </c>
      <c r="AN24" s="1" t="str">
        <f>DEC2HEX(AM24)</f>
        <v>3E0</v>
      </c>
      <c r="AO24" s="1" t="str">
        <f>DEC2HEX(AM25-1)</f>
        <v>3FF</v>
      </c>
      <c r="AP24" s="1"/>
      <c r="AQ24" s="1"/>
      <c r="AR24" s="1"/>
      <c r="AS24" s="1"/>
      <c r="AT24" s="1"/>
    </row>
    <row r="25" spans="1:46" x14ac:dyDescent="0.3">
      <c r="A25" s="15" t="s">
        <v>3</v>
      </c>
      <c r="B25" s="1">
        <f t="shared" si="22"/>
        <v>0</v>
      </c>
      <c r="C25" s="1">
        <f t="shared" si="23"/>
        <v>0</v>
      </c>
      <c r="D25" s="10">
        <f t="shared" si="24"/>
        <v>0</v>
      </c>
      <c r="E25" s="1">
        <f t="shared" si="25"/>
        <v>0</v>
      </c>
      <c r="F25" s="1">
        <f t="shared" si="26"/>
        <v>0</v>
      </c>
      <c r="G25" s="1">
        <f t="shared" si="27"/>
        <v>0</v>
      </c>
      <c r="H25" s="1">
        <f t="shared" si="34"/>
        <v>0</v>
      </c>
      <c r="I25" s="10">
        <f t="shared" si="28"/>
        <v>0</v>
      </c>
      <c r="J25" s="1">
        <f t="shared" si="35"/>
        <v>0</v>
      </c>
      <c r="K25" s="1">
        <f t="shared" si="29"/>
        <v>0</v>
      </c>
      <c r="L25" s="1" t="str">
        <f t="shared" si="30"/>
        <v>0</v>
      </c>
      <c r="M25" s="10">
        <f t="shared" si="31"/>
        <v>0</v>
      </c>
      <c r="N25" s="1">
        <f t="shared" si="32"/>
        <v>3</v>
      </c>
      <c r="O25" s="1">
        <f t="shared" si="14"/>
        <v>0</v>
      </c>
      <c r="P25" s="1">
        <f>IFERROR(FIND("*/",$A25,N25+1),0)</f>
        <v>37</v>
      </c>
      <c r="Q25" s="3" t="str">
        <f t="shared" si="0"/>
        <v>---------------　AE　---------------</v>
      </c>
      <c r="R25" s="11">
        <f t="shared" si="15"/>
        <v>38</v>
      </c>
      <c r="S25" s="11"/>
      <c r="T25" s="13" t="str">
        <f t="shared" si="16"/>
        <v>*</v>
      </c>
      <c r="U25" s="14" t="str">
        <f t="shared" si="1"/>
        <v>---------------　AE　---------------</v>
      </c>
      <c r="V25" s="13">
        <f t="shared" si="2"/>
        <v>1</v>
      </c>
      <c r="W25" s="13">
        <f t="shared" si="3"/>
        <v>0</v>
      </c>
      <c r="X25" s="14" t="str">
        <f t="shared" si="4"/>
        <v>-</v>
      </c>
      <c r="Y25" s="1">
        <f t="shared" si="5"/>
        <v>0</v>
      </c>
      <c r="Z25" s="1">
        <f t="shared" si="6"/>
        <v>2</v>
      </c>
      <c r="AA25" s="1">
        <f t="shared" si="7"/>
        <v>0</v>
      </c>
      <c r="AB25" s="1">
        <f t="shared" si="8"/>
        <v>0</v>
      </c>
      <c r="AC25" s="10" t="e">
        <f t="shared" si="9"/>
        <v>#VALUE!</v>
      </c>
      <c r="AD25" s="1" t="e">
        <f t="shared" si="17"/>
        <v>#VALUE!</v>
      </c>
      <c r="AF25" s="3" t="str">
        <f t="shared" si="10"/>
        <v>0</v>
      </c>
      <c r="AG25" s="5" t="str">
        <f t="shared" si="11"/>
        <v>---------------　AE　---------------</v>
      </c>
      <c r="AH25" s="3" t="str">
        <f t="shared" si="12"/>
        <v>1</v>
      </c>
      <c r="AI25" s="3" t="str">
        <f t="shared" si="13"/>
        <v>0</v>
      </c>
      <c r="AJ25" s="7">
        <f t="shared" si="18"/>
        <v>1</v>
      </c>
      <c r="AK25" s="1" t="s">
        <v>33</v>
      </c>
      <c r="AL25" s="1"/>
      <c r="AM25" s="11">
        <f>HEX2DEC(T1)</f>
        <v>1024</v>
      </c>
      <c r="AN25" s="1" t="str">
        <f>DEC2HEX(AM25)</f>
        <v>400</v>
      </c>
      <c r="AO25" s="1"/>
      <c r="AP25" s="1"/>
      <c r="AQ25" s="1"/>
      <c r="AR25" s="1"/>
      <c r="AS25" s="1"/>
      <c r="AT25" s="1"/>
    </row>
    <row r="26" spans="1:46" x14ac:dyDescent="0.3">
      <c r="A26" s="15" t="s">
        <v>140</v>
      </c>
      <c r="B26" s="1">
        <f t="shared" si="22"/>
        <v>0</v>
      </c>
      <c r="C26" s="1">
        <f t="shared" si="23"/>
        <v>0</v>
      </c>
      <c r="D26" s="10">
        <f t="shared" si="24"/>
        <v>0</v>
      </c>
      <c r="E26" s="1">
        <f t="shared" si="25"/>
        <v>0</v>
      </c>
      <c r="F26" s="1">
        <f t="shared" si="26"/>
        <v>0</v>
      </c>
      <c r="G26" s="1">
        <f t="shared" si="27"/>
        <v>0</v>
      </c>
      <c r="H26" s="1">
        <f t="shared" si="34"/>
        <v>0</v>
      </c>
      <c r="I26" s="10">
        <f t="shared" si="28"/>
        <v>0</v>
      </c>
      <c r="J26" s="1">
        <f t="shared" si="35"/>
        <v>0</v>
      </c>
      <c r="K26" s="1">
        <f t="shared" si="29"/>
        <v>0</v>
      </c>
      <c r="L26" s="1" t="str">
        <f t="shared" si="30"/>
        <v>0</v>
      </c>
      <c r="M26" s="10">
        <f t="shared" si="31"/>
        <v>0</v>
      </c>
      <c r="N26" s="1">
        <f t="shared" si="32"/>
        <v>3</v>
      </c>
      <c r="O26" s="1">
        <f t="shared" si="14"/>
        <v>1</v>
      </c>
      <c r="P26" s="1">
        <f>IFERROR(FIND("*/",$A26,N26+1),0)</f>
        <v>13</v>
      </c>
      <c r="Q26" s="3" t="str">
        <f t="shared" si="0"/>
        <v>AE_WINDOW</v>
      </c>
      <c r="R26" s="11">
        <f t="shared" si="15"/>
        <v>38</v>
      </c>
      <c r="S26" s="11"/>
      <c r="T26" s="13" t="str">
        <f t="shared" si="16"/>
        <v>#</v>
      </c>
      <c r="U26" s="14" t="str">
        <f t="shared" si="1"/>
        <v>AE_WINDOW</v>
      </c>
      <c r="V26" s="13">
        <f t="shared" si="2"/>
        <v>1</v>
      </c>
      <c r="W26" s="13">
        <f t="shared" si="3"/>
        <v>0</v>
      </c>
      <c r="X26" s="14" t="str">
        <f t="shared" si="4"/>
        <v>-</v>
      </c>
      <c r="Y26" s="1">
        <f t="shared" si="5"/>
        <v>0</v>
      </c>
      <c r="Z26" s="1">
        <f t="shared" si="6"/>
        <v>2</v>
      </c>
      <c r="AA26" s="1">
        <f t="shared" si="7"/>
        <v>0</v>
      </c>
      <c r="AB26" s="1">
        <f t="shared" si="8"/>
        <v>0</v>
      </c>
      <c r="AC26" s="10" t="e">
        <f t="shared" si="9"/>
        <v>#VALUE!</v>
      </c>
      <c r="AD26" s="1" t="e">
        <f t="shared" si="17"/>
        <v>#VALUE!</v>
      </c>
      <c r="AF26" s="3" t="str">
        <f t="shared" si="10"/>
        <v>0</v>
      </c>
      <c r="AG26" s="5" t="str">
        <f t="shared" si="11"/>
        <v>#AE_WINDOW</v>
      </c>
      <c r="AH26" s="3" t="str">
        <f t="shared" si="12"/>
        <v>1</v>
      </c>
      <c r="AI26" s="3" t="str">
        <f t="shared" si="13"/>
        <v>0</v>
      </c>
      <c r="AJ26" s="7">
        <f t="shared" si="18"/>
        <v>1</v>
      </c>
      <c r="AN26" s="4"/>
      <c r="AO26" s="1"/>
      <c r="AP26" s="1"/>
      <c r="AQ26" s="1"/>
      <c r="AR26" s="1"/>
      <c r="AS26" s="1"/>
      <c r="AT26" s="1"/>
    </row>
    <row r="27" spans="1:46" x14ac:dyDescent="0.3">
      <c r="A27" s="15" t="s">
        <v>159</v>
      </c>
      <c r="B27" s="1">
        <f t="shared" si="22"/>
        <v>8</v>
      </c>
      <c r="C27" s="1">
        <f t="shared" si="23"/>
        <v>9</v>
      </c>
      <c r="D27" s="10" t="str">
        <f t="shared" si="24"/>
        <v>2</v>
      </c>
      <c r="E27" s="1">
        <f t="shared" si="25"/>
        <v>11</v>
      </c>
      <c r="F27" s="1">
        <f t="shared" si="26"/>
        <v>20</v>
      </c>
      <c r="G27" s="1">
        <f t="shared" si="27"/>
        <v>24</v>
      </c>
      <c r="H27" s="1">
        <f t="shared" si="34"/>
        <v>20</v>
      </c>
      <c r="I27" s="10" t="str">
        <f t="shared" si="28"/>
        <v>UpAE2_HSP</v>
      </c>
      <c r="J27" s="1">
        <f t="shared" si="35"/>
        <v>22</v>
      </c>
      <c r="K27" s="1" t="str">
        <f t="shared" si="29"/>
        <v>50</v>
      </c>
      <c r="L27" s="1" t="str">
        <f t="shared" si="30"/>
        <v>32</v>
      </c>
      <c r="M27" s="10">
        <f t="shared" si="31"/>
        <v>50</v>
      </c>
      <c r="N27" s="1">
        <f t="shared" si="32"/>
        <v>27</v>
      </c>
      <c r="O27" s="1">
        <f t="shared" si="14"/>
        <v>0</v>
      </c>
      <c r="P27" s="1">
        <f t="shared" si="33"/>
        <v>75</v>
      </c>
      <c r="Q27" s="3" t="str">
        <f t="shared" si="0"/>
        <v xml:space="preserve"> Luma detection area X start (default +- value) </v>
      </c>
      <c r="R27" s="11">
        <f t="shared" si="15"/>
        <v>50</v>
      </c>
      <c r="S27" s="11"/>
      <c r="T27" s="13" t="str">
        <f t="shared" si="16"/>
        <v>32</v>
      </c>
      <c r="U27" s="14" t="str">
        <f t="shared" si="1"/>
        <v>UpAE2_HSP</v>
      </c>
      <c r="V27" s="13" t="str">
        <f t="shared" si="2"/>
        <v>2</v>
      </c>
      <c r="W27" s="13">
        <f t="shared" si="3"/>
        <v>0</v>
      </c>
      <c r="X27" s="14" t="str">
        <f t="shared" si="4"/>
        <v xml:space="preserve"> Luma detection area X start (default +- value) </v>
      </c>
      <c r="Y27" s="1">
        <f t="shared" si="5"/>
        <v>1</v>
      </c>
      <c r="Z27" s="1">
        <f t="shared" si="6"/>
        <v>2</v>
      </c>
      <c r="AA27" s="1">
        <f t="shared" si="7"/>
        <v>22</v>
      </c>
      <c r="AB27" s="1" t="str">
        <f t="shared" si="8"/>
        <v>50)/* Luma detection area X start (default +- value) *</v>
      </c>
      <c r="AC27" s="10" t="str">
        <f t="shared" si="9"/>
        <v>50)/* Luma detection area X start (default +- value) *</v>
      </c>
      <c r="AD27" s="1" t="e">
        <f t="shared" si="17"/>
        <v>#VALUE!</v>
      </c>
      <c r="AF27" s="3" t="e">
        <f t="shared" si="10"/>
        <v>#VALUE!</v>
      </c>
      <c r="AG27" s="5" t="str">
        <f t="shared" si="11"/>
        <v>UpAE2_HSP</v>
      </c>
      <c r="AH27" s="3">
        <f t="shared" si="12"/>
        <v>2</v>
      </c>
      <c r="AI27" s="3">
        <f t="shared" si="13"/>
        <v>0</v>
      </c>
      <c r="AJ27" s="7">
        <f t="shared" si="18"/>
        <v>1</v>
      </c>
      <c r="AK27" s="1"/>
      <c r="AL27" s="1"/>
      <c r="AM27" s="10"/>
      <c r="AN27" s="1"/>
      <c r="AO27" s="1"/>
      <c r="AP27" s="1"/>
      <c r="AQ27" s="1"/>
      <c r="AR27" s="1"/>
      <c r="AS27" s="1"/>
      <c r="AT27" s="1"/>
    </row>
    <row r="28" spans="1:46" x14ac:dyDescent="0.3">
      <c r="A28" s="15" t="s">
        <v>81</v>
      </c>
      <c r="B28" s="1">
        <f t="shared" si="22"/>
        <v>8</v>
      </c>
      <c r="C28" s="1">
        <f t="shared" si="23"/>
        <v>9</v>
      </c>
      <c r="D28" s="10" t="str">
        <f t="shared" si="24"/>
        <v>2</v>
      </c>
      <c r="E28" s="1">
        <f t="shared" si="25"/>
        <v>11</v>
      </c>
      <c r="F28" s="1">
        <f t="shared" si="26"/>
        <v>0</v>
      </c>
      <c r="G28" s="1">
        <f t="shared" si="27"/>
        <v>20</v>
      </c>
      <c r="H28" s="1">
        <f t="shared" si="34"/>
        <v>20</v>
      </c>
      <c r="I28" s="10" t="str">
        <f t="shared" si="28"/>
        <v>UpAE2_HEP</v>
      </c>
      <c r="J28" s="1">
        <f t="shared" si="35"/>
        <v>0</v>
      </c>
      <c r="K28" s="1">
        <f t="shared" si="29"/>
        <v>0</v>
      </c>
      <c r="L28" s="1" t="str">
        <f t="shared" si="30"/>
        <v>0</v>
      </c>
      <c r="M28" s="10">
        <f t="shared" si="31"/>
        <v>0</v>
      </c>
      <c r="N28" s="1">
        <f t="shared" si="32"/>
        <v>23</v>
      </c>
      <c r="O28" s="1">
        <f t="shared" si="14"/>
        <v>0</v>
      </c>
      <c r="P28" s="1">
        <f t="shared" si="33"/>
        <v>69</v>
      </c>
      <c r="Q28" s="3" t="str">
        <f t="shared" si="0"/>
        <v xml:space="preserve"> Luma detection area X end (default +- value) </v>
      </c>
      <c r="R28" s="11">
        <f t="shared" si="15"/>
        <v>52</v>
      </c>
      <c r="S28" s="11"/>
      <c r="T28" s="13" t="str">
        <f t="shared" si="16"/>
        <v>34</v>
      </c>
      <c r="U28" s="14" t="str">
        <f t="shared" si="1"/>
        <v>UpAE2_HEP</v>
      </c>
      <c r="V28" s="13" t="str">
        <f t="shared" si="2"/>
        <v>2</v>
      </c>
      <c r="W28" s="13">
        <f t="shared" si="3"/>
        <v>0</v>
      </c>
      <c r="X28" s="14" t="str">
        <f t="shared" si="4"/>
        <v xml:space="preserve"> Luma detection area X end (default +- value) </v>
      </c>
      <c r="Y28" s="1">
        <f t="shared" si="5"/>
        <v>1</v>
      </c>
      <c r="Z28" s="1">
        <f t="shared" si="6"/>
        <v>2</v>
      </c>
      <c r="AA28" s="1">
        <f t="shared" si="7"/>
        <v>0</v>
      </c>
      <c r="AB28" s="1">
        <f t="shared" si="8"/>
        <v>0</v>
      </c>
      <c r="AC28" s="10" t="e">
        <f t="shared" si="9"/>
        <v>#VALUE!</v>
      </c>
      <c r="AD28" s="1" t="e">
        <f t="shared" si="17"/>
        <v>#VALUE!</v>
      </c>
      <c r="AF28" s="3" t="e">
        <f t="shared" si="10"/>
        <v>#VALUE!</v>
      </c>
      <c r="AG28" s="5" t="str">
        <f t="shared" si="11"/>
        <v>UpAE2_HEP)/* Luma detection area X end (default +- value) *</v>
      </c>
      <c r="AH28" s="3">
        <f t="shared" si="12"/>
        <v>2</v>
      </c>
      <c r="AI28" s="3">
        <f t="shared" si="13"/>
        <v>0</v>
      </c>
      <c r="AJ28" s="7">
        <f t="shared" si="18"/>
        <v>1</v>
      </c>
      <c r="AK28" s="1"/>
      <c r="AL28" s="1"/>
      <c r="AM28" s="10"/>
      <c r="AN28" s="1"/>
      <c r="AO28" s="1"/>
      <c r="AP28" s="1"/>
      <c r="AQ28" s="1"/>
      <c r="AR28" s="1"/>
      <c r="AS28" s="1"/>
      <c r="AT28" s="1"/>
    </row>
    <row r="29" spans="1:46" x14ac:dyDescent="0.3">
      <c r="A29" s="15" t="s">
        <v>69</v>
      </c>
      <c r="B29" s="1">
        <f t="shared" si="22"/>
        <v>8</v>
      </c>
      <c r="C29" s="1">
        <f t="shared" si="23"/>
        <v>9</v>
      </c>
      <c r="D29" s="10" t="str">
        <f t="shared" si="24"/>
        <v>2</v>
      </c>
      <c r="E29" s="1">
        <f t="shared" si="25"/>
        <v>11</v>
      </c>
      <c r="F29" s="1">
        <f t="shared" si="26"/>
        <v>0</v>
      </c>
      <c r="G29" s="1">
        <f t="shared" si="27"/>
        <v>20</v>
      </c>
      <c r="H29" s="1">
        <f t="shared" si="34"/>
        <v>20</v>
      </c>
      <c r="I29" s="10" t="str">
        <f t="shared" si="28"/>
        <v>UpAE2_VSP</v>
      </c>
      <c r="J29" s="1">
        <f t="shared" si="35"/>
        <v>0</v>
      </c>
      <c r="K29" s="1">
        <f t="shared" si="29"/>
        <v>0</v>
      </c>
      <c r="L29" s="1" t="str">
        <f t="shared" si="30"/>
        <v>0</v>
      </c>
      <c r="M29" s="10">
        <f t="shared" si="31"/>
        <v>0</v>
      </c>
      <c r="N29" s="1">
        <f t="shared" si="32"/>
        <v>23</v>
      </c>
      <c r="O29" s="1">
        <f t="shared" si="14"/>
        <v>0</v>
      </c>
      <c r="P29" s="1">
        <f t="shared" si="33"/>
        <v>71</v>
      </c>
      <c r="Q29" s="3" t="str">
        <f t="shared" si="0"/>
        <v xml:space="preserve"> Luma detection area Y start (default +- value) </v>
      </c>
      <c r="R29" s="11">
        <f t="shared" si="15"/>
        <v>54</v>
      </c>
      <c r="S29" s="11"/>
      <c r="T29" s="13" t="str">
        <f t="shared" si="16"/>
        <v>36</v>
      </c>
      <c r="U29" s="14" t="str">
        <f t="shared" si="1"/>
        <v>UpAE2_VSP</v>
      </c>
      <c r="V29" s="13" t="str">
        <f t="shared" si="2"/>
        <v>2</v>
      </c>
      <c r="W29" s="13">
        <f t="shared" si="3"/>
        <v>0</v>
      </c>
      <c r="X29" s="14" t="str">
        <f t="shared" si="4"/>
        <v xml:space="preserve"> Luma detection area Y start (default +- value) </v>
      </c>
      <c r="Y29" s="1">
        <f t="shared" si="5"/>
        <v>1</v>
      </c>
      <c r="Z29" s="1">
        <f t="shared" si="6"/>
        <v>2</v>
      </c>
      <c r="AA29" s="1">
        <f t="shared" si="7"/>
        <v>0</v>
      </c>
      <c r="AB29" s="1">
        <f t="shared" si="8"/>
        <v>0</v>
      </c>
      <c r="AC29" s="10" t="e">
        <f t="shared" si="9"/>
        <v>#VALUE!</v>
      </c>
      <c r="AD29" s="1" t="e">
        <f t="shared" si="17"/>
        <v>#VALUE!</v>
      </c>
      <c r="AF29" s="3" t="e">
        <f t="shared" si="10"/>
        <v>#VALUE!</v>
      </c>
      <c r="AG29" s="5" t="str">
        <f t="shared" si="11"/>
        <v>UpAE2_VSP)/* Luma detection area Y start (default +- value) *</v>
      </c>
      <c r="AH29" s="3">
        <f t="shared" si="12"/>
        <v>2</v>
      </c>
      <c r="AI29" s="3">
        <f t="shared" si="13"/>
        <v>0</v>
      </c>
      <c r="AJ29" s="7">
        <f t="shared" si="18"/>
        <v>1</v>
      </c>
      <c r="AK29" s="1"/>
      <c r="AL29" s="1"/>
      <c r="AM29" s="10"/>
      <c r="AN29" s="1"/>
      <c r="AO29" s="1"/>
      <c r="AP29" s="1"/>
      <c r="AQ29" s="1"/>
      <c r="AR29" s="1"/>
      <c r="AS29" s="1"/>
      <c r="AT29" s="1"/>
    </row>
    <row r="30" spans="1:46" x14ac:dyDescent="0.3">
      <c r="A30" s="15" t="s">
        <v>70</v>
      </c>
      <c r="B30" s="1">
        <f t="shared" si="22"/>
        <v>8</v>
      </c>
      <c r="C30" s="1">
        <f t="shared" si="23"/>
        <v>9</v>
      </c>
      <c r="D30" s="10" t="str">
        <f t="shared" si="24"/>
        <v>2</v>
      </c>
      <c r="E30" s="1">
        <f t="shared" si="25"/>
        <v>11</v>
      </c>
      <c r="F30" s="1">
        <f t="shared" si="26"/>
        <v>0</v>
      </c>
      <c r="G30" s="1">
        <f t="shared" si="27"/>
        <v>20</v>
      </c>
      <c r="H30" s="1">
        <f t="shared" si="34"/>
        <v>20</v>
      </c>
      <c r="I30" s="10" t="str">
        <f t="shared" si="28"/>
        <v>UpAE2_VEP</v>
      </c>
      <c r="J30" s="1">
        <f t="shared" si="35"/>
        <v>0</v>
      </c>
      <c r="K30" s="1">
        <f t="shared" si="29"/>
        <v>0</v>
      </c>
      <c r="L30" s="1" t="str">
        <f t="shared" si="30"/>
        <v>0</v>
      </c>
      <c r="M30" s="10">
        <f t="shared" si="31"/>
        <v>0</v>
      </c>
      <c r="N30" s="1">
        <f t="shared" si="32"/>
        <v>23</v>
      </c>
      <c r="O30" s="1">
        <f t="shared" si="14"/>
        <v>0</v>
      </c>
      <c r="P30" s="1">
        <f t="shared" si="33"/>
        <v>69</v>
      </c>
      <c r="Q30" s="3" t="str">
        <f t="shared" si="0"/>
        <v xml:space="preserve"> Luma detection area Y end (default +- value) </v>
      </c>
      <c r="R30" s="11">
        <f t="shared" si="15"/>
        <v>56</v>
      </c>
      <c r="S30" s="11"/>
      <c r="T30" s="13" t="str">
        <f t="shared" si="16"/>
        <v>38</v>
      </c>
      <c r="U30" s="14" t="str">
        <f t="shared" si="1"/>
        <v>UpAE2_VEP</v>
      </c>
      <c r="V30" s="13" t="str">
        <f t="shared" si="2"/>
        <v>2</v>
      </c>
      <c r="W30" s="13">
        <f t="shared" si="3"/>
        <v>0</v>
      </c>
      <c r="X30" s="14" t="str">
        <f t="shared" si="4"/>
        <v xml:space="preserve"> Luma detection area Y end (default +- value) </v>
      </c>
      <c r="Y30" s="1">
        <f t="shared" si="5"/>
        <v>1</v>
      </c>
      <c r="Z30" s="1">
        <f t="shared" si="6"/>
        <v>2</v>
      </c>
      <c r="AA30" s="1">
        <f t="shared" si="7"/>
        <v>0</v>
      </c>
      <c r="AB30" s="1">
        <f t="shared" si="8"/>
        <v>0</v>
      </c>
      <c r="AC30" s="10" t="e">
        <f t="shared" si="9"/>
        <v>#VALUE!</v>
      </c>
      <c r="AD30" s="1" t="e">
        <f t="shared" si="17"/>
        <v>#VALUE!</v>
      </c>
      <c r="AF30" s="3" t="e">
        <f t="shared" si="10"/>
        <v>#VALUE!</v>
      </c>
      <c r="AG30" s="5" t="str">
        <f t="shared" si="11"/>
        <v>UpAE2_VEP)/* Luma detection area Y end (default +- value) *</v>
      </c>
      <c r="AH30" s="3">
        <f t="shared" si="12"/>
        <v>2</v>
      </c>
      <c r="AI30" s="3">
        <f t="shared" si="13"/>
        <v>0</v>
      </c>
      <c r="AJ30" s="7">
        <f t="shared" si="18"/>
        <v>1</v>
      </c>
      <c r="AK30" s="1"/>
      <c r="AL30" s="1"/>
      <c r="AM30" s="10"/>
      <c r="AN30" s="1"/>
      <c r="AO30" s="1"/>
      <c r="AP30" s="1"/>
      <c r="AQ30" s="1"/>
      <c r="AR30" s="1"/>
      <c r="AS30" s="1"/>
      <c r="AT30" s="1"/>
    </row>
    <row r="31" spans="1:46" x14ac:dyDescent="0.3">
      <c r="A31" s="15" t="s">
        <v>141</v>
      </c>
      <c r="B31" s="1">
        <f t="shared" si="22"/>
        <v>0</v>
      </c>
      <c r="C31" s="1">
        <f t="shared" si="23"/>
        <v>0</v>
      </c>
      <c r="D31" s="10">
        <f t="shared" si="24"/>
        <v>0</v>
      </c>
      <c r="E31" s="1">
        <f t="shared" si="25"/>
        <v>0</v>
      </c>
      <c r="F31" s="1">
        <f t="shared" si="26"/>
        <v>0</v>
      </c>
      <c r="G31" s="1">
        <f t="shared" si="27"/>
        <v>0</v>
      </c>
      <c r="H31" s="1">
        <f t="shared" si="34"/>
        <v>0</v>
      </c>
      <c r="I31" s="10">
        <f t="shared" si="28"/>
        <v>0</v>
      </c>
      <c r="J31" s="1">
        <f t="shared" si="35"/>
        <v>0</v>
      </c>
      <c r="K31" s="1">
        <f t="shared" si="29"/>
        <v>0</v>
      </c>
      <c r="L31" s="1" t="str">
        <f t="shared" si="30"/>
        <v>0</v>
      </c>
      <c r="M31" s="10">
        <f t="shared" si="31"/>
        <v>0</v>
      </c>
      <c r="N31" s="1">
        <f t="shared" si="32"/>
        <v>3</v>
      </c>
      <c r="O31" s="1">
        <f t="shared" si="14"/>
        <v>1</v>
      </c>
      <c r="P31" s="1">
        <f t="shared" si="33"/>
        <v>10</v>
      </c>
      <c r="Q31" s="3" t="str">
        <f t="shared" si="0"/>
        <v>AE_PAR</v>
      </c>
      <c r="R31" s="11">
        <f t="shared" si="15"/>
        <v>58</v>
      </c>
      <c r="S31" s="11"/>
      <c r="T31" s="13" t="str">
        <f t="shared" si="16"/>
        <v>#</v>
      </c>
      <c r="U31" s="14" t="str">
        <f t="shared" si="1"/>
        <v>AE_PAR</v>
      </c>
      <c r="V31" s="13">
        <f t="shared" si="2"/>
        <v>1</v>
      </c>
      <c r="W31" s="13">
        <f t="shared" si="3"/>
        <v>0</v>
      </c>
      <c r="X31" s="14" t="str">
        <f t="shared" si="4"/>
        <v>-</v>
      </c>
      <c r="Y31" s="1">
        <f t="shared" si="5"/>
        <v>0</v>
      </c>
      <c r="Z31" s="1">
        <f t="shared" si="6"/>
        <v>2</v>
      </c>
      <c r="AA31" s="1">
        <f t="shared" si="7"/>
        <v>0</v>
      </c>
      <c r="AB31" s="1">
        <f t="shared" si="8"/>
        <v>0</v>
      </c>
      <c r="AC31" s="10" t="e">
        <f t="shared" si="9"/>
        <v>#VALUE!</v>
      </c>
      <c r="AD31" s="1" t="e">
        <f t="shared" si="17"/>
        <v>#VALUE!</v>
      </c>
      <c r="AF31" s="3" t="str">
        <f t="shared" si="10"/>
        <v>0</v>
      </c>
      <c r="AG31" s="5" t="str">
        <f t="shared" si="11"/>
        <v>#AE_PAR</v>
      </c>
      <c r="AH31" s="3" t="str">
        <f t="shared" si="12"/>
        <v>1</v>
      </c>
      <c r="AI31" s="3" t="str">
        <f t="shared" si="13"/>
        <v>0</v>
      </c>
      <c r="AJ31" s="7">
        <f t="shared" si="18"/>
        <v>1</v>
      </c>
      <c r="AK31" s="1"/>
      <c r="AL31" s="1"/>
      <c r="AM31" s="10"/>
      <c r="AN31" s="1"/>
      <c r="AO31" s="1"/>
      <c r="AP31" s="1"/>
      <c r="AQ31" s="1"/>
      <c r="AR31" s="1"/>
      <c r="AS31" s="1"/>
      <c r="AT31" s="1"/>
    </row>
    <row r="32" spans="1:46" x14ac:dyDescent="0.3">
      <c r="A32" s="15" t="s">
        <v>218</v>
      </c>
      <c r="B32" s="1">
        <f t="shared" si="22"/>
        <v>8</v>
      </c>
      <c r="C32" s="1">
        <f t="shared" si="23"/>
        <v>9</v>
      </c>
      <c r="D32" s="10" t="str">
        <f t="shared" si="24"/>
        <v>2</v>
      </c>
      <c r="E32" s="1">
        <f t="shared" si="25"/>
        <v>11</v>
      </c>
      <c r="F32" s="1">
        <f t="shared" si="26"/>
        <v>0</v>
      </c>
      <c r="G32" s="1">
        <f t="shared" si="27"/>
        <v>30</v>
      </c>
      <c r="H32" s="1">
        <f t="shared" si="34"/>
        <v>30</v>
      </c>
      <c r="I32" s="10" t="str">
        <f t="shared" si="28"/>
        <v>UpAE_SHT_SLICE_LINE</v>
      </c>
      <c r="J32" s="1">
        <f t="shared" si="35"/>
        <v>0</v>
      </c>
      <c r="K32" s="1">
        <f t="shared" si="29"/>
        <v>0</v>
      </c>
      <c r="L32" s="1" t="str">
        <f t="shared" si="30"/>
        <v>0</v>
      </c>
      <c r="M32" s="10">
        <f t="shared" si="31"/>
        <v>0</v>
      </c>
      <c r="N32" s="1">
        <f t="shared" si="32"/>
        <v>33</v>
      </c>
      <c r="O32" s="1">
        <f t="shared" si="14"/>
        <v>0</v>
      </c>
      <c r="P32" s="1">
        <f t="shared" si="33"/>
        <v>96</v>
      </c>
      <c r="Q32" s="3" t="str">
        <f t="shared" si="0"/>
        <v xml:space="preserve"> Limit of Shutter minimum value (line value : spec min ~ 1123) </v>
      </c>
      <c r="R32" s="11">
        <f t="shared" si="15"/>
        <v>58</v>
      </c>
      <c r="S32" s="11"/>
      <c r="T32" s="13" t="str">
        <f t="shared" si="16"/>
        <v>3A</v>
      </c>
      <c r="U32" s="14" t="str">
        <f t="shared" si="1"/>
        <v>UpAE_SHT_SLICE_LINE</v>
      </c>
      <c r="V32" s="13" t="str">
        <f t="shared" si="2"/>
        <v>2</v>
      </c>
      <c r="W32" s="13">
        <f t="shared" si="3"/>
        <v>0</v>
      </c>
      <c r="X32" s="14" t="str">
        <f t="shared" si="4"/>
        <v xml:space="preserve"> Limit of Shutter minimum value (line value : spec min ~ 1123) </v>
      </c>
      <c r="Y32" s="1">
        <f t="shared" si="5"/>
        <v>1</v>
      </c>
      <c r="Z32" s="1">
        <f t="shared" si="6"/>
        <v>2</v>
      </c>
      <c r="AA32" s="1">
        <f t="shared" si="7"/>
        <v>0</v>
      </c>
      <c r="AB32" s="1">
        <f t="shared" si="8"/>
        <v>0</v>
      </c>
      <c r="AC32" s="10" t="e">
        <f t="shared" si="9"/>
        <v>#VALUE!</v>
      </c>
      <c r="AD32" s="1" t="e">
        <f t="shared" si="17"/>
        <v>#VALUE!</v>
      </c>
      <c r="AF32" s="3" t="e">
        <f t="shared" si="10"/>
        <v>#VALUE!</v>
      </c>
      <c r="AG32" s="5" t="str">
        <f t="shared" si="11"/>
        <v>UpAE_SHT_SLICE_LINE)/* Limit of Shutter minimum value (line value : spec min ~ 1123) *</v>
      </c>
      <c r="AH32" s="3">
        <f t="shared" si="12"/>
        <v>2</v>
      </c>
      <c r="AI32" s="3">
        <f t="shared" si="13"/>
        <v>0</v>
      </c>
      <c r="AJ32" s="7">
        <f t="shared" si="18"/>
        <v>1</v>
      </c>
      <c r="AK32" s="1"/>
      <c r="AL32" s="1"/>
      <c r="AM32" s="10"/>
      <c r="AN32" s="1"/>
      <c r="AO32" s="1"/>
      <c r="AP32" s="1"/>
      <c r="AQ32" s="1"/>
      <c r="AR32" s="1"/>
      <c r="AS32" s="1"/>
      <c r="AT32" s="1"/>
    </row>
    <row r="33" spans="1:46" x14ac:dyDescent="0.3">
      <c r="A33" s="15" t="s">
        <v>219</v>
      </c>
      <c r="B33" s="1">
        <f t="shared" si="22"/>
        <v>8</v>
      </c>
      <c r="C33" s="1">
        <f t="shared" si="23"/>
        <v>9</v>
      </c>
      <c r="D33" s="10" t="str">
        <f t="shared" si="24"/>
        <v>1</v>
      </c>
      <c r="E33" s="1">
        <f t="shared" si="25"/>
        <v>11</v>
      </c>
      <c r="F33" s="1">
        <f t="shared" si="26"/>
        <v>53</v>
      </c>
      <c r="G33" s="1">
        <f t="shared" si="27"/>
        <v>32</v>
      </c>
      <c r="H33" s="1">
        <f t="shared" si="34"/>
        <v>32</v>
      </c>
      <c r="I33" s="10" t="str">
        <f t="shared" si="28"/>
        <v>UpAE_OUTDOOR_THRS_VAL</v>
      </c>
      <c r="J33" s="1">
        <f t="shared" si="35"/>
        <v>0</v>
      </c>
      <c r="K33" s="1">
        <f t="shared" si="29"/>
        <v>0</v>
      </c>
      <c r="L33" s="1" t="str">
        <f t="shared" si="30"/>
        <v>0</v>
      </c>
      <c r="M33" s="10">
        <f t="shared" si="31"/>
        <v>0</v>
      </c>
      <c r="N33" s="1">
        <f t="shared" si="32"/>
        <v>35</v>
      </c>
      <c r="O33" s="1">
        <f t="shared" si="14"/>
        <v>0</v>
      </c>
      <c r="P33" s="1">
        <f t="shared" si="33"/>
        <v>109</v>
      </c>
      <c r="Q33" s="3" t="str">
        <f t="shared" si="0"/>
        <v xml:space="preserve"> When OUTDOOR mode, Shutter threshold value (ex. 1125&gt;&gt;3 = 375 =&gt; 1/240s) </v>
      </c>
      <c r="R33" s="11">
        <f t="shared" si="15"/>
        <v>60</v>
      </c>
      <c r="S33" s="11"/>
      <c r="T33" s="13" t="str">
        <f t="shared" si="16"/>
        <v>3C</v>
      </c>
      <c r="U33" s="14" t="str">
        <f t="shared" si="1"/>
        <v>UpAE_OUTDOOR_THRS_VAL</v>
      </c>
      <c r="V33" s="13" t="str">
        <f t="shared" si="2"/>
        <v>1</v>
      </c>
      <c r="W33" s="13">
        <f t="shared" si="3"/>
        <v>0</v>
      </c>
      <c r="X33" s="14" t="str">
        <f t="shared" si="4"/>
        <v xml:space="preserve"> When OUTDOOR mode, Shutter threshold value (ex. 1125&gt;&gt;3 = 375 =&gt; 1/240s) </v>
      </c>
      <c r="Y33" s="1">
        <f t="shared" si="5"/>
        <v>1</v>
      </c>
      <c r="Z33" s="1">
        <f t="shared" si="6"/>
        <v>1</v>
      </c>
      <c r="AA33" s="1">
        <f t="shared" si="7"/>
        <v>93</v>
      </c>
      <c r="AB33" s="1" t="str">
        <f t="shared" si="8"/>
        <v xml:space="preserve"> 375 =&gt; 1/240s) *</v>
      </c>
      <c r="AC33" s="10" t="str">
        <f t="shared" si="9"/>
        <v xml:space="preserve"> 375 =&gt; 1/240s) *</v>
      </c>
      <c r="AD33" s="1" t="e">
        <f t="shared" si="17"/>
        <v>#VALUE!</v>
      </c>
      <c r="AF33" s="3" t="e">
        <f t="shared" si="10"/>
        <v>#VALUE!</v>
      </c>
      <c r="AG33" s="5" t="str">
        <f t="shared" si="11"/>
        <v>UpAE_OUTDOOR_THRS_VAL)/* When OUTDOOR mode, Shutter threshold value (ex. 1125&gt;&gt;3</v>
      </c>
      <c r="AH33" s="3">
        <f t="shared" si="12"/>
        <v>1</v>
      </c>
      <c r="AI33" s="3">
        <f t="shared" si="13"/>
        <v>0</v>
      </c>
      <c r="AJ33" s="7">
        <f t="shared" si="18"/>
        <v>1</v>
      </c>
      <c r="AK33" s="1"/>
      <c r="AL33" s="1"/>
      <c r="AM33" s="10"/>
      <c r="AN33" s="1"/>
      <c r="AO33" s="1"/>
      <c r="AP33" s="1"/>
      <c r="AQ33" s="1"/>
      <c r="AR33" s="1"/>
      <c r="AS33" s="1"/>
      <c r="AT33" s="1"/>
    </row>
    <row r="34" spans="1:46" x14ac:dyDescent="0.3">
      <c r="A34" s="15" t="s">
        <v>220</v>
      </c>
      <c r="B34" s="1">
        <f t="shared" si="22"/>
        <v>8</v>
      </c>
      <c r="C34" s="1">
        <f t="shared" si="23"/>
        <v>9</v>
      </c>
      <c r="D34" s="10" t="str">
        <f t="shared" si="24"/>
        <v>1</v>
      </c>
      <c r="E34" s="1">
        <f t="shared" si="25"/>
        <v>11</v>
      </c>
      <c r="F34" s="1">
        <f t="shared" si="26"/>
        <v>51</v>
      </c>
      <c r="G34" s="1">
        <f t="shared" si="27"/>
        <v>31</v>
      </c>
      <c r="H34" s="1">
        <f t="shared" si="34"/>
        <v>31</v>
      </c>
      <c r="I34" s="10" t="str">
        <f t="shared" si="28"/>
        <v>UpAE_DEBLUR_THRS_VAL</v>
      </c>
      <c r="J34" s="1">
        <f t="shared" si="35"/>
        <v>0</v>
      </c>
      <c r="K34" s="1">
        <f t="shared" si="29"/>
        <v>0</v>
      </c>
      <c r="L34" s="1" t="str">
        <f t="shared" si="30"/>
        <v>0</v>
      </c>
      <c r="M34" s="10">
        <f t="shared" si="31"/>
        <v>0</v>
      </c>
      <c r="N34" s="1">
        <f t="shared" si="32"/>
        <v>34</v>
      </c>
      <c r="O34" s="1">
        <f t="shared" si="14"/>
        <v>0</v>
      </c>
      <c r="P34" s="1">
        <f t="shared" si="33"/>
        <v>107</v>
      </c>
      <c r="Q34" s="3" t="str">
        <f t="shared" si="0"/>
        <v xml:space="preserve"> When DEBLUR mode, Shutter threshold value (ex. 1125&gt;&gt;3 = 375 =&gt; 1/240s) </v>
      </c>
      <c r="R34" s="11">
        <f t="shared" si="15"/>
        <v>61</v>
      </c>
      <c r="S34" s="11"/>
      <c r="T34" s="13" t="str">
        <f t="shared" si="16"/>
        <v>3D</v>
      </c>
      <c r="U34" s="14" t="str">
        <f t="shared" si="1"/>
        <v>UpAE_DEBLUR_THRS_VAL</v>
      </c>
      <c r="V34" s="13" t="str">
        <f t="shared" si="2"/>
        <v>1</v>
      </c>
      <c r="W34" s="13">
        <f t="shared" si="3"/>
        <v>0</v>
      </c>
      <c r="X34" s="14" t="str">
        <f t="shared" si="4"/>
        <v xml:space="preserve"> When DEBLUR mode, Shutter threshold value (ex. 1125&gt;&gt;3 = 375 =&gt; 1/240s) </v>
      </c>
      <c r="Y34" s="1">
        <f t="shared" si="5"/>
        <v>1</v>
      </c>
      <c r="Z34" s="1">
        <f t="shared" si="6"/>
        <v>1</v>
      </c>
      <c r="AA34" s="1">
        <f t="shared" si="7"/>
        <v>91</v>
      </c>
      <c r="AB34" s="1" t="str">
        <f t="shared" si="8"/>
        <v xml:space="preserve"> 375 =&gt; 1/240s) *</v>
      </c>
      <c r="AC34" s="10" t="str">
        <f t="shared" si="9"/>
        <v xml:space="preserve"> 375 =&gt; 1/240s) *</v>
      </c>
      <c r="AD34" s="1" t="e">
        <f t="shared" si="17"/>
        <v>#VALUE!</v>
      </c>
      <c r="AF34" s="3" t="e">
        <f t="shared" si="10"/>
        <v>#VALUE!</v>
      </c>
      <c r="AG34" s="5" t="str">
        <f t="shared" si="11"/>
        <v>UpAE_DEBLUR_THRS_VAL)/* When DEBLUR mode, Shutter threshold value (ex. 1125&gt;&gt;3</v>
      </c>
      <c r="AH34" s="3">
        <f t="shared" si="12"/>
        <v>1</v>
      </c>
      <c r="AI34" s="3">
        <f t="shared" si="13"/>
        <v>0</v>
      </c>
      <c r="AJ34" s="7">
        <f t="shared" si="18"/>
        <v>1</v>
      </c>
      <c r="AK34" s="1"/>
      <c r="AL34" s="1"/>
      <c r="AM34" s="10"/>
      <c r="AN34" s="1"/>
      <c r="AO34" s="1"/>
      <c r="AP34" s="1"/>
      <c r="AQ34" s="1"/>
      <c r="AR34" s="1"/>
      <c r="AS34" s="1"/>
      <c r="AT34" s="1"/>
    </row>
    <row r="35" spans="1:46" x14ac:dyDescent="0.3">
      <c r="A35" s="15" t="s">
        <v>221</v>
      </c>
      <c r="B35" s="1">
        <f t="shared" si="22"/>
        <v>8</v>
      </c>
      <c r="C35" s="1">
        <f t="shared" si="23"/>
        <v>9</v>
      </c>
      <c r="D35" s="10" t="str">
        <f t="shared" si="24"/>
        <v>1</v>
      </c>
      <c r="E35" s="1">
        <f t="shared" si="25"/>
        <v>11</v>
      </c>
      <c r="F35" s="1">
        <f t="shared" si="26"/>
        <v>0</v>
      </c>
      <c r="G35" s="1">
        <f t="shared" si="27"/>
        <v>24</v>
      </c>
      <c r="H35" s="1">
        <f t="shared" si="34"/>
        <v>24</v>
      </c>
      <c r="I35" s="10" t="str">
        <f t="shared" si="28"/>
        <v>UpAE_SPEED_DC</v>
      </c>
      <c r="J35" s="1">
        <f t="shared" si="35"/>
        <v>0</v>
      </c>
      <c r="K35" s="1">
        <f t="shared" si="29"/>
        <v>0</v>
      </c>
      <c r="L35" s="1" t="str">
        <f t="shared" si="30"/>
        <v>0</v>
      </c>
      <c r="M35" s="10">
        <f t="shared" si="31"/>
        <v>0</v>
      </c>
      <c r="N35" s="1">
        <f t="shared" si="32"/>
        <v>27</v>
      </c>
      <c r="O35" s="1">
        <f t="shared" si="14"/>
        <v>0</v>
      </c>
      <c r="P35" s="1">
        <f t="shared" si="33"/>
        <v>61</v>
      </c>
      <c r="Q35" s="3" t="str">
        <f t="shared" si="0"/>
        <v xml:space="preserve"> DC IRIS Speed ([Low]0 ~ [Fast]3) </v>
      </c>
      <c r="R35" s="11">
        <f t="shared" si="15"/>
        <v>62</v>
      </c>
      <c r="S35" s="11"/>
      <c r="T35" s="13" t="str">
        <f t="shared" si="16"/>
        <v>3E</v>
      </c>
      <c r="U35" s="14" t="str">
        <f t="shared" si="1"/>
        <v>UpAE_SPEED_DC</v>
      </c>
      <c r="V35" s="13" t="str">
        <f t="shared" si="2"/>
        <v>1</v>
      </c>
      <c r="W35" s="13">
        <f t="shared" si="3"/>
        <v>0</v>
      </c>
      <c r="X35" s="14" t="str">
        <f t="shared" si="4"/>
        <v xml:space="preserve"> DC IRIS Speed ([Low]0 ~ [Fast]3) </v>
      </c>
      <c r="Y35" s="1">
        <f t="shared" si="5"/>
        <v>1</v>
      </c>
      <c r="Z35" s="1">
        <f t="shared" si="6"/>
        <v>1</v>
      </c>
      <c r="AA35" s="1">
        <f>IFERROR(FIND("=0x",A35)+3,IFERROR(FIND("=",A35)+1,0))</f>
        <v>0</v>
      </c>
      <c r="AB35" s="1">
        <f t="shared" si="8"/>
        <v>0</v>
      </c>
      <c r="AC35" s="10" t="e">
        <f t="shared" si="9"/>
        <v>#VALUE!</v>
      </c>
      <c r="AD35" s="1" t="e">
        <f t="shared" si="17"/>
        <v>#VALUE!</v>
      </c>
      <c r="AF35" s="3" t="e">
        <f t="shared" si="10"/>
        <v>#VALUE!</v>
      </c>
      <c r="AG35" s="5" t="str">
        <f t="shared" si="11"/>
        <v>UpAE_SPEED_DC)/* DC IRIS Speed ([Low]0 ~ [Fast]3) *</v>
      </c>
      <c r="AH35" s="3">
        <f t="shared" si="12"/>
        <v>1</v>
      </c>
      <c r="AI35" s="3">
        <f t="shared" si="13"/>
        <v>0</v>
      </c>
      <c r="AJ35" s="7">
        <f t="shared" si="18"/>
        <v>1</v>
      </c>
      <c r="AK35" s="1"/>
      <c r="AL35" s="1"/>
      <c r="AM35" s="10"/>
      <c r="AN35" s="1"/>
      <c r="AO35" s="1"/>
      <c r="AP35" s="1"/>
      <c r="AQ35" s="1"/>
      <c r="AR35" s="1"/>
      <c r="AS35" s="1"/>
      <c r="AT35" s="1"/>
    </row>
    <row r="36" spans="1:46" x14ac:dyDescent="0.3">
      <c r="A36" s="15" t="s">
        <v>222</v>
      </c>
      <c r="B36" s="1">
        <f t="shared" si="22"/>
        <v>8</v>
      </c>
      <c r="C36" s="1">
        <f t="shared" si="23"/>
        <v>9</v>
      </c>
      <c r="D36" s="10" t="str">
        <f t="shared" si="24"/>
        <v>2</v>
      </c>
      <c r="E36" s="1">
        <f t="shared" si="25"/>
        <v>11</v>
      </c>
      <c r="F36" s="1">
        <f t="shared" si="26"/>
        <v>0</v>
      </c>
      <c r="G36" s="1">
        <f t="shared" si="27"/>
        <v>24</v>
      </c>
      <c r="H36" s="1">
        <f t="shared" si="34"/>
        <v>24</v>
      </c>
      <c r="I36" s="10" t="str">
        <f t="shared" si="28"/>
        <v>UpAE_TGT_GAIN</v>
      </c>
      <c r="J36" s="1">
        <f t="shared" si="35"/>
        <v>0</v>
      </c>
      <c r="K36" s="1">
        <f t="shared" si="29"/>
        <v>0</v>
      </c>
      <c r="L36" s="1" t="str">
        <f t="shared" si="30"/>
        <v>0</v>
      </c>
      <c r="M36" s="10">
        <f t="shared" si="31"/>
        <v>0</v>
      </c>
      <c r="N36" s="1">
        <f t="shared" si="32"/>
        <v>27</v>
      </c>
      <c r="O36" s="1">
        <f t="shared" si="14"/>
        <v>0</v>
      </c>
      <c r="P36" s="1">
        <f t="shared" si="33"/>
        <v>121</v>
      </c>
      <c r="Q36" s="3" t="str">
        <f t="shared" si="0"/>
        <v xml:space="preserve"> Normal Brightness target gain [(UpAE_TGT_GAIN * BRIGHTNESS in Menu) + UpAE_TGT_OFST &lt; 0x3FF] </v>
      </c>
      <c r="R36" s="11">
        <f t="shared" si="15"/>
        <v>63</v>
      </c>
      <c r="S36" s="11"/>
      <c r="T36" s="13" t="str">
        <f t="shared" si="16"/>
        <v>3F</v>
      </c>
      <c r="U36" s="14" t="str">
        <f t="shared" si="1"/>
        <v>UpAE_TGT_GAIN</v>
      </c>
      <c r="V36" s="13" t="str">
        <f t="shared" si="2"/>
        <v>2</v>
      </c>
      <c r="W36" s="13">
        <f t="shared" si="3"/>
        <v>0</v>
      </c>
      <c r="X36" s="14" t="str">
        <f t="shared" si="4"/>
        <v xml:space="preserve"> Normal Brightness target gain [(UpAE_TGT_GAIN * BRIGHTNESS in Menu) + UpAE_TGT_OFST &lt; 0x3FF] </v>
      </c>
      <c r="Y36" s="1">
        <f t="shared" si="5"/>
        <v>1</v>
      </c>
      <c r="Z36" s="1">
        <f t="shared" si="6"/>
        <v>2</v>
      </c>
      <c r="AA36" s="1">
        <f t="shared" ref="AA36:AA99" si="36">IFERROR(FIND("=",A36)+1,0)</f>
        <v>0</v>
      </c>
      <c r="AB36" s="1">
        <f t="shared" si="8"/>
        <v>0</v>
      </c>
      <c r="AC36" s="10" t="e">
        <f t="shared" si="9"/>
        <v>#VALUE!</v>
      </c>
      <c r="AD36" s="1" t="e">
        <f t="shared" si="17"/>
        <v>#VALUE!</v>
      </c>
      <c r="AF36" s="3" t="e">
        <f t="shared" si="10"/>
        <v>#VALUE!</v>
      </c>
      <c r="AG36" s="5" t="str">
        <f t="shared" si="11"/>
        <v>UpAE_TGT_GAIN)/* Normal Brightness target gain [(UpAE_TGT_GAIN * BRIGHTNESS in Menu) + UpAE_TGT_OFST &lt; 0x3FF] *</v>
      </c>
      <c r="AH36" s="3">
        <f t="shared" si="12"/>
        <v>2</v>
      </c>
      <c r="AI36" s="3">
        <f t="shared" si="13"/>
        <v>0</v>
      </c>
      <c r="AJ36" s="7">
        <f t="shared" si="18"/>
        <v>1</v>
      </c>
      <c r="AK36" s="1"/>
      <c r="AL36" s="1"/>
      <c r="AM36" s="10"/>
      <c r="AN36" s="1"/>
      <c r="AO36" s="1"/>
      <c r="AP36" s="1"/>
      <c r="AQ36" s="1"/>
      <c r="AR36" s="1"/>
      <c r="AS36" s="1"/>
      <c r="AT36" s="1"/>
    </row>
    <row r="37" spans="1:46" x14ac:dyDescent="0.3">
      <c r="A37" s="15" t="s">
        <v>223</v>
      </c>
      <c r="B37" s="1">
        <f t="shared" si="22"/>
        <v>8</v>
      </c>
      <c r="C37" s="1">
        <f t="shared" si="23"/>
        <v>9</v>
      </c>
      <c r="D37" s="10" t="str">
        <f t="shared" si="24"/>
        <v>2</v>
      </c>
      <c r="E37" s="1">
        <f t="shared" si="25"/>
        <v>11</v>
      </c>
      <c r="F37" s="1">
        <f t="shared" si="26"/>
        <v>0</v>
      </c>
      <c r="G37" s="1">
        <f t="shared" si="27"/>
        <v>24</v>
      </c>
      <c r="H37" s="1">
        <f t="shared" si="34"/>
        <v>24</v>
      </c>
      <c r="I37" s="10" t="str">
        <f t="shared" si="28"/>
        <v>UpAE_TGT_OFST</v>
      </c>
      <c r="J37" s="1">
        <f t="shared" si="35"/>
        <v>0</v>
      </c>
      <c r="K37" s="1">
        <f t="shared" si="29"/>
        <v>0</v>
      </c>
      <c r="L37" s="1" t="str">
        <f t="shared" si="30"/>
        <v>0</v>
      </c>
      <c r="M37" s="10">
        <f t="shared" si="31"/>
        <v>0</v>
      </c>
      <c r="N37" s="1">
        <f t="shared" si="32"/>
        <v>27</v>
      </c>
      <c r="O37" s="1">
        <f t="shared" si="14"/>
        <v>0</v>
      </c>
      <c r="P37" s="1">
        <f t="shared" si="33"/>
        <v>123</v>
      </c>
      <c r="Q37" s="3" t="str">
        <f t="shared" si="0"/>
        <v xml:space="preserve"> Normal Brightness target offset [(UpAE_TGT_GAIN * BRIGHTNESS in Menu) + UpAE_TGT_OFST &lt; 0x3FF] </v>
      </c>
      <c r="R37" s="11">
        <f t="shared" si="15"/>
        <v>65</v>
      </c>
      <c r="S37" s="11"/>
      <c r="T37" s="13" t="str">
        <f t="shared" si="16"/>
        <v>41</v>
      </c>
      <c r="U37" s="14" t="str">
        <f t="shared" si="1"/>
        <v>UpAE_TGT_OFST</v>
      </c>
      <c r="V37" s="13" t="str">
        <f t="shared" si="2"/>
        <v>2</v>
      </c>
      <c r="W37" s="13">
        <f t="shared" si="3"/>
        <v>0</v>
      </c>
      <c r="X37" s="14" t="str">
        <f t="shared" si="4"/>
        <v xml:space="preserve"> Normal Brightness target offset [(UpAE_TGT_GAIN * BRIGHTNESS in Menu) + UpAE_TGT_OFST &lt; 0x3FF] </v>
      </c>
      <c r="Y37" s="1">
        <f t="shared" si="5"/>
        <v>1</v>
      </c>
      <c r="Z37" s="1">
        <f t="shared" si="6"/>
        <v>2</v>
      </c>
      <c r="AA37" s="1">
        <f t="shared" si="36"/>
        <v>0</v>
      </c>
      <c r="AB37" s="1">
        <f t="shared" si="8"/>
        <v>0</v>
      </c>
      <c r="AC37" s="10" t="e">
        <f t="shared" si="9"/>
        <v>#VALUE!</v>
      </c>
      <c r="AD37" s="1" t="e">
        <f t="shared" si="17"/>
        <v>#VALUE!</v>
      </c>
      <c r="AF37" s="3" t="e">
        <f t="shared" si="10"/>
        <v>#VALUE!</v>
      </c>
      <c r="AG37" s="5" t="str">
        <f t="shared" si="11"/>
        <v>UpAE_TGT_OFST)/* Normal Brightness target offset [(UpAE_TGT_GAIN * BRIGHTNESS in Menu) + UpAE_TGT_OFST &lt; 0x3FF] *</v>
      </c>
      <c r="AH37" s="3">
        <f t="shared" si="12"/>
        <v>2</v>
      </c>
      <c r="AI37" s="3">
        <f t="shared" si="13"/>
        <v>0</v>
      </c>
      <c r="AJ37" s="7">
        <f t="shared" si="18"/>
        <v>1</v>
      </c>
      <c r="AK37" s="1"/>
      <c r="AL37" s="1"/>
      <c r="AM37" s="10"/>
      <c r="AN37" s="1"/>
      <c r="AO37" s="1"/>
      <c r="AP37" s="1"/>
      <c r="AQ37" s="1"/>
      <c r="AR37" s="1"/>
      <c r="AS37" s="1"/>
      <c r="AT37" s="1"/>
    </row>
    <row r="38" spans="1:46" x14ac:dyDescent="0.3">
      <c r="A38" s="15" t="s">
        <v>224</v>
      </c>
      <c r="B38" s="1">
        <f t="shared" si="22"/>
        <v>8</v>
      </c>
      <c r="C38" s="1">
        <f t="shared" si="23"/>
        <v>9</v>
      </c>
      <c r="D38" s="10" t="str">
        <f t="shared" si="24"/>
        <v>2</v>
      </c>
      <c r="E38" s="1">
        <f t="shared" si="25"/>
        <v>11</v>
      </c>
      <c r="F38" s="1">
        <f t="shared" si="26"/>
        <v>0</v>
      </c>
      <c r="G38" s="1">
        <f t="shared" si="27"/>
        <v>25</v>
      </c>
      <c r="H38" s="1">
        <f t="shared" si="34"/>
        <v>25</v>
      </c>
      <c r="I38" s="10" t="str">
        <f t="shared" si="28"/>
        <v>UpAE_SLIC_OFST</v>
      </c>
      <c r="J38" s="1">
        <f t="shared" si="35"/>
        <v>0</v>
      </c>
      <c r="K38" s="1">
        <f t="shared" si="29"/>
        <v>0</v>
      </c>
      <c r="L38" s="1" t="str">
        <f t="shared" si="30"/>
        <v>0</v>
      </c>
      <c r="M38" s="10">
        <f t="shared" si="31"/>
        <v>0</v>
      </c>
      <c r="N38" s="1">
        <f t="shared" si="32"/>
        <v>28</v>
      </c>
      <c r="O38" s="1">
        <f t="shared" si="14"/>
        <v>0</v>
      </c>
      <c r="P38" s="1">
        <f t="shared" si="33"/>
        <v>97</v>
      </c>
      <c r="Q38" s="3" t="str">
        <f t="shared" si="0"/>
        <v xml:space="preserve"> Normal Brightness Slice level (AE Target - UpAE_SLIC_OFST &lt; Target) </v>
      </c>
      <c r="R38" s="11">
        <f t="shared" si="15"/>
        <v>67</v>
      </c>
      <c r="S38" s="11"/>
      <c r="T38" s="13" t="str">
        <f t="shared" si="16"/>
        <v>43</v>
      </c>
      <c r="U38" s="14" t="str">
        <f t="shared" si="1"/>
        <v>UpAE_SLIC_OFST</v>
      </c>
      <c r="V38" s="13" t="str">
        <f t="shared" si="2"/>
        <v>2</v>
      </c>
      <c r="W38" s="13">
        <f t="shared" si="3"/>
        <v>0</v>
      </c>
      <c r="X38" s="14" t="str">
        <f t="shared" si="4"/>
        <v xml:space="preserve"> Normal Brightness Slice level (AE Target - UpAE_SLIC_OFST &lt; Target) </v>
      </c>
      <c r="Y38" s="1">
        <f t="shared" si="5"/>
        <v>1</v>
      </c>
      <c r="Z38" s="1">
        <f t="shared" si="6"/>
        <v>2</v>
      </c>
      <c r="AA38" s="1">
        <f t="shared" si="36"/>
        <v>0</v>
      </c>
      <c r="AB38" s="1">
        <f t="shared" si="8"/>
        <v>0</v>
      </c>
      <c r="AC38" s="10" t="e">
        <f t="shared" si="9"/>
        <v>#VALUE!</v>
      </c>
      <c r="AD38" s="1" t="e">
        <f t="shared" si="17"/>
        <v>#VALUE!</v>
      </c>
      <c r="AF38" s="3" t="e">
        <f t="shared" si="10"/>
        <v>#VALUE!</v>
      </c>
      <c r="AG38" s="5" t="str">
        <f t="shared" si="11"/>
        <v>UpAE_SLIC_OFST)/* Normal Brightness Slice level (AE Target - UpAE_SLIC_OFST &lt; Target) *</v>
      </c>
      <c r="AH38" s="3">
        <f t="shared" si="12"/>
        <v>2</v>
      </c>
      <c r="AI38" s="3">
        <f t="shared" si="13"/>
        <v>0</v>
      </c>
      <c r="AJ38" s="7">
        <f t="shared" si="18"/>
        <v>1</v>
      </c>
      <c r="AK38" s="1"/>
      <c r="AL38" s="1"/>
      <c r="AM38" s="10"/>
      <c r="AN38" s="1"/>
      <c r="AO38" s="1"/>
      <c r="AP38" s="1"/>
      <c r="AQ38" s="1"/>
      <c r="AR38" s="1"/>
      <c r="AS38" s="1"/>
      <c r="AT38" s="1"/>
    </row>
    <row r="39" spans="1:46" x14ac:dyDescent="0.3">
      <c r="A39" s="15" t="s">
        <v>225</v>
      </c>
      <c r="B39" s="1">
        <f t="shared" si="22"/>
        <v>8</v>
      </c>
      <c r="C39" s="1">
        <f t="shared" si="23"/>
        <v>9</v>
      </c>
      <c r="D39" s="10" t="str">
        <f t="shared" si="24"/>
        <v>2</v>
      </c>
      <c r="E39" s="1">
        <f t="shared" si="25"/>
        <v>11</v>
      </c>
      <c r="F39" s="1">
        <f t="shared" si="26"/>
        <v>0</v>
      </c>
      <c r="G39" s="1">
        <f t="shared" si="27"/>
        <v>25</v>
      </c>
      <c r="H39" s="1">
        <f t="shared" si="34"/>
        <v>25</v>
      </c>
      <c r="I39" s="10" t="str">
        <f t="shared" si="28"/>
        <v>UpAE_CLIP_OFST</v>
      </c>
      <c r="J39" s="1">
        <f t="shared" si="35"/>
        <v>0</v>
      </c>
      <c r="K39" s="1">
        <f t="shared" si="29"/>
        <v>0</v>
      </c>
      <c r="L39" s="1" t="str">
        <f t="shared" si="30"/>
        <v>0</v>
      </c>
      <c r="M39" s="10">
        <f t="shared" si="31"/>
        <v>0</v>
      </c>
      <c r="N39" s="1">
        <f t="shared" si="32"/>
        <v>28</v>
      </c>
      <c r="O39" s="1">
        <f t="shared" si="14"/>
        <v>0</v>
      </c>
      <c r="P39" s="1">
        <f t="shared" si="33"/>
        <v>95</v>
      </c>
      <c r="Q39" s="3" t="str">
        <f t="shared" si="0"/>
        <v xml:space="preserve"> Normal Brightness Clip level (AE Target + UpAE_CLIP_OFST &lt; 0x3FF) </v>
      </c>
      <c r="R39" s="11">
        <f t="shared" si="15"/>
        <v>69</v>
      </c>
      <c r="S39" s="11"/>
      <c r="T39" s="13" t="str">
        <f t="shared" si="16"/>
        <v>45</v>
      </c>
      <c r="U39" s="14" t="str">
        <f t="shared" si="1"/>
        <v>UpAE_CLIP_OFST</v>
      </c>
      <c r="V39" s="13" t="str">
        <f t="shared" si="2"/>
        <v>2</v>
      </c>
      <c r="W39" s="13">
        <f t="shared" si="3"/>
        <v>0</v>
      </c>
      <c r="X39" s="14" t="str">
        <f t="shared" si="4"/>
        <v xml:space="preserve"> Normal Brightness Clip level (AE Target + UpAE_CLIP_OFST &lt; 0x3FF) </v>
      </c>
      <c r="Y39" s="1">
        <f t="shared" si="5"/>
        <v>1</v>
      </c>
      <c r="Z39" s="1">
        <f t="shared" si="6"/>
        <v>2</v>
      </c>
      <c r="AA39" s="1">
        <f t="shared" si="36"/>
        <v>0</v>
      </c>
      <c r="AB39" s="1">
        <f t="shared" si="8"/>
        <v>0</v>
      </c>
      <c r="AC39" s="10" t="e">
        <f t="shared" si="9"/>
        <v>#VALUE!</v>
      </c>
      <c r="AD39" s="1" t="e">
        <f t="shared" si="17"/>
        <v>#VALUE!</v>
      </c>
      <c r="AF39" s="3" t="e">
        <f t="shared" si="10"/>
        <v>#VALUE!</v>
      </c>
      <c r="AG39" s="5" t="str">
        <f t="shared" si="11"/>
        <v>UpAE_CLIP_OFST)/* Normal Brightness Clip level (AE Target + UpAE_CLIP_OFST &lt; 0x3FF) *</v>
      </c>
      <c r="AH39" s="3">
        <f t="shared" si="12"/>
        <v>2</v>
      </c>
      <c r="AI39" s="3">
        <f t="shared" si="13"/>
        <v>0</v>
      </c>
      <c r="AJ39" s="7">
        <f t="shared" si="18"/>
        <v>1</v>
      </c>
      <c r="AK39" s="1"/>
      <c r="AL39" s="1"/>
      <c r="AM39" s="10"/>
      <c r="AN39" s="1"/>
      <c r="AO39" s="1"/>
      <c r="AP39" s="1"/>
      <c r="AQ39" s="1"/>
      <c r="AR39" s="1"/>
      <c r="AS39" s="1"/>
      <c r="AT39" s="1"/>
    </row>
    <row r="40" spans="1:46" x14ac:dyDescent="0.3">
      <c r="A40" s="15" t="s">
        <v>226</v>
      </c>
      <c r="B40" s="1">
        <f t="shared" si="22"/>
        <v>8</v>
      </c>
      <c r="C40" s="1">
        <f t="shared" si="23"/>
        <v>9</v>
      </c>
      <c r="D40" s="10" t="str">
        <f t="shared" si="24"/>
        <v>2</v>
      </c>
      <c r="E40" s="1">
        <f t="shared" si="25"/>
        <v>11</v>
      </c>
      <c r="F40" s="1">
        <f t="shared" si="26"/>
        <v>0</v>
      </c>
      <c r="G40" s="1">
        <f t="shared" si="27"/>
        <v>32</v>
      </c>
      <c r="H40" s="1">
        <f t="shared" si="34"/>
        <v>32</v>
      </c>
      <c r="I40" s="10" t="str">
        <f t="shared" si="28"/>
        <v>UpAE_TGT_DCRS_AGC_PT0</v>
      </c>
      <c r="J40" s="1">
        <f t="shared" si="35"/>
        <v>0</v>
      </c>
      <c r="K40" s="1">
        <f t="shared" si="29"/>
        <v>0</v>
      </c>
      <c r="L40" s="1" t="str">
        <f t="shared" si="30"/>
        <v>0</v>
      </c>
      <c r="M40" s="10">
        <f t="shared" si="31"/>
        <v>0</v>
      </c>
      <c r="N40" s="1">
        <f t="shared" si="32"/>
        <v>35</v>
      </c>
      <c r="O40" s="1">
        <f t="shared" si="14"/>
        <v>0</v>
      </c>
      <c r="P40" s="1">
        <f t="shared" si="33"/>
        <v>94</v>
      </c>
      <c r="Q40" s="3" t="str">
        <f t="shared" si="0"/>
        <v xml:space="preserve"> AGC interlocking point 0 for Target Value to be decreased </v>
      </c>
      <c r="R40" s="11">
        <f t="shared" si="15"/>
        <v>71</v>
      </c>
      <c r="S40" s="11"/>
      <c r="T40" s="13" t="str">
        <f t="shared" si="16"/>
        <v>47</v>
      </c>
      <c r="U40" s="14" t="str">
        <f t="shared" si="1"/>
        <v>UpAE_TGT_DCRS_AGC_PT0</v>
      </c>
      <c r="V40" s="13" t="str">
        <f t="shared" si="2"/>
        <v>2</v>
      </c>
      <c r="W40" s="13">
        <f t="shared" si="3"/>
        <v>0</v>
      </c>
      <c r="X40" s="14" t="str">
        <f t="shared" si="4"/>
        <v xml:space="preserve"> AGC interlocking point 0 for Target Value to be decreased </v>
      </c>
      <c r="Y40" s="1">
        <f t="shared" si="5"/>
        <v>1</v>
      </c>
      <c r="Z40" s="1">
        <f t="shared" si="6"/>
        <v>2</v>
      </c>
      <c r="AA40" s="1">
        <f t="shared" si="36"/>
        <v>0</v>
      </c>
      <c r="AB40" s="1">
        <f t="shared" si="8"/>
        <v>0</v>
      </c>
      <c r="AC40" s="10" t="e">
        <f t="shared" si="9"/>
        <v>#VALUE!</v>
      </c>
      <c r="AD40" s="1" t="e">
        <f t="shared" si="17"/>
        <v>#VALUE!</v>
      </c>
      <c r="AF40" s="3" t="e">
        <f t="shared" si="10"/>
        <v>#VALUE!</v>
      </c>
      <c r="AG40" s="5" t="str">
        <f t="shared" si="11"/>
        <v>UpAE_TGT_DCRS_AGC_PT0)/* AGC interlocking point 0 for Target Value to be decreased *</v>
      </c>
      <c r="AH40" s="3">
        <f t="shared" si="12"/>
        <v>2</v>
      </c>
      <c r="AI40" s="3">
        <f t="shared" si="13"/>
        <v>0</v>
      </c>
      <c r="AJ40" s="7">
        <f t="shared" si="18"/>
        <v>1</v>
      </c>
      <c r="AK40" s="1"/>
      <c r="AL40" s="1"/>
      <c r="AM40" s="10"/>
      <c r="AN40" s="1"/>
      <c r="AO40" s="1"/>
      <c r="AP40" s="1"/>
      <c r="AQ40" s="1"/>
      <c r="AR40" s="1"/>
      <c r="AS40" s="1"/>
      <c r="AT40" s="1"/>
    </row>
    <row r="41" spans="1:46" x14ac:dyDescent="0.3">
      <c r="A41" s="15" t="s">
        <v>227</v>
      </c>
      <c r="B41" s="1">
        <f t="shared" si="22"/>
        <v>8</v>
      </c>
      <c r="C41" s="1">
        <f t="shared" si="23"/>
        <v>9</v>
      </c>
      <c r="D41" s="10" t="str">
        <f t="shared" si="24"/>
        <v>2</v>
      </c>
      <c r="E41" s="1">
        <f t="shared" si="25"/>
        <v>11</v>
      </c>
      <c r="F41" s="1">
        <f t="shared" si="26"/>
        <v>0</v>
      </c>
      <c r="G41" s="1">
        <f t="shared" si="27"/>
        <v>32</v>
      </c>
      <c r="H41" s="1">
        <f t="shared" si="34"/>
        <v>32</v>
      </c>
      <c r="I41" s="10" t="str">
        <f t="shared" si="28"/>
        <v>UpAE_TGT_DCRS_AGC_PT1</v>
      </c>
      <c r="J41" s="1">
        <f t="shared" si="35"/>
        <v>0</v>
      </c>
      <c r="K41" s="1">
        <f t="shared" si="29"/>
        <v>0</v>
      </c>
      <c r="L41" s="1" t="str">
        <f t="shared" si="30"/>
        <v>0</v>
      </c>
      <c r="M41" s="10">
        <f t="shared" si="31"/>
        <v>0</v>
      </c>
      <c r="N41" s="1">
        <f t="shared" si="32"/>
        <v>35</v>
      </c>
      <c r="O41" s="1">
        <f t="shared" si="14"/>
        <v>0</v>
      </c>
      <c r="P41" s="1">
        <f t="shared" si="33"/>
        <v>94</v>
      </c>
      <c r="Q41" s="3" t="str">
        <f t="shared" si="0"/>
        <v xml:space="preserve"> AGC interlocking point 1 for Target Value to be decreased </v>
      </c>
      <c r="R41" s="11">
        <f t="shared" si="15"/>
        <v>73</v>
      </c>
      <c r="S41" s="11"/>
      <c r="T41" s="13" t="str">
        <f t="shared" si="16"/>
        <v>49</v>
      </c>
      <c r="U41" s="14" t="str">
        <f t="shared" si="1"/>
        <v>UpAE_TGT_DCRS_AGC_PT1</v>
      </c>
      <c r="V41" s="13" t="str">
        <f t="shared" si="2"/>
        <v>2</v>
      </c>
      <c r="W41" s="13">
        <f t="shared" si="3"/>
        <v>0</v>
      </c>
      <c r="X41" s="14" t="str">
        <f t="shared" si="4"/>
        <v xml:space="preserve"> AGC interlocking point 1 for Target Value to be decreased </v>
      </c>
      <c r="Y41" s="1">
        <f t="shared" si="5"/>
        <v>1</v>
      </c>
      <c r="Z41" s="1">
        <f t="shared" si="6"/>
        <v>2</v>
      </c>
      <c r="AA41" s="1">
        <f t="shared" si="36"/>
        <v>0</v>
      </c>
      <c r="AB41" s="1">
        <f t="shared" si="8"/>
        <v>0</v>
      </c>
      <c r="AC41" s="10" t="e">
        <f t="shared" si="9"/>
        <v>#VALUE!</v>
      </c>
      <c r="AD41" s="1" t="e">
        <f t="shared" si="17"/>
        <v>#VALUE!</v>
      </c>
      <c r="AF41" s="3" t="e">
        <f t="shared" si="10"/>
        <v>#VALUE!</v>
      </c>
      <c r="AG41" s="5" t="str">
        <f t="shared" si="11"/>
        <v>UpAE_TGT_DCRS_AGC_PT1)/* AGC interlocking point 1 for Target Value to be decreased *</v>
      </c>
      <c r="AH41" s="3">
        <f t="shared" si="12"/>
        <v>2</v>
      </c>
      <c r="AI41" s="3">
        <f t="shared" si="13"/>
        <v>0</v>
      </c>
      <c r="AJ41" s="7">
        <f t="shared" si="18"/>
        <v>1</v>
      </c>
      <c r="AK41" s="1"/>
      <c r="AL41" s="1"/>
      <c r="AM41" s="10"/>
      <c r="AN41" s="1"/>
      <c r="AO41" s="1"/>
      <c r="AP41" s="1"/>
      <c r="AQ41" s="1"/>
      <c r="AR41" s="1"/>
      <c r="AS41" s="1"/>
      <c r="AT41" s="1"/>
    </row>
    <row r="42" spans="1:46" x14ac:dyDescent="0.3">
      <c r="A42" s="15" t="s">
        <v>228</v>
      </c>
      <c r="B42" s="1">
        <f t="shared" si="22"/>
        <v>8</v>
      </c>
      <c r="C42" s="1">
        <f t="shared" si="23"/>
        <v>9</v>
      </c>
      <c r="D42" s="10" t="str">
        <f t="shared" si="24"/>
        <v>2</v>
      </c>
      <c r="E42" s="1">
        <f t="shared" si="25"/>
        <v>11</v>
      </c>
      <c r="F42" s="1">
        <f t="shared" si="26"/>
        <v>0</v>
      </c>
      <c r="G42" s="1">
        <f t="shared" si="27"/>
        <v>32</v>
      </c>
      <c r="H42" s="1">
        <f t="shared" si="34"/>
        <v>32</v>
      </c>
      <c r="I42" s="10" t="str">
        <f t="shared" si="28"/>
        <v>UpAE_TGT_DCRS_AGC_PT2</v>
      </c>
      <c r="J42" s="1">
        <f t="shared" si="35"/>
        <v>0</v>
      </c>
      <c r="K42" s="1">
        <f t="shared" si="29"/>
        <v>0</v>
      </c>
      <c r="L42" s="1" t="str">
        <f t="shared" si="30"/>
        <v>0</v>
      </c>
      <c r="M42" s="10">
        <f t="shared" si="31"/>
        <v>0</v>
      </c>
      <c r="N42" s="1">
        <f t="shared" si="32"/>
        <v>35</v>
      </c>
      <c r="O42" s="1">
        <f t="shared" si="14"/>
        <v>0</v>
      </c>
      <c r="P42" s="1">
        <f t="shared" si="33"/>
        <v>94</v>
      </c>
      <c r="Q42" s="3" t="str">
        <f t="shared" si="0"/>
        <v xml:space="preserve"> AGC interlocking point 2 for Target Value to be decreased </v>
      </c>
      <c r="R42" s="11">
        <f t="shared" si="15"/>
        <v>75</v>
      </c>
      <c r="S42" s="11"/>
      <c r="T42" s="13" t="str">
        <f t="shared" si="16"/>
        <v>4B</v>
      </c>
      <c r="U42" s="14" t="str">
        <f t="shared" si="1"/>
        <v>UpAE_TGT_DCRS_AGC_PT2</v>
      </c>
      <c r="V42" s="13" t="str">
        <f t="shared" si="2"/>
        <v>2</v>
      </c>
      <c r="W42" s="13">
        <f t="shared" si="3"/>
        <v>0</v>
      </c>
      <c r="X42" s="14" t="str">
        <f t="shared" si="4"/>
        <v xml:space="preserve"> AGC interlocking point 2 for Target Value to be decreased </v>
      </c>
      <c r="Y42" s="1">
        <f t="shared" si="5"/>
        <v>1</v>
      </c>
      <c r="Z42" s="1">
        <f t="shared" si="6"/>
        <v>2</v>
      </c>
      <c r="AA42" s="1">
        <f t="shared" si="36"/>
        <v>0</v>
      </c>
      <c r="AB42" s="1">
        <f t="shared" si="8"/>
        <v>0</v>
      </c>
      <c r="AC42" s="10" t="e">
        <f t="shared" si="9"/>
        <v>#VALUE!</v>
      </c>
      <c r="AD42" s="1" t="e">
        <f t="shared" si="17"/>
        <v>#VALUE!</v>
      </c>
      <c r="AF42" s="3" t="e">
        <f t="shared" si="10"/>
        <v>#VALUE!</v>
      </c>
      <c r="AG42" s="5" t="str">
        <f t="shared" si="11"/>
        <v>UpAE_TGT_DCRS_AGC_PT2)/* AGC interlocking point 2 for Target Value to be decreased *</v>
      </c>
      <c r="AH42" s="3">
        <f t="shared" si="12"/>
        <v>2</v>
      </c>
      <c r="AI42" s="3">
        <f t="shared" si="13"/>
        <v>0</v>
      </c>
      <c r="AJ42" s="7">
        <f t="shared" si="18"/>
        <v>1</v>
      </c>
      <c r="AK42" s="1"/>
      <c r="AL42" s="1"/>
      <c r="AM42" s="10"/>
      <c r="AN42" s="1"/>
      <c r="AO42" s="1"/>
      <c r="AP42" s="1"/>
      <c r="AQ42" s="1"/>
      <c r="AR42" s="1"/>
      <c r="AS42" s="1"/>
      <c r="AT42" s="1"/>
    </row>
    <row r="43" spans="1:46" x14ac:dyDescent="0.3">
      <c r="A43" s="15" t="s">
        <v>229</v>
      </c>
      <c r="B43" s="1">
        <f t="shared" si="22"/>
        <v>8</v>
      </c>
      <c r="C43" s="1">
        <f t="shared" si="23"/>
        <v>9</v>
      </c>
      <c r="D43" s="10" t="str">
        <f t="shared" si="24"/>
        <v>1</v>
      </c>
      <c r="E43" s="1">
        <f t="shared" si="25"/>
        <v>11</v>
      </c>
      <c r="F43" s="1">
        <f t="shared" si="26"/>
        <v>85</v>
      </c>
      <c r="G43" s="1">
        <f t="shared" si="27"/>
        <v>32</v>
      </c>
      <c r="H43" s="1">
        <f t="shared" si="34"/>
        <v>32</v>
      </c>
      <c r="I43" s="10" t="str">
        <f t="shared" si="28"/>
        <v>UpAE_TGT_DCRS_VAL_PT0</v>
      </c>
      <c r="J43" s="1">
        <f t="shared" si="35"/>
        <v>0</v>
      </c>
      <c r="K43" s="1">
        <f t="shared" si="29"/>
        <v>0</v>
      </c>
      <c r="L43" s="1" t="str">
        <f t="shared" si="30"/>
        <v>0</v>
      </c>
      <c r="M43" s="10">
        <f t="shared" si="31"/>
        <v>0</v>
      </c>
      <c r="N43" s="1">
        <f t="shared" si="32"/>
        <v>35</v>
      </c>
      <c r="O43" s="1">
        <f t="shared" si="14"/>
        <v>0</v>
      </c>
      <c r="P43" s="1">
        <f t="shared" si="33"/>
        <v>170</v>
      </c>
      <c r="Q43" s="3" t="str">
        <f t="shared" si="0"/>
        <v xml:space="preserve"> Target Value to be decreased interlocking point 0, [Target_Value = Target - DCRS_TargetVal(Calculate Target through AGC Interlocking) </v>
      </c>
      <c r="R43" s="11">
        <f t="shared" si="15"/>
        <v>77</v>
      </c>
      <c r="S43" s="11"/>
      <c r="T43" s="13" t="str">
        <f t="shared" si="16"/>
        <v>4D</v>
      </c>
      <c r="U43" s="14" t="str">
        <f t="shared" si="1"/>
        <v>UpAE_TGT_DCRS_VAL_PT0</v>
      </c>
      <c r="V43" s="13" t="str">
        <f t="shared" si="2"/>
        <v>1</v>
      </c>
      <c r="W43" s="13">
        <f t="shared" si="3"/>
        <v>0</v>
      </c>
      <c r="X43" s="14" t="str">
        <f t="shared" si="4"/>
        <v xml:space="preserve"> Target Value to be decreased interlocking point 0, [Target_Value = Target - DCRS_TargetVal(Calculate Target through AGC Interlocking) </v>
      </c>
      <c r="Y43" s="1">
        <f t="shared" si="5"/>
        <v>1</v>
      </c>
      <c r="Z43" s="1">
        <f t="shared" si="6"/>
        <v>1</v>
      </c>
      <c r="AA43" s="1">
        <f t="shared" si="36"/>
        <v>102</v>
      </c>
      <c r="AB43" s="1" t="str">
        <f t="shared" si="8"/>
        <v xml:space="preserve"> Target - DCRS_TargetVal(Calculate Target through AGC Interlocking) *</v>
      </c>
      <c r="AC43" s="10" t="str">
        <f t="shared" si="9"/>
        <v xml:space="preserve"> Target - DCRS_TargetVal(Calculate Target through AGC Interlocking) *</v>
      </c>
      <c r="AD43" s="1" t="e">
        <f t="shared" si="17"/>
        <v>#VALUE!</v>
      </c>
      <c r="AF43" s="3" t="e">
        <f t="shared" si="10"/>
        <v>#VALUE!</v>
      </c>
      <c r="AG43" s="5" t="str">
        <f t="shared" si="11"/>
        <v>UpAE_TGT_DCRS_VAL_PT0)/* Target Value to be decreased interlocking point 0, [Target_Value</v>
      </c>
      <c r="AH43" s="3">
        <f t="shared" si="12"/>
        <v>1</v>
      </c>
      <c r="AI43" s="3">
        <f t="shared" si="13"/>
        <v>0</v>
      </c>
      <c r="AJ43" s="7">
        <f t="shared" si="18"/>
        <v>1</v>
      </c>
      <c r="AK43" s="1"/>
      <c r="AL43" s="1"/>
      <c r="AM43" s="10"/>
      <c r="AN43" s="1"/>
      <c r="AO43" s="1"/>
      <c r="AP43" s="1"/>
      <c r="AQ43" s="1"/>
      <c r="AR43" s="1"/>
      <c r="AS43" s="1"/>
      <c r="AT43" s="1"/>
    </row>
    <row r="44" spans="1:46" x14ac:dyDescent="0.3">
      <c r="A44" s="15" t="s">
        <v>230</v>
      </c>
      <c r="B44" s="1">
        <f t="shared" si="22"/>
        <v>8</v>
      </c>
      <c r="C44" s="1">
        <f t="shared" si="23"/>
        <v>9</v>
      </c>
      <c r="D44" s="10" t="str">
        <f t="shared" si="24"/>
        <v>1</v>
      </c>
      <c r="E44" s="1">
        <f t="shared" si="25"/>
        <v>11</v>
      </c>
      <c r="F44" s="1">
        <f t="shared" si="26"/>
        <v>85</v>
      </c>
      <c r="G44" s="1">
        <f t="shared" si="27"/>
        <v>32</v>
      </c>
      <c r="H44" s="1">
        <f t="shared" si="34"/>
        <v>32</v>
      </c>
      <c r="I44" s="10" t="str">
        <f t="shared" si="28"/>
        <v>UpAE_TGT_DCRS_VAL_PT1</v>
      </c>
      <c r="J44" s="1">
        <f t="shared" si="35"/>
        <v>0</v>
      </c>
      <c r="K44" s="1">
        <f t="shared" si="29"/>
        <v>0</v>
      </c>
      <c r="L44" s="1" t="str">
        <f t="shared" si="30"/>
        <v>0</v>
      </c>
      <c r="M44" s="10">
        <f t="shared" si="31"/>
        <v>0</v>
      </c>
      <c r="N44" s="1">
        <f t="shared" si="32"/>
        <v>35</v>
      </c>
      <c r="O44" s="1">
        <f t="shared" si="14"/>
        <v>0</v>
      </c>
      <c r="P44" s="1">
        <f t="shared" si="33"/>
        <v>170</v>
      </c>
      <c r="Q44" s="3" t="str">
        <f t="shared" si="0"/>
        <v xml:space="preserve"> Target Value to be decreased interlocking point 1, [Target_Value = Target - DCRS_TargetVal(Calculate Target through AGC Interlocking) </v>
      </c>
      <c r="R44" s="11">
        <f t="shared" si="15"/>
        <v>78</v>
      </c>
      <c r="S44" s="11"/>
      <c r="T44" s="13" t="str">
        <f t="shared" si="16"/>
        <v>4E</v>
      </c>
      <c r="U44" s="14" t="str">
        <f t="shared" si="1"/>
        <v>UpAE_TGT_DCRS_VAL_PT1</v>
      </c>
      <c r="V44" s="13" t="str">
        <f t="shared" si="2"/>
        <v>1</v>
      </c>
      <c r="W44" s="13">
        <f t="shared" si="3"/>
        <v>0</v>
      </c>
      <c r="X44" s="14" t="str">
        <f t="shared" si="4"/>
        <v xml:space="preserve"> Target Value to be decreased interlocking point 1, [Target_Value = Target - DCRS_TargetVal(Calculate Target through AGC Interlocking) </v>
      </c>
      <c r="Y44" s="1">
        <f t="shared" si="5"/>
        <v>1</v>
      </c>
      <c r="Z44" s="1">
        <f t="shared" si="6"/>
        <v>1</v>
      </c>
      <c r="AA44" s="1">
        <f t="shared" si="36"/>
        <v>102</v>
      </c>
      <c r="AB44" s="1" t="str">
        <f t="shared" si="8"/>
        <v xml:space="preserve"> Target - DCRS_TargetVal(Calculate Target through AGC Interlocking) *</v>
      </c>
      <c r="AC44" s="10" t="str">
        <f t="shared" si="9"/>
        <v xml:space="preserve"> Target - DCRS_TargetVal(Calculate Target through AGC Interlocking) *</v>
      </c>
      <c r="AD44" s="1" t="e">
        <f t="shared" si="17"/>
        <v>#VALUE!</v>
      </c>
      <c r="AF44" s="3" t="e">
        <f t="shared" si="10"/>
        <v>#VALUE!</v>
      </c>
      <c r="AG44" s="5" t="str">
        <f t="shared" si="11"/>
        <v>UpAE_TGT_DCRS_VAL_PT1)/* Target Value to be decreased interlocking point 1, [Target_Value</v>
      </c>
      <c r="AH44" s="3">
        <f t="shared" si="12"/>
        <v>1</v>
      </c>
      <c r="AI44" s="3">
        <f t="shared" si="13"/>
        <v>0</v>
      </c>
      <c r="AJ44" s="7">
        <f t="shared" si="18"/>
        <v>1</v>
      </c>
      <c r="AK44" s="1"/>
      <c r="AL44" s="1"/>
      <c r="AM44" s="10"/>
      <c r="AN44" s="1"/>
      <c r="AO44" s="1"/>
      <c r="AP44" s="1"/>
      <c r="AQ44" s="1"/>
      <c r="AR44" s="1"/>
      <c r="AS44" s="1"/>
      <c r="AT44" s="1"/>
    </row>
    <row r="45" spans="1:46" x14ac:dyDescent="0.3">
      <c r="A45" s="15" t="s">
        <v>231</v>
      </c>
      <c r="B45" s="1">
        <f t="shared" si="22"/>
        <v>8</v>
      </c>
      <c r="C45" s="1">
        <f t="shared" si="23"/>
        <v>9</v>
      </c>
      <c r="D45" s="10" t="str">
        <f t="shared" si="24"/>
        <v>1</v>
      </c>
      <c r="E45" s="1">
        <f t="shared" si="25"/>
        <v>11</v>
      </c>
      <c r="F45" s="1">
        <f t="shared" si="26"/>
        <v>85</v>
      </c>
      <c r="G45" s="1">
        <f t="shared" si="27"/>
        <v>32</v>
      </c>
      <c r="H45" s="1">
        <f t="shared" si="34"/>
        <v>32</v>
      </c>
      <c r="I45" s="10" t="str">
        <f t="shared" si="28"/>
        <v>UpAE_TGT_DCRS_VAL_PT2</v>
      </c>
      <c r="J45" s="1">
        <f t="shared" si="35"/>
        <v>0</v>
      </c>
      <c r="K45" s="1">
        <f t="shared" si="29"/>
        <v>0</v>
      </c>
      <c r="L45" s="1" t="str">
        <f t="shared" si="30"/>
        <v>0</v>
      </c>
      <c r="M45" s="10">
        <f t="shared" si="31"/>
        <v>0</v>
      </c>
      <c r="N45" s="1">
        <f t="shared" si="32"/>
        <v>35</v>
      </c>
      <c r="O45" s="1">
        <f t="shared" si="14"/>
        <v>0</v>
      </c>
      <c r="P45" s="1">
        <f t="shared" si="33"/>
        <v>170</v>
      </c>
      <c r="Q45" s="3" t="str">
        <f t="shared" si="0"/>
        <v xml:space="preserve"> Target Value to be decreased interlocking point 2, [Target_Value = Target - DCRS_TargetVal(Calculate Target through AGC Interlocking) </v>
      </c>
      <c r="R45" s="11">
        <f t="shared" si="15"/>
        <v>79</v>
      </c>
      <c r="S45" s="11"/>
      <c r="T45" s="13" t="str">
        <f t="shared" si="16"/>
        <v>4F</v>
      </c>
      <c r="U45" s="14" t="str">
        <f t="shared" si="1"/>
        <v>UpAE_TGT_DCRS_VAL_PT2</v>
      </c>
      <c r="V45" s="13" t="str">
        <f t="shared" si="2"/>
        <v>1</v>
      </c>
      <c r="W45" s="13">
        <f t="shared" si="3"/>
        <v>0</v>
      </c>
      <c r="X45" s="14" t="str">
        <f t="shared" si="4"/>
        <v xml:space="preserve"> Target Value to be decreased interlocking point 2, [Target_Value = Target - DCRS_TargetVal(Calculate Target through AGC Interlocking) </v>
      </c>
      <c r="Y45" s="1">
        <f t="shared" si="5"/>
        <v>1</v>
      </c>
      <c r="Z45" s="1">
        <f t="shared" si="6"/>
        <v>1</v>
      </c>
      <c r="AA45" s="1">
        <f t="shared" si="36"/>
        <v>102</v>
      </c>
      <c r="AB45" s="1" t="str">
        <f t="shared" si="8"/>
        <v xml:space="preserve"> Target - DCRS_TargetVal(Calculate Target through AGC Interlocking) *</v>
      </c>
      <c r="AC45" s="10" t="str">
        <f t="shared" si="9"/>
        <v xml:space="preserve"> Target - DCRS_TargetVal(Calculate Target through AGC Interlocking) *</v>
      </c>
      <c r="AD45" s="1" t="e">
        <f t="shared" si="17"/>
        <v>#VALUE!</v>
      </c>
      <c r="AF45" s="3" t="e">
        <f t="shared" si="10"/>
        <v>#VALUE!</v>
      </c>
      <c r="AG45" s="5" t="str">
        <f t="shared" si="11"/>
        <v>UpAE_TGT_DCRS_VAL_PT2)/* Target Value to be decreased interlocking point 2, [Target_Value</v>
      </c>
      <c r="AH45" s="3">
        <f t="shared" si="12"/>
        <v>1</v>
      </c>
      <c r="AI45" s="3">
        <f t="shared" si="13"/>
        <v>0</v>
      </c>
      <c r="AJ45" s="7">
        <f t="shared" si="18"/>
        <v>1</v>
      </c>
      <c r="AK45" s="1"/>
      <c r="AL45" s="1"/>
      <c r="AM45" s="10"/>
      <c r="AN45" s="1"/>
      <c r="AO45" s="1"/>
      <c r="AP45" s="1"/>
      <c r="AQ45" s="1"/>
      <c r="AR45" s="1"/>
      <c r="AS45" s="1"/>
      <c r="AT45" s="1"/>
    </row>
    <row r="46" spans="1:46" x14ac:dyDescent="0.3">
      <c r="A46" s="15" t="s">
        <v>61</v>
      </c>
      <c r="B46" s="1">
        <f t="shared" si="22"/>
        <v>8</v>
      </c>
      <c r="C46" s="1">
        <f t="shared" si="23"/>
        <v>9</v>
      </c>
      <c r="D46" s="10" t="str">
        <f t="shared" si="24"/>
        <v>1</v>
      </c>
      <c r="E46" s="1">
        <f t="shared" si="25"/>
        <v>11</v>
      </c>
      <c r="F46" s="1">
        <f t="shared" si="26"/>
        <v>0</v>
      </c>
      <c r="G46" s="1">
        <f t="shared" si="27"/>
        <v>21</v>
      </c>
      <c r="H46" s="1">
        <f t="shared" si="34"/>
        <v>21</v>
      </c>
      <c r="I46" s="10" t="str">
        <f t="shared" si="28"/>
        <v>UpAE_SPEED</v>
      </c>
      <c r="J46" s="1">
        <f t="shared" si="35"/>
        <v>0</v>
      </c>
      <c r="K46" s="1">
        <f t="shared" si="29"/>
        <v>0</v>
      </c>
      <c r="L46" s="1" t="str">
        <f t="shared" si="30"/>
        <v>0</v>
      </c>
      <c r="M46" s="10">
        <f t="shared" si="31"/>
        <v>0</v>
      </c>
      <c r="N46" s="1">
        <f t="shared" si="32"/>
        <v>24</v>
      </c>
      <c r="O46" s="1">
        <f t="shared" si="14"/>
        <v>0</v>
      </c>
      <c r="P46" s="1">
        <f t="shared" si="33"/>
        <v>78</v>
      </c>
      <c r="Q46" s="3" t="str">
        <f t="shared" si="0"/>
        <v xml:space="preserve"> Tracking Speed (0 ~ 0x80 ~ 0xFF -&gt;  x0.25 ~ x1 ~ x4) </v>
      </c>
      <c r="R46" s="11">
        <f t="shared" si="15"/>
        <v>80</v>
      </c>
      <c r="S46" s="11"/>
      <c r="T46" s="13" t="str">
        <f t="shared" si="16"/>
        <v>50</v>
      </c>
      <c r="U46" s="14" t="str">
        <f t="shared" si="1"/>
        <v>UpAE_SPEED</v>
      </c>
      <c r="V46" s="13" t="str">
        <f t="shared" si="2"/>
        <v>1</v>
      </c>
      <c r="W46" s="13">
        <f t="shared" si="3"/>
        <v>0</v>
      </c>
      <c r="X46" s="14" t="str">
        <f t="shared" si="4"/>
        <v xml:space="preserve"> Tracking Speed (0 ~ 0x80 ~ 0xFF -&gt;  x0.25 ~ x1 ~ x4) </v>
      </c>
      <c r="Y46" s="1">
        <f t="shared" si="5"/>
        <v>1</v>
      </c>
      <c r="Z46" s="1">
        <f t="shared" si="6"/>
        <v>1</v>
      </c>
      <c r="AA46" s="1">
        <f t="shared" si="36"/>
        <v>0</v>
      </c>
      <c r="AB46" s="1">
        <f t="shared" si="8"/>
        <v>0</v>
      </c>
      <c r="AC46" s="10" t="e">
        <f t="shared" si="9"/>
        <v>#VALUE!</v>
      </c>
      <c r="AD46" s="1" t="e">
        <f t="shared" si="17"/>
        <v>#VALUE!</v>
      </c>
      <c r="AF46" s="3" t="e">
        <f t="shared" si="10"/>
        <v>#VALUE!</v>
      </c>
      <c r="AG46" s="5" t="str">
        <f t="shared" si="11"/>
        <v>UpAE_SPEED)/* Tracking Speed (0 ~ 0x80 ~ 0xFF -&gt;  x0.25 ~ x1 ~ x4) *</v>
      </c>
      <c r="AH46" s="3">
        <f t="shared" si="12"/>
        <v>1</v>
      </c>
      <c r="AI46" s="3">
        <f t="shared" si="13"/>
        <v>0</v>
      </c>
      <c r="AJ46" s="7">
        <f t="shared" si="18"/>
        <v>1</v>
      </c>
      <c r="AK46" s="1"/>
      <c r="AL46" s="1"/>
      <c r="AM46" s="10"/>
      <c r="AN46" s="1"/>
      <c r="AO46" s="1"/>
      <c r="AP46" s="1"/>
      <c r="AQ46" s="1"/>
      <c r="AR46" s="1"/>
      <c r="AS46" s="1"/>
      <c r="AT46" s="1"/>
    </row>
    <row r="47" spans="1:46" x14ac:dyDescent="0.3">
      <c r="A47" s="15" t="s">
        <v>232</v>
      </c>
      <c r="B47" s="1">
        <f t="shared" si="22"/>
        <v>8</v>
      </c>
      <c r="C47" s="1">
        <f t="shared" si="23"/>
        <v>9</v>
      </c>
      <c r="D47" s="10" t="str">
        <f t="shared" si="24"/>
        <v>1</v>
      </c>
      <c r="E47" s="1">
        <f t="shared" si="25"/>
        <v>11</v>
      </c>
      <c r="F47" s="1">
        <f t="shared" si="26"/>
        <v>0</v>
      </c>
      <c r="G47" s="1">
        <f t="shared" si="27"/>
        <v>27</v>
      </c>
      <c r="H47" s="1">
        <f t="shared" si="34"/>
        <v>27</v>
      </c>
      <c r="I47" s="10" t="str">
        <f t="shared" si="28"/>
        <v>UpAE_DEBLUR_GAIN</v>
      </c>
      <c r="J47" s="1">
        <f t="shared" si="35"/>
        <v>0</v>
      </c>
      <c r="K47" s="1">
        <f t="shared" si="29"/>
        <v>0</v>
      </c>
      <c r="L47" s="1" t="str">
        <f t="shared" si="30"/>
        <v>0</v>
      </c>
      <c r="M47" s="10">
        <f t="shared" si="31"/>
        <v>0</v>
      </c>
      <c r="N47" s="1">
        <f t="shared" si="32"/>
        <v>30</v>
      </c>
      <c r="O47" s="1">
        <f t="shared" si="14"/>
        <v>0</v>
      </c>
      <c r="P47" s="1">
        <f t="shared" si="33"/>
        <v>95</v>
      </c>
      <c r="Q47" s="3" t="str">
        <f t="shared" si="0"/>
        <v xml:space="preserve"> Deblur shutter increasing gradient (0x40 ~ 0xFF -&gt; x0.5 ~ x2.0) </v>
      </c>
      <c r="R47" s="11">
        <f t="shared" si="15"/>
        <v>81</v>
      </c>
      <c r="S47" s="11"/>
      <c r="T47" s="13" t="str">
        <f t="shared" si="16"/>
        <v>51</v>
      </c>
      <c r="U47" s="14" t="str">
        <f t="shared" si="1"/>
        <v>UpAE_DEBLUR_GAIN</v>
      </c>
      <c r="V47" s="13" t="str">
        <f t="shared" si="2"/>
        <v>1</v>
      </c>
      <c r="W47" s="13">
        <f t="shared" si="3"/>
        <v>0</v>
      </c>
      <c r="X47" s="14" t="str">
        <f t="shared" si="4"/>
        <v xml:space="preserve"> Deblur shutter increasing gradient (0x40 ~ 0xFF -&gt; x0.5 ~ x2.0) </v>
      </c>
      <c r="Y47" s="1">
        <f t="shared" si="5"/>
        <v>1</v>
      </c>
      <c r="Z47" s="1">
        <f t="shared" si="6"/>
        <v>1</v>
      </c>
      <c r="AA47" s="1">
        <f t="shared" si="36"/>
        <v>0</v>
      </c>
      <c r="AB47" s="1">
        <f t="shared" si="8"/>
        <v>0</v>
      </c>
      <c r="AC47" s="10" t="e">
        <f t="shared" si="9"/>
        <v>#VALUE!</v>
      </c>
      <c r="AD47" s="1" t="e">
        <f t="shared" si="17"/>
        <v>#VALUE!</v>
      </c>
      <c r="AF47" s="3" t="e">
        <f t="shared" si="10"/>
        <v>#VALUE!</v>
      </c>
      <c r="AG47" s="5" t="str">
        <f t="shared" si="11"/>
        <v>UpAE_DEBLUR_GAIN)/* Deblur shutter increasing gradient (0x40 ~ 0xFF -&gt; x0.5 ~ x2.0) *</v>
      </c>
      <c r="AH47" s="3">
        <f t="shared" si="12"/>
        <v>1</v>
      </c>
      <c r="AI47" s="3">
        <f t="shared" si="13"/>
        <v>0</v>
      </c>
      <c r="AJ47" s="7">
        <f t="shared" si="18"/>
        <v>1</v>
      </c>
      <c r="AK47" s="1"/>
      <c r="AL47" s="1"/>
      <c r="AM47" s="10"/>
      <c r="AN47" s="1"/>
      <c r="AO47" s="1"/>
      <c r="AP47" s="1"/>
      <c r="AQ47" s="1"/>
      <c r="AR47" s="1"/>
      <c r="AS47" s="1"/>
      <c r="AT47" s="1"/>
    </row>
    <row r="48" spans="1:46" x14ac:dyDescent="0.3">
      <c r="A48" s="15" t="s">
        <v>114</v>
      </c>
      <c r="B48" s="1">
        <f t="shared" si="22"/>
        <v>8</v>
      </c>
      <c r="C48" s="1">
        <f t="shared" si="23"/>
        <v>9</v>
      </c>
      <c r="D48" s="10" t="str">
        <f t="shared" si="24"/>
        <v>2</v>
      </c>
      <c r="E48" s="1">
        <f t="shared" si="25"/>
        <v>11</v>
      </c>
      <c r="F48" s="1">
        <f t="shared" si="26"/>
        <v>0</v>
      </c>
      <c r="G48" s="1">
        <f t="shared" si="27"/>
        <v>31</v>
      </c>
      <c r="H48" s="1">
        <f t="shared" si="34"/>
        <v>31</v>
      </c>
      <c r="I48" s="10" t="str">
        <f t="shared" si="28"/>
        <v>UpAE_BLK_LVL_AGC_PT0</v>
      </c>
      <c r="J48" s="1">
        <f t="shared" si="35"/>
        <v>0</v>
      </c>
      <c r="K48" s="1">
        <f t="shared" si="29"/>
        <v>0</v>
      </c>
      <c r="L48" s="1" t="str">
        <f t="shared" si="30"/>
        <v>0</v>
      </c>
      <c r="M48" s="10">
        <f t="shared" si="31"/>
        <v>0</v>
      </c>
      <c r="N48" s="1">
        <f t="shared" si="32"/>
        <v>34</v>
      </c>
      <c r="O48" s="1">
        <f t="shared" si="14"/>
        <v>0</v>
      </c>
      <c r="P48" s="1">
        <f t="shared" si="33"/>
        <v>90</v>
      </c>
      <c r="Q48" s="3" t="str">
        <f t="shared" si="0"/>
        <v xml:space="preserve"> AGC interlocking point 0 for black level (0x0 ~ 0x300) </v>
      </c>
      <c r="R48" s="11">
        <f t="shared" si="15"/>
        <v>82</v>
      </c>
      <c r="S48" s="11"/>
      <c r="T48" s="13" t="str">
        <f t="shared" si="16"/>
        <v>52</v>
      </c>
      <c r="U48" s="14" t="str">
        <f t="shared" si="1"/>
        <v>UpAE_BLK_LVL_AGC_PT0</v>
      </c>
      <c r="V48" s="13" t="str">
        <f t="shared" si="2"/>
        <v>2</v>
      </c>
      <c r="W48" s="13">
        <f t="shared" si="3"/>
        <v>0</v>
      </c>
      <c r="X48" s="14" t="str">
        <f t="shared" si="4"/>
        <v xml:space="preserve"> AGC interlocking point 0 for black level (0x0 ~ 0x300) </v>
      </c>
      <c r="Y48" s="1">
        <f t="shared" si="5"/>
        <v>1</v>
      </c>
      <c r="Z48" s="1">
        <f t="shared" si="6"/>
        <v>2</v>
      </c>
      <c r="AA48" s="1">
        <f t="shared" si="36"/>
        <v>0</v>
      </c>
      <c r="AB48" s="1">
        <f t="shared" si="8"/>
        <v>0</v>
      </c>
      <c r="AC48" s="10" t="e">
        <f t="shared" si="9"/>
        <v>#VALUE!</v>
      </c>
      <c r="AD48" s="1" t="e">
        <f t="shared" si="17"/>
        <v>#VALUE!</v>
      </c>
      <c r="AF48" s="3" t="e">
        <f t="shared" si="10"/>
        <v>#VALUE!</v>
      </c>
      <c r="AG48" s="5" t="str">
        <f t="shared" si="11"/>
        <v>UpAE_BLK_LVL_AGC_PT0)/* AGC interlocking point 0 for black level (0x0 ~ 0x300) *</v>
      </c>
      <c r="AH48" s="3">
        <f t="shared" si="12"/>
        <v>2</v>
      </c>
      <c r="AI48" s="3">
        <f t="shared" si="13"/>
        <v>0</v>
      </c>
      <c r="AJ48" s="7">
        <f t="shared" si="18"/>
        <v>1</v>
      </c>
      <c r="AK48" s="1"/>
      <c r="AL48" s="1"/>
      <c r="AM48" s="10"/>
      <c r="AN48" s="1"/>
      <c r="AO48" s="1"/>
      <c r="AP48" s="1"/>
      <c r="AQ48" s="1"/>
      <c r="AR48" s="1"/>
      <c r="AS48" s="1"/>
      <c r="AT48" s="1"/>
    </row>
    <row r="49" spans="1:46" x14ac:dyDescent="0.3">
      <c r="A49" s="15" t="s">
        <v>115</v>
      </c>
      <c r="B49" s="1">
        <f t="shared" si="22"/>
        <v>8</v>
      </c>
      <c r="C49" s="1">
        <f t="shared" si="23"/>
        <v>9</v>
      </c>
      <c r="D49" s="10" t="str">
        <f t="shared" si="24"/>
        <v>2</v>
      </c>
      <c r="E49" s="1">
        <f t="shared" si="25"/>
        <v>11</v>
      </c>
      <c r="F49" s="1">
        <f t="shared" si="26"/>
        <v>0</v>
      </c>
      <c r="G49" s="1">
        <f t="shared" si="27"/>
        <v>31</v>
      </c>
      <c r="H49" s="1">
        <f t="shared" si="34"/>
        <v>31</v>
      </c>
      <c r="I49" s="10" t="str">
        <f t="shared" si="28"/>
        <v>UpAE_BLK_LVL_AGC_PT1</v>
      </c>
      <c r="J49" s="1">
        <f t="shared" si="35"/>
        <v>0</v>
      </c>
      <c r="K49" s="1">
        <f t="shared" si="29"/>
        <v>0</v>
      </c>
      <c r="L49" s="1" t="str">
        <f t="shared" si="30"/>
        <v>0</v>
      </c>
      <c r="M49" s="10">
        <f t="shared" si="31"/>
        <v>0</v>
      </c>
      <c r="N49" s="1">
        <f t="shared" si="32"/>
        <v>34</v>
      </c>
      <c r="O49" s="1">
        <f t="shared" si="14"/>
        <v>0</v>
      </c>
      <c r="P49" s="1">
        <f t="shared" si="33"/>
        <v>90</v>
      </c>
      <c r="Q49" s="3" t="str">
        <f t="shared" si="0"/>
        <v xml:space="preserve"> AGC interlocking point 1 for black level (0x0 ~ 0x300) </v>
      </c>
      <c r="R49" s="11">
        <f t="shared" si="15"/>
        <v>84</v>
      </c>
      <c r="S49" s="11"/>
      <c r="T49" s="13" t="str">
        <f t="shared" si="16"/>
        <v>54</v>
      </c>
      <c r="U49" s="14" t="str">
        <f t="shared" si="1"/>
        <v>UpAE_BLK_LVL_AGC_PT1</v>
      </c>
      <c r="V49" s="13" t="str">
        <f t="shared" si="2"/>
        <v>2</v>
      </c>
      <c r="W49" s="13">
        <f t="shared" si="3"/>
        <v>0</v>
      </c>
      <c r="X49" s="14" t="str">
        <f t="shared" si="4"/>
        <v xml:space="preserve"> AGC interlocking point 1 for black level (0x0 ~ 0x300) </v>
      </c>
      <c r="Y49" s="1">
        <f t="shared" si="5"/>
        <v>1</v>
      </c>
      <c r="Z49" s="1">
        <f t="shared" si="6"/>
        <v>2</v>
      </c>
      <c r="AA49" s="1">
        <f t="shared" si="36"/>
        <v>0</v>
      </c>
      <c r="AB49" s="1">
        <f t="shared" si="8"/>
        <v>0</v>
      </c>
      <c r="AC49" s="10" t="e">
        <f t="shared" si="9"/>
        <v>#VALUE!</v>
      </c>
      <c r="AD49" s="1" t="e">
        <f t="shared" si="17"/>
        <v>#VALUE!</v>
      </c>
      <c r="AF49" s="3" t="e">
        <f t="shared" si="10"/>
        <v>#VALUE!</v>
      </c>
      <c r="AG49" s="5" t="str">
        <f t="shared" si="11"/>
        <v>UpAE_BLK_LVL_AGC_PT1)/* AGC interlocking point 1 for black level (0x0 ~ 0x300) *</v>
      </c>
      <c r="AH49" s="3">
        <f t="shared" si="12"/>
        <v>2</v>
      </c>
      <c r="AI49" s="3">
        <f t="shared" si="13"/>
        <v>0</v>
      </c>
      <c r="AJ49" s="7">
        <f t="shared" si="18"/>
        <v>1</v>
      </c>
      <c r="AK49" s="1"/>
      <c r="AL49" s="1"/>
      <c r="AM49" s="10"/>
      <c r="AN49" s="1"/>
      <c r="AO49" s="1"/>
      <c r="AP49" s="1"/>
      <c r="AQ49" s="1"/>
      <c r="AR49" s="1"/>
      <c r="AS49" s="1"/>
      <c r="AT49" s="1"/>
    </row>
    <row r="50" spans="1:46" x14ac:dyDescent="0.3">
      <c r="A50" s="15" t="s">
        <v>116</v>
      </c>
      <c r="B50" s="1">
        <f t="shared" si="22"/>
        <v>8</v>
      </c>
      <c r="C50" s="1">
        <f t="shared" si="23"/>
        <v>9</v>
      </c>
      <c r="D50" s="10" t="str">
        <f t="shared" si="24"/>
        <v>2</v>
      </c>
      <c r="E50" s="1">
        <f t="shared" si="25"/>
        <v>11</v>
      </c>
      <c r="F50" s="1">
        <f t="shared" si="26"/>
        <v>0</v>
      </c>
      <c r="G50" s="1">
        <f t="shared" si="27"/>
        <v>31</v>
      </c>
      <c r="H50" s="1">
        <f t="shared" si="34"/>
        <v>31</v>
      </c>
      <c r="I50" s="10" t="str">
        <f t="shared" si="28"/>
        <v>UpAE_BLK_LVL_AGC_PT2</v>
      </c>
      <c r="J50" s="1">
        <f t="shared" si="35"/>
        <v>0</v>
      </c>
      <c r="K50" s="1">
        <f t="shared" si="29"/>
        <v>0</v>
      </c>
      <c r="L50" s="1" t="str">
        <f t="shared" si="30"/>
        <v>0</v>
      </c>
      <c r="M50" s="10">
        <f t="shared" si="31"/>
        <v>0</v>
      </c>
      <c r="N50" s="1">
        <f t="shared" si="32"/>
        <v>34</v>
      </c>
      <c r="O50" s="1">
        <f t="shared" si="14"/>
        <v>0</v>
      </c>
      <c r="P50" s="1">
        <f t="shared" si="33"/>
        <v>90</v>
      </c>
      <c r="Q50" s="3" t="str">
        <f t="shared" si="0"/>
        <v xml:space="preserve"> AGC interlocking point 2 for black level (0x0 ~ 0x300) </v>
      </c>
      <c r="R50" s="11">
        <f t="shared" si="15"/>
        <v>86</v>
      </c>
      <c r="S50" s="11"/>
      <c r="T50" s="13" t="str">
        <f t="shared" si="16"/>
        <v>56</v>
      </c>
      <c r="U50" s="14" t="str">
        <f t="shared" si="1"/>
        <v>UpAE_BLK_LVL_AGC_PT2</v>
      </c>
      <c r="V50" s="13" t="str">
        <f t="shared" si="2"/>
        <v>2</v>
      </c>
      <c r="W50" s="13">
        <f t="shared" si="3"/>
        <v>0</v>
      </c>
      <c r="X50" s="14" t="str">
        <f t="shared" si="4"/>
        <v xml:space="preserve"> AGC interlocking point 2 for black level (0x0 ~ 0x300) </v>
      </c>
      <c r="Y50" s="1">
        <f t="shared" si="5"/>
        <v>1</v>
      </c>
      <c r="Z50" s="1">
        <f t="shared" si="6"/>
        <v>2</v>
      </c>
      <c r="AA50" s="1">
        <f t="shared" si="36"/>
        <v>0</v>
      </c>
      <c r="AB50" s="1">
        <f t="shared" si="8"/>
        <v>0</v>
      </c>
      <c r="AC50" s="10" t="e">
        <f t="shared" si="9"/>
        <v>#VALUE!</v>
      </c>
      <c r="AD50" s="1" t="e">
        <f t="shared" si="17"/>
        <v>#VALUE!</v>
      </c>
      <c r="AF50" s="3" t="e">
        <f t="shared" si="10"/>
        <v>#VALUE!</v>
      </c>
      <c r="AG50" s="5" t="str">
        <f t="shared" si="11"/>
        <v>UpAE_BLK_LVL_AGC_PT2)/* AGC interlocking point 2 for black level (0x0 ~ 0x300) *</v>
      </c>
      <c r="AH50" s="3">
        <f t="shared" si="12"/>
        <v>2</v>
      </c>
      <c r="AI50" s="3">
        <f t="shared" si="13"/>
        <v>0</v>
      </c>
      <c r="AJ50" s="7">
        <f t="shared" si="18"/>
        <v>1</v>
      </c>
      <c r="AK50" s="1"/>
      <c r="AL50" s="1"/>
      <c r="AM50" s="10"/>
      <c r="AN50" s="1"/>
      <c r="AO50" s="1"/>
      <c r="AP50" s="1"/>
      <c r="AQ50" s="1"/>
      <c r="AR50" s="1"/>
      <c r="AS50" s="1"/>
      <c r="AT50" s="1"/>
    </row>
    <row r="51" spans="1:46" x14ac:dyDescent="0.3">
      <c r="A51" s="15" t="s">
        <v>233</v>
      </c>
      <c r="B51" s="1">
        <f t="shared" si="22"/>
        <v>8</v>
      </c>
      <c r="C51" s="1">
        <f t="shared" si="23"/>
        <v>9</v>
      </c>
      <c r="D51" s="10" t="str">
        <f t="shared" si="24"/>
        <v>1</v>
      </c>
      <c r="E51" s="1">
        <f t="shared" si="25"/>
        <v>11</v>
      </c>
      <c r="F51" s="1">
        <f t="shared" si="26"/>
        <v>0</v>
      </c>
      <c r="G51" s="1">
        <f t="shared" si="27"/>
        <v>31</v>
      </c>
      <c r="H51" s="1">
        <f t="shared" si="34"/>
        <v>31</v>
      </c>
      <c r="I51" s="10" t="str">
        <f t="shared" si="28"/>
        <v>UpAE_BLK_LVL_VAL_PT0</v>
      </c>
      <c r="J51" s="1">
        <f t="shared" si="35"/>
        <v>0</v>
      </c>
      <c r="K51" s="1">
        <f t="shared" si="29"/>
        <v>0</v>
      </c>
      <c r="L51" s="1" t="str">
        <f t="shared" si="30"/>
        <v>0</v>
      </c>
      <c r="M51" s="10">
        <f t="shared" si="31"/>
        <v>0</v>
      </c>
      <c r="N51" s="1">
        <f t="shared" si="32"/>
        <v>34</v>
      </c>
      <c r="O51" s="1">
        <f t="shared" si="14"/>
        <v>0</v>
      </c>
      <c r="P51" s="1">
        <f t="shared" si="33"/>
        <v>85</v>
      </c>
      <c r="Q51" s="3" t="str">
        <f t="shared" si="0"/>
        <v xml:space="preserve"> Black level corresponding to interlocking point 0 </v>
      </c>
      <c r="R51" s="11">
        <f t="shared" si="15"/>
        <v>88</v>
      </c>
      <c r="S51" s="11"/>
      <c r="T51" s="13" t="str">
        <f t="shared" si="16"/>
        <v>58</v>
      </c>
      <c r="U51" s="14" t="str">
        <f t="shared" si="1"/>
        <v>UpAE_BLK_LVL_VAL_PT0</v>
      </c>
      <c r="V51" s="13" t="str">
        <f t="shared" si="2"/>
        <v>1</v>
      </c>
      <c r="W51" s="13">
        <f t="shared" si="3"/>
        <v>0</v>
      </c>
      <c r="X51" s="14" t="str">
        <f t="shared" si="4"/>
        <v xml:space="preserve"> Black level corresponding to interlocking point 0 </v>
      </c>
      <c r="Y51" s="1">
        <f t="shared" si="5"/>
        <v>1</v>
      </c>
      <c r="Z51" s="1">
        <f t="shared" si="6"/>
        <v>1</v>
      </c>
      <c r="AA51" s="1">
        <f t="shared" si="36"/>
        <v>0</v>
      </c>
      <c r="AB51" s="1">
        <f t="shared" si="8"/>
        <v>0</v>
      </c>
      <c r="AC51" s="10" t="e">
        <f t="shared" si="9"/>
        <v>#VALUE!</v>
      </c>
      <c r="AD51" s="1" t="e">
        <f t="shared" si="17"/>
        <v>#VALUE!</v>
      </c>
      <c r="AF51" s="3" t="e">
        <f t="shared" si="10"/>
        <v>#VALUE!</v>
      </c>
      <c r="AG51" s="5" t="str">
        <f t="shared" si="11"/>
        <v>UpAE_BLK_LVL_VAL_PT0)/* Black level corresponding to interlocking point 0 *</v>
      </c>
      <c r="AH51" s="3">
        <f t="shared" si="12"/>
        <v>1</v>
      </c>
      <c r="AI51" s="3">
        <f t="shared" si="13"/>
        <v>0</v>
      </c>
      <c r="AJ51" s="7">
        <f t="shared" si="18"/>
        <v>1</v>
      </c>
      <c r="AK51" s="1"/>
      <c r="AL51" s="1"/>
      <c r="AM51" s="10"/>
      <c r="AN51" s="1"/>
      <c r="AO51" s="1"/>
      <c r="AP51" s="1"/>
      <c r="AQ51" s="1"/>
      <c r="AR51" s="1"/>
      <c r="AS51" s="1"/>
      <c r="AT51" s="1"/>
    </row>
    <row r="52" spans="1:46" x14ac:dyDescent="0.3">
      <c r="A52" s="15" t="s">
        <v>234</v>
      </c>
      <c r="B52" s="1">
        <f t="shared" si="22"/>
        <v>8</v>
      </c>
      <c r="C52" s="1">
        <f t="shared" si="23"/>
        <v>9</v>
      </c>
      <c r="D52" s="10" t="str">
        <f t="shared" si="24"/>
        <v>1</v>
      </c>
      <c r="E52" s="1">
        <f t="shared" si="25"/>
        <v>11</v>
      </c>
      <c r="F52" s="1">
        <f t="shared" si="26"/>
        <v>0</v>
      </c>
      <c r="G52" s="1">
        <f t="shared" si="27"/>
        <v>31</v>
      </c>
      <c r="H52" s="1">
        <f t="shared" si="34"/>
        <v>31</v>
      </c>
      <c r="I52" s="10" t="str">
        <f t="shared" si="28"/>
        <v>UpAE_BLK_LVL_VAL_PT1</v>
      </c>
      <c r="J52" s="1">
        <f t="shared" si="35"/>
        <v>0</v>
      </c>
      <c r="K52" s="1">
        <f t="shared" si="29"/>
        <v>0</v>
      </c>
      <c r="L52" s="1" t="str">
        <f t="shared" si="30"/>
        <v>0</v>
      </c>
      <c r="M52" s="10">
        <f t="shared" si="31"/>
        <v>0</v>
      </c>
      <c r="N52" s="1">
        <f t="shared" si="32"/>
        <v>34</v>
      </c>
      <c r="O52" s="1">
        <f t="shared" si="14"/>
        <v>0</v>
      </c>
      <c r="P52" s="1">
        <f t="shared" si="33"/>
        <v>85</v>
      </c>
      <c r="Q52" s="3" t="str">
        <f t="shared" si="0"/>
        <v xml:space="preserve"> Black level corresponding to interlocking point 1 </v>
      </c>
      <c r="R52" s="11">
        <f t="shared" si="15"/>
        <v>89</v>
      </c>
      <c r="S52" s="11"/>
      <c r="T52" s="13" t="str">
        <f t="shared" si="16"/>
        <v>59</v>
      </c>
      <c r="U52" s="14" t="str">
        <f t="shared" si="1"/>
        <v>UpAE_BLK_LVL_VAL_PT1</v>
      </c>
      <c r="V52" s="13" t="str">
        <f t="shared" si="2"/>
        <v>1</v>
      </c>
      <c r="W52" s="13">
        <f t="shared" si="3"/>
        <v>0</v>
      </c>
      <c r="X52" s="14" t="str">
        <f t="shared" si="4"/>
        <v xml:space="preserve"> Black level corresponding to interlocking point 1 </v>
      </c>
      <c r="Y52" s="1">
        <f t="shared" si="5"/>
        <v>1</v>
      </c>
      <c r="Z52" s="1">
        <f t="shared" si="6"/>
        <v>1</v>
      </c>
      <c r="AA52" s="1">
        <f t="shared" si="36"/>
        <v>0</v>
      </c>
      <c r="AB52" s="1">
        <f t="shared" si="8"/>
        <v>0</v>
      </c>
      <c r="AC52" s="10" t="e">
        <f t="shared" si="9"/>
        <v>#VALUE!</v>
      </c>
      <c r="AD52" s="1" t="e">
        <f t="shared" si="17"/>
        <v>#VALUE!</v>
      </c>
      <c r="AF52" s="3" t="e">
        <f t="shared" si="10"/>
        <v>#VALUE!</v>
      </c>
      <c r="AG52" s="5" t="str">
        <f t="shared" si="11"/>
        <v>UpAE_BLK_LVL_VAL_PT1)/* Black level corresponding to interlocking point 1 *</v>
      </c>
      <c r="AH52" s="3">
        <f t="shared" si="12"/>
        <v>1</v>
      </c>
      <c r="AI52" s="3">
        <f t="shared" si="13"/>
        <v>0</v>
      </c>
      <c r="AJ52" s="7">
        <f t="shared" si="18"/>
        <v>1</v>
      </c>
      <c r="AK52" s="1"/>
      <c r="AL52" s="1"/>
      <c r="AM52" s="10"/>
      <c r="AN52" s="1"/>
      <c r="AO52" s="1"/>
      <c r="AP52" s="1"/>
      <c r="AQ52" s="1"/>
      <c r="AR52" s="1"/>
      <c r="AS52" s="1"/>
      <c r="AT52" s="1"/>
    </row>
    <row r="53" spans="1:46" x14ac:dyDescent="0.3">
      <c r="A53" s="15" t="s">
        <v>235</v>
      </c>
      <c r="B53" s="1">
        <f t="shared" si="22"/>
        <v>8</v>
      </c>
      <c r="C53" s="1">
        <f t="shared" si="23"/>
        <v>9</v>
      </c>
      <c r="D53" s="10" t="str">
        <f t="shared" si="24"/>
        <v>1</v>
      </c>
      <c r="E53" s="1">
        <f t="shared" si="25"/>
        <v>11</v>
      </c>
      <c r="F53" s="1">
        <f t="shared" si="26"/>
        <v>0</v>
      </c>
      <c r="G53" s="1">
        <f t="shared" si="27"/>
        <v>31</v>
      </c>
      <c r="H53" s="1">
        <f t="shared" si="34"/>
        <v>31</v>
      </c>
      <c r="I53" s="10" t="str">
        <f t="shared" si="28"/>
        <v>UpAE_BLK_LVL_VAL_PT2</v>
      </c>
      <c r="J53" s="1">
        <f t="shared" si="35"/>
        <v>0</v>
      </c>
      <c r="K53" s="1">
        <f t="shared" si="29"/>
        <v>0</v>
      </c>
      <c r="L53" s="1" t="str">
        <f t="shared" si="30"/>
        <v>0</v>
      </c>
      <c r="M53" s="10">
        <f t="shared" si="31"/>
        <v>0</v>
      </c>
      <c r="N53" s="1">
        <f t="shared" si="32"/>
        <v>34</v>
      </c>
      <c r="O53" s="1">
        <f t="shared" si="14"/>
        <v>0</v>
      </c>
      <c r="P53" s="1">
        <f t="shared" si="33"/>
        <v>85</v>
      </c>
      <c r="Q53" s="3" t="str">
        <f t="shared" si="0"/>
        <v xml:space="preserve"> Black level corresponding to interlocking point 2 </v>
      </c>
      <c r="R53" s="11">
        <f t="shared" si="15"/>
        <v>90</v>
      </c>
      <c r="S53" s="11"/>
      <c r="T53" s="13" t="str">
        <f t="shared" si="16"/>
        <v>5A</v>
      </c>
      <c r="U53" s="14" t="str">
        <f t="shared" si="1"/>
        <v>UpAE_BLK_LVL_VAL_PT2</v>
      </c>
      <c r="V53" s="13" t="str">
        <f t="shared" si="2"/>
        <v>1</v>
      </c>
      <c r="W53" s="13">
        <f t="shared" si="3"/>
        <v>0</v>
      </c>
      <c r="X53" s="14" t="str">
        <f t="shared" si="4"/>
        <v xml:space="preserve"> Black level corresponding to interlocking point 2 </v>
      </c>
      <c r="Y53" s="1">
        <f t="shared" si="5"/>
        <v>1</v>
      </c>
      <c r="Z53" s="1">
        <f t="shared" si="6"/>
        <v>1</v>
      </c>
      <c r="AA53" s="1">
        <f t="shared" si="36"/>
        <v>0</v>
      </c>
      <c r="AB53" s="1">
        <f t="shared" si="8"/>
        <v>0</v>
      </c>
      <c r="AC53" s="10" t="e">
        <f t="shared" si="9"/>
        <v>#VALUE!</v>
      </c>
      <c r="AD53" s="1" t="e">
        <f t="shared" si="17"/>
        <v>#VALUE!</v>
      </c>
      <c r="AF53" s="3" t="e">
        <f t="shared" si="10"/>
        <v>#VALUE!</v>
      </c>
      <c r="AG53" s="5" t="str">
        <f t="shared" si="11"/>
        <v>UpAE_BLK_LVL_VAL_PT2)/* Black level corresponding to interlocking point 2 *</v>
      </c>
      <c r="AH53" s="3">
        <f t="shared" si="12"/>
        <v>1</v>
      </c>
      <c r="AI53" s="3">
        <f t="shared" si="13"/>
        <v>0</v>
      </c>
      <c r="AJ53" s="7">
        <f t="shared" si="18"/>
        <v>1</v>
      </c>
      <c r="AK53" s="1"/>
      <c r="AL53" s="1"/>
      <c r="AM53" s="10"/>
      <c r="AN53" s="1"/>
      <c r="AO53" s="1"/>
      <c r="AP53" s="1"/>
      <c r="AQ53" s="1"/>
      <c r="AR53" s="1"/>
      <c r="AS53" s="1"/>
      <c r="AT53" s="1"/>
    </row>
    <row r="54" spans="1:46" x14ac:dyDescent="0.3">
      <c r="A54" s="15" t="s">
        <v>236</v>
      </c>
      <c r="B54" s="1">
        <f t="shared" si="22"/>
        <v>8</v>
      </c>
      <c r="C54" s="1">
        <f t="shared" si="23"/>
        <v>9</v>
      </c>
      <c r="D54" s="10" t="str">
        <f t="shared" si="24"/>
        <v>2</v>
      </c>
      <c r="E54" s="1">
        <f t="shared" si="25"/>
        <v>11</v>
      </c>
      <c r="F54" s="1">
        <f t="shared" si="26"/>
        <v>0</v>
      </c>
      <c r="G54" s="1">
        <f t="shared" si="27"/>
        <v>27</v>
      </c>
      <c r="H54" s="1">
        <f t="shared" si="34"/>
        <v>27</v>
      </c>
      <c r="I54" s="10" t="str">
        <f t="shared" si="28"/>
        <v>UpAE_CLP_AGC_PT0</v>
      </c>
      <c r="J54" s="1">
        <f t="shared" si="35"/>
        <v>0</v>
      </c>
      <c r="K54" s="1">
        <f t="shared" si="29"/>
        <v>0</v>
      </c>
      <c r="L54" s="1" t="str">
        <f t="shared" si="30"/>
        <v>0</v>
      </c>
      <c r="M54" s="10">
        <f t="shared" si="31"/>
        <v>0</v>
      </c>
      <c r="N54" s="1">
        <f t="shared" si="32"/>
        <v>30</v>
      </c>
      <c r="O54" s="1">
        <f t="shared" si="14"/>
        <v>0</v>
      </c>
      <c r="P54" s="1">
        <f t="shared" si="33"/>
        <v>71</v>
      </c>
      <c r="Q54" s="3" t="str">
        <f t="shared" si="0"/>
        <v xml:space="preserve"> AGC interlocking point 0 for CLIP_VALUE </v>
      </c>
      <c r="R54" s="11">
        <f t="shared" si="15"/>
        <v>91</v>
      </c>
      <c r="S54" s="11"/>
      <c r="T54" s="13" t="str">
        <f t="shared" si="16"/>
        <v>5B</v>
      </c>
      <c r="U54" s="14" t="str">
        <f t="shared" si="1"/>
        <v>UpAE_CLP_AGC_PT0</v>
      </c>
      <c r="V54" s="13" t="str">
        <f t="shared" si="2"/>
        <v>2</v>
      </c>
      <c r="W54" s="13">
        <f t="shared" si="3"/>
        <v>0</v>
      </c>
      <c r="X54" s="14" t="str">
        <f t="shared" si="4"/>
        <v xml:space="preserve"> AGC interlocking point 0 for CLIP_VALUE </v>
      </c>
      <c r="Y54" s="1">
        <f t="shared" si="5"/>
        <v>1</v>
      </c>
      <c r="Z54" s="1">
        <f t="shared" si="6"/>
        <v>2</v>
      </c>
      <c r="AA54" s="1">
        <f t="shared" si="36"/>
        <v>0</v>
      </c>
      <c r="AB54" s="1">
        <f t="shared" si="8"/>
        <v>0</v>
      </c>
      <c r="AC54" s="10" t="e">
        <f t="shared" si="9"/>
        <v>#VALUE!</v>
      </c>
      <c r="AD54" s="1" t="e">
        <f t="shared" si="17"/>
        <v>#VALUE!</v>
      </c>
      <c r="AF54" s="3" t="e">
        <f t="shared" si="10"/>
        <v>#VALUE!</v>
      </c>
      <c r="AG54" s="5" t="str">
        <f t="shared" si="11"/>
        <v>UpAE_CLP_AGC_PT0)/* AGC interlocking point 0 for CLIP_VALUE *</v>
      </c>
      <c r="AH54" s="3">
        <f t="shared" si="12"/>
        <v>2</v>
      </c>
      <c r="AI54" s="3">
        <f t="shared" si="13"/>
        <v>0</v>
      </c>
      <c r="AJ54" s="7">
        <f t="shared" si="18"/>
        <v>1</v>
      </c>
      <c r="AK54" s="1"/>
      <c r="AL54" s="1"/>
      <c r="AM54" s="10"/>
      <c r="AN54" s="1"/>
      <c r="AO54" s="1"/>
      <c r="AP54" s="1"/>
      <c r="AQ54" s="1"/>
      <c r="AR54" s="1"/>
      <c r="AS54" s="1"/>
      <c r="AT54" s="1"/>
    </row>
    <row r="55" spans="1:46" x14ac:dyDescent="0.3">
      <c r="A55" s="15" t="s">
        <v>237</v>
      </c>
      <c r="B55" s="1">
        <f t="shared" si="22"/>
        <v>8</v>
      </c>
      <c r="C55" s="1">
        <f t="shared" si="23"/>
        <v>9</v>
      </c>
      <c r="D55" s="10" t="str">
        <f t="shared" si="24"/>
        <v>2</v>
      </c>
      <c r="E55" s="1">
        <f t="shared" si="25"/>
        <v>11</v>
      </c>
      <c r="F55" s="1">
        <f t="shared" si="26"/>
        <v>0</v>
      </c>
      <c r="G55" s="1">
        <f t="shared" si="27"/>
        <v>27</v>
      </c>
      <c r="H55" s="1">
        <f t="shared" si="34"/>
        <v>27</v>
      </c>
      <c r="I55" s="10" t="str">
        <f t="shared" si="28"/>
        <v>UpAE_CLP_AGC_PT1</v>
      </c>
      <c r="J55" s="1">
        <f t="shared" si="35"/>
        <v>0</v>
      </c>
      <c r="K55" s="1">
        <f t="shared" si="29"/>
        <v>0</v>
      </c>
      <c r="L55" s="1" t="str">
        <f t="shared" si="30"/>
        <v>0</v>
      </c>
      <c r="M55" s="10">
        <f t="shared" si="31"/>
        <v>0</v>
      </c>
      <c r="N55" s="1">
        <f t="shared" si="32"/>
        <v>30</v>
      </c>
      <c r="O55" s="1">
        <f t="shared" si="14"/>
        <v>0</v>
      </c>
      <c r="P55" s="1">
        <f t="shared" si="33"/>
        <v>71</v>
      </c>
      <c r="Q55" s="3" t="str">
        <f t="shared" si="0"/>
        <v xml:space="preserve"> AGC interlocking point 1 for CLIP_VALUE </v>
      </c>
      <c r="R55" s="11">
        <f t="shared" si="15"/>
        <v>93</v>
      </c>
      <c r="S55" s="11"/>
      <c r="T55" s="13" t="str">
        <f t="shared" si="16"/>
        <v>5D</v>
      </c>
      <c r="U55" s="14" t="str">
        <f t="shared" si="1"/>
        <v>UpAE_CLP_AGC_PT1</v>
      </c>
      <c r="V55" s="13" t="str">
        <f t="shared" si="2"/>
        <v>2</v>
      </c>
      <c r="W55" s="13">
        <f t="shared" si="3"/>
        <v>0</v>
      </c>
      <c r="X55" s="14" t="str">
        <f t="shared" si="4"/>
        <v xml:space="preserve"> AGC interlocking point 1 for CLIP_VALUE </v>
      </c>
      <c r="Y55" s="1">
        <f t="shared" si="5"/>
        <v>1</v>
      </c>
      <c r="Z55" s="1">
        <f t="shared" si="6"/>
        <v>2</v>
      </c>
      <c r="AA55" s="1">
        <f t="shared" si="36"/>
        <v>0</v>
      </c>
      <c r="AB55" s="1">
        <f t="shared" si="8"/>
        <v>0</v>
      </c>
      <c r="AC55" s="10" t="e">
        <f t="shared" si="9"/>
        <v>#VALUE!</v>
      </c>
      <c r="AD55" s="1" t="e">
        <f t="shared" si="17"/>
        <v>#VALUE!</v>
      </c>
      <c r="AF55" s="3" t="e">
        <f t="shared" si="10"/>
        <v>#VALUE!</v>
      </c>
      <c r="AG55" s="5" t="str">
        <f t="shared" si="11"/>
        <v>UpAE_CLP_AGC_PT1)/* AGC interlocking point 1 for CLIP_VALUE *</v>
      </c>
      <c r="AH55" s="3">
        <f t="shared" si="12"/>
        <v>2</v>
      </c>
      <c r="AI55" s="3">
        <f t="shared" si="13"/>
        <v>0</v>
      </c>
      <c r="AJ55" s="7">
        <f t="shared" si="18"/>
        <v>1</v>
      </c>
      <c r="AK55" s="1"/>
      <c r="AL55" s="1"/>
      <c r="AM55" s="10"/>
      <c r="AN55" s="1"/>
      <c r="AO55" s="1"/>
      <c r="AP55" s="1"/>
      <c r="AQ55" s="1"/>
      <c r="AR55" s="1"/>
      <c r="AS55" s="1"/>
      <c r="AT55" s="1"/>
    </row>
    <row r="56" spans="1:46" x14ac:dyDescent="0.3">
      <c r="A56" s="15" t="s">
        <v>238</v>
      </c>
      <c r="B56" s="1">
        <f t="shared" si="22"/>
        <v>8</v>
      </c>
      <c r="C56" s="1">
        <f t="shared" si="23"/>
        <v>9</v>
      </c>
      <c r="D56" s="10" t="str">
        <f t="shared" si="24"/>
        <v>2</v>
      </c>
      <c r="E56" s="1">
        <f t="shared" si="25"/>
        <v>11</v>
      </c>
      <c r="F56" s="1">
        <f t="shared" si="26"/>
        <v>0</v>
      </c>
      <c r="G56" s="1">
        <f t="shared" si="27"/>
        <v>27</v>
      </c>
      <c r="H56" s="1">
        <f t="shared" si="34"/>
        <v>27</v>
      </c>
      <c r="I56" s="10" t="str">
        <f t="shared" si="28"/>
        <v>UpAE_CLP_AGC_PT2</v>
      </c>
      <c r="J56" s="1">
        <f t="shared" si="35"/>
        <v>0</v>
      </c>
      <c r="K56" s="1">
        <f t="shared" si="29"/>
        <v>0</v>
      </c>
      <c r="L56" s="1" t="str">
        <f t="shared" si="30"/>
        <v>0</v>
      </c>
      <c r="M56" s="10">
        <f t="shared" si="31"/>
        <v>0</v>
      </c>
      <c r="N56" s="1">
        <f t="shared" si="32"/>
        <v>30</v>
      </c>
      <c r="O56" s="1">
        <f t="shared" si="14"/>
        <v>0</v>
      </c>
      <c r="P56" s="1">
        <f t="shared" si="33"/>
        <v>71</v>
      </c>
      <c r="Q56" s="3" t="str">
        <f t="shared" si="0"/>
        <v xml:space="preserve"> AGC interlocking point 2 for CLIP_VALUE </v>
      </c>
      <c r="R56" s="11">
        <f t="shared" si="15"/>
        <v>95</v>
      </c>
      <c r="S56" s="11"/>
      <c r="T56" s="13" t="str">
        <f t="shared" si="16"/>
        <v>5F</v>
      </c>
      <c r="U56" s="14" t="str">
        <f t="shared" si="1"/>
        <v>UpAE_CLP_AGC_PT2</v>
      </c>
      <c r="V56" s="13" t="str">
        <f t="shared" si="2"/>
        <v>2</v>
      </c>
      <c r="W56" s="13">
        <f t="shared" si="3"/>
        <v>0</v>
      </c>
      <c r="X56" s="14" t="str">
        <f t="shared" si="4"/>
        <v xml:space="preserve"> AGC interlocking point 2 for CLIP_VALUE </v>
      </c>
      <c r="Y56" s="1">
        <f t="shared" si="5"/>
        <v>1</v>
      </c>
      <c r="Z56" s="1">
        <f t="shared" si="6"/>
        <v>2</v>
      </c>
      <c r="AA56" s="1">
        <f t="shared" si="36"/>
        <v>0</v>
      </c>
      <c r="AB56" s="1">
        <f t="shared" si="8"/>
        <v>0</v>
      </c>
      <c r="AC56" s="10" t="e">
        <f t="shared" si="9"/>
        <v>#VALUE!</v>
      </c>
      <c r="AD56" s="1" t="e">
        <f t="shared" si="17"/>
        <v>#VALUE!</v>
      </c>
      <c r="AF56" s="3" t="e">
        <f t="shared" si="10"/>
        <v>#VALUE!</v>
      </c>
      <c r="AG56" s="5" t="str">
        <f t="shared" si="11"/>
        <v>UpAE_CLP_AGC_PT2)/* AGC interlocking point 2 for CLIP_VALUE *</v>
      </c>
      <c r="AH56" s="3">
        <f t="shared" si="12"/>
        <v>2</v>
      </c>
      <c r="AI56" s="3">
        <f t="shared" si="13"/>
        <v>0</v>
      </c>
      <c r="AJ56" s="7">
        <f t="shared" si="18"/>
        <v>1</v>
      </c>
      <c r="AK56" s="1"/>
      <c r="AL56" s="1"/>
      <c r="AM56" s="10"/>
      <c r="AN56" s="1"/>
      <c r="AO56" s="1"/>
      <c r="AP56" s="1"/>
      <c r="AQ56" s="1"/>
      <c r="AR56" s="1"/>
      <c r="AS56" s="1"/>
      <c r="AT56" s="1"/>
    </row>
    <row r="57" spans="1:46" x14ac:dyDescent="0.3">
      <c r="A57" s="15" t="s">
        <v>239</v>
      </c>
      <c r="B57" s="1">
        <f t="shared" si="22"/>
        <v>8</v>
      </c>
      <c r="C57" s="1">
        <f t="shared" si="23"/>
        <v>9</v>
      </c>
      <c r="D57" s="10" t="str">
        <f t="shared" si="24"/>
        <v>2</v>
      </c>
      <c r="E57" s="1">
        <f t="shared" si="25"/>
        <v>11</v>
      </c>
      <c r="F57" s="1">
        <f t="shared" si="26"/>
        <v>79</v>
      </c>
      <c r="G57" s="1">
        <f t="shared" si="27"/>
        <v>27</v>
      </c>
      <c r="H57" s="1">
        <f t="shared" si="34"/>
        <v>27</v>
      </c>
      <c r="I57" s="10" t="str">
        <f t="shared" si="28"/>
        <v>UpAE_CLP_VAL_PT0</v>
      </c>
      <c r="J57" s="1">
        <f t="shared" si="35"/>
        <v>0</v>
      </c>
      <c r="K57" s="1">
        <f t="shared" si="29"/>
        <v>0</v>
      </c>
      <c r="L57" s="1" t="str">
        <f t="shared" si="30"/>
        <v>0</v>
      </c>
      <c r="M57" s="10">
        <f t="shared" si="31"/>
        <v>0</v>
      </c>
      <c r="N57" s="1">
        <f t="shared" si="32"/>
        <v>30</v>
      </c>
      <c r="O57" s="1">
        <f t="shared" si="14"/>
        <v>0</v>
      </c>
      <c r="P57" s="1">
        <f t="shared" si="33"/>
        <v>120</v>
      </c>
      <c r="Q57" s="3" t="str">
        <f t="shared" si="0"/>
        <v xml:space="preserve"> CLIP VALUE corresponding to interlocking point 0, (Clip_LEVEL = Target_Val + CLIP_VALUE) </v>
      </c>
      <c r="R57" s="11">
        <f t="shared" si="15"/>
        <v>97</v>
      </c>
      <c r="S57" s="11"/>
      <c r="T57" s="13" t="str">
        <f t="shared" si="16"/>
        <v>61</v>
      </c>
      <c r="U57" s="14" t="str">
        <f t="shared" si="1"/>
        <v>UpAE_CLP_VAL_PT0</v>
      </c>
      <c r="V57" s="13" t="str">
        <f t="shared" si="2"/>
        <v>2</v>
      </c>
      <c r="W57" s="13">
        <f t="shared" si="3"/>
        <v>0</v>
      </c>
      <c r="X57" s="14" t="str">
        <f t="shared" si="4"/>
        <v xml:space="preserve"> CLIP VALUE corresponding to interlocking point 0, (Clip_LEVEL = Target_Val + CLIP_VALUE) </v>
      </c>
      <c r="Y57" s="1">
        <f t="shared" si="5"/>
        <v>1</v>
      </c>
      <c r="Z57" s="1">
        <f t="shared" si="6"/>
        <v>2</v>
      </c>
      <c r="AA57" s="1">
        <f t="shared" si="36"/>
        <v>94</v>
      </c>
      <c r="AB57" s="1" t="str">
        <f t="shared" si="8"/>
        <v xml:space="preserve"> Target_Val + CLIP_VALUE) *</v>
      </c>
      <c r="AC57" s="10" t="str">
        <f t="shared" si="9"/>
        <v xml:space="preserve"> Target_Val + CLIP_VALUE) *</v>
      </c>
      <c r="AD57" s="1" t="e">
        <f t="shared" si="17"/>
        <v>#VALUE!</v>
      </c>
      <c r="AF57" s="3" t="e">
        <f t="shared" si="10"/>
        <v>#VALUE!</v>
      </c>
      <c r="AG57" s="5" t="str">
        <f t="shared" si="11"/>
        <v>UpAE_CLP_VAL_PT0)/* CLIP VALUE corresponding to interlocking point 0, (Clip_LEVEL</v>
      </c>
      <c r="AH57" s="3">
        <f t="shared" si="12"/>
        <v>2</v>
      </c>
      <c r="AI57" s="3">
        <f t="shared" si="13"/>
        <v>0</v>
      </c>
      <c r="AJ57" s="7">
        <f t="shared" si="18"/>
        <v>1</v>
      </c>
      <c r="AK57" s="1"/>
      <c r="AL57" s="1"/>
      <c r="AM57" s="10"/>
      <c r="AN57" s="1"/>
      <c r="AO57" s="1"/>
      <c r="AP57" s="1"/>
      <c r="AQ57" s="1"/>
      <c r="AR57" s="1"/>
      <c r="AS57" s="1"/>
      <c r="AT57" s="1"/>
    </row>
    <row r="58" spans="1:46" x14ac:dyDescent="0.3">
      <c r="A58" s="15" t="s">
        <v>240</v>
      </c>
      <c r="B58" s="1">
        <f t="shared" si="22"/>
        <v>8</v>
      </c>
      <c r="C58" s="1">
        <f t="shared" si="23"/>
        <v>9</v>
      </c>
      <c r="D58" s="10" t="str">
        <f t="shared" si="24"/>
        <v>2</v>
      </c>
      <c r="E58" s="1">
        <f t="shared" si="25"/>
        <v>11</v>
      </c>
      <c r="F58" s="1">
        <f t="shared" si="26"/>
        <v>79</v>
      </c>
      <c r="G58" s="1">
        <f t="shared" si="27"/>
        <v>27</v>
      </c>
      <c r="H58" s="1">
        <f t="shared" si="34"/>
        <v>27</v>
      </c>
      <c r="I58" s="10" t="str">
        <f t="shared" si="28"/>
        <v>UpAE_CLP_VAL_PT1</v>
      </c>
      <c r="J58" s="1">
        <f t="shared" si="35"/>
        <v>0</v>
      </c>
      <c r="K58" s="1">
        <f t="shared" si="29"/>
        <v>0</v>
      </c>
      <c r="L58" s="1" t="str">
        <f t="shared" si="30"/>
        <v>0</v>
      </c>
      <c r="M58" s="10">
        <f t="shared" si="31"/>
        <v>0</v>
      </c>
      <c r="N58" s="1">
        <f t="shared" si="32"/>
        <v>30</v>
      </c>
      <c r="O58" s="1">
        <f t="shared" si="14"/>
        <v>0</v>
      </c>
      <c r="P58" s="1">
        <f t="shared" si="33"/>
        <v>120</v>
      </c>
      <c r="Q58" s="3" t="str">
        <f t="shared" si="0"/>
        <v xml:space="preserve"> CLIP VALUE corresponding to interlocking point 1, (Clip_LEVEL = Target_Val + CLIP_VALUE) </v>
      </c>
      <c r="R58" s="11">
        <f t="shared" si="15"/>
        <v>99</v>
      </c>
      <c r="S58" s="11"/>
      <c r="T58" s="13" t="str">
        <f t="shared" si="16"/>
        <v>63</v>
      </c>
      <c r="U58" s="14" t="str">
        <f t="shared" si="1"/>
        <v>UpAE_CLP_VAL_PT1</v>
      </c>
      <c r="V58" s="13" t="str">
        <f t="shared" si="2"/>
        <v>2</v>
      </c>
      <c r="W58" s="13">
        <f t="shared" si="3"/>
        <v>0</v>
      </c>
      <c r="X58" s="14" t="str">
        <f t="shared" si="4"/>
        <v xml:space="preserve"> CLIP VALUE corresponding to interlocking point 1, (Clip_LEVEL = Target_Val + CLIP_VALUE) </v>
      </c>
      <c r="Y58" s="1">
        <f t="shared" si="5"/>
        <v>1</v>
      </c>
      <c r="Z58" s="1">
        <f t="shared" si="6"/>
        <v>2</v>
      </c>
      <c r="AA58" s="1">
        <f t="shared" si="36"/>
        <v>94</v>
      </c>
      <c r="AB58" s="1" t="str">
        <f t="shared" si="8"/>
        <v xml:space="preserve"> Target_Val + CLIP_VALUE) *</v>
      </c>
      <c r="AC58" s="10" t="str">
        <f t="shared" si="9"/>
        <v xml:space="preserve"> Target_Val + CLIP_VALUE) *</v>
      </c>
      <c r="AD58" s="1" t="e">
        <f t="shared" si="17"/>
        <v>#VALUE!</v>
      </c>
      <c r="AF58" s="3" t="e">
        <f t="shared" si="10"/>
        <v>#VALUE!</v>
      </c>
      <c r="AG58" s="5" t="str">
        <f t="shared" si="11"/>
        <v>UpAE_CLP_VAL_PT1)/* CLIP VALUE corresponding to interlocking point 1, (Clip_LEVEL</v>
      </c>
      <c r="AH58" s="3">
        <f t="shared" si="12"/>
        <v>2</v>
      </c>
      <c r="AI58" s="3">
        <f t="shared" si="13"/>
        <v>0</v>
      </c>
      <c r="AJ58" s="7">
        <f t="shared" si="18"/>
        <v>1</v>
      </c>
      <c r="AK58" s="1"/>
      <c r="AL58" s="1"/>
      <c r="AM58" s="10"/>
      <c r="AN58" s="1"/>
      <c r="AO58" s="1"/>
      <c r="AP58" s="1"/>
      <c r="AQ58" s="1"/>
      <c r="AR58" s="1"/>
      <c r="AS58" s="1"/>
      <c r="AT58" s="1"/>
    </row>
    <row r="59" spans="1:46" x14ac:dyDescent="0.3">
      <c r="A59" s="15" t="s">
        <v>241</v>
      </c>
      <c r="B59" s="1">
        <f t="shared" si="22"/>
        <v>8</v>
      </c>
      <c r="C59" s="1">
        <f t="shared" si="23"/>
        <v>9</v>
      </c>
      <c r="D59" s="10" t="str">
        <f t="shared" si="24"/>
        <v>2</v>
      </c>
      <c r="E59" s="1">
        <f t="shared" si="25"/>
        <v>11</v>
      </c>
      <c r="F59" s="1">
        <f t="shared" si="26"/>
        <v>79</v>
      </c>
      <c r="G59" s="1">
        <f t="shared" si="27"/>
        <v>27</v>
      </c>
      <c r="H59" s="1">
        <f t="shared" si="34"/>
        <v>27</v>
      </c>
      <c r="I59" s="10" t="str">
        <f t="shared" si="28"/>
        <v>UpAE_CLP_VAL_PT2</v>
      </c>
      <c r="J59" s="1">
        <f t="shared" si="35"/>
        <v>0</v>
      </c>
      <c r="K59" s="1">
        <f t="shared" si="29"/>
        <v>0</v>
      </c>
      <c r="L59" s="1" t="str">
        <f t="shared" si="30"/>
        <v>0</v>
      </c>
      <c r="M59" s="10">
        <f t="shared" si="31"/>
        <v>0</v>
      </c>
      <c r="N59" s="1">
        <f t="shared" si="32"/>
        <v>30</v>
      </c>
      <c r="O59" s="1">
        <f t="shared" si="14"/>
        <v>0</v>
      </c>
      <c r="P59" s="1">
        <f t="shared" si="33"/>
        <v>120</v>
      </c>
      <c r="Q59" s="3" t="str">
        <f t="shared" si="0"/>
        <v xml:space="preserve"> CLIP VALUE corresponding to interlocking point 2, (Clip_LEVEL = Target_Val + CLIP_VALUE) </v>
      </c>
      <c r="R59" s="11">
        <f t="shared" si="15"/>
        <v>101</v>
      </c>
      <c r="S59" s="11"/>
      <c r="T59" s="13" t="str">
        <f t="shared" si="16"/>
        <v>65</v>
      </c>
      <c r="U59" s="14" t="str">
        <f t="shared" si="1"/>
        <v>UpAE_CLP_VAL_PT2</v>
      </c>
      <c r="V59" s="13" t="str">
        <f t="shared" si="2"/>
        <v>2</v>
      </c>
      <c r="W59" s="13">
        <f t="shared" si="3"/>
        <v>0</v>
      </c>
      <c r="X59" s="14" t="str">
        <f t="shared" si="4"/>
        <v xml:space="preserve"> CLIP VALUE corresponding to interlocking point 2, (Clip_LEVEL = Target_Val + CLIP_VALUE) </v>
      </c>
      <c r="Y59" s="1">
        <f t="shared" si="5"/>
        <v>1</v>
      </c>
      <c r="Z59" s="1">
        <f t="shared" si="6"/>
        <v>2</v>
      </c>
      <c r="AA59" s="1">
        <f t="shared" si="36"/>
        <v>94</v>
      </c>
      <c r="AB59" s="1" t="str">
        <f t="shared" si="8"/>
        <v xml:space="preserve"> Target_Val + CLIP_VALUE) *</v>
      </c>
      <c r="AC59" s="10" t="str">
        <f t="shared" si="9"/>
        <v xml:space="preserve"> Target_Val + CLIP_VALUE) *</v>
      </c>
      <c r="AD59" s="1" t="e">
        <f t="shared" si="17"/>
        <v>#VALUE!</v>
      </c>
      <c r="AF59" s="3" t="e">
        <f t="shared" si="10"/>
        <v>#VALUE!</v>
      </c>
      <c r="AG59" s="5" t="str">
        <f t="shared" si="11"/>
        <v>UpAE_CLP_VAL_PT2)/* CLIP VALUE corresponding to interlocking point 2, (Clip_LEVEL</v>
      </c>
      <c r="AH59" s="3">
        <f t="shared" si="12"/>
        <v>2</v>
      </c>
      <c r="AI59" s="3">
        <f t="shared" si="13"/>
        <v>0</v>
      </c>
      <c r="AJ59" s="7">
        <f t="shared" si="18"/>
        <v>1</v>
      </c>
      <c r="AK59" s="1"/>
      <c r="AL59" s="1"/>
      <c r="AM59" s="10"/>
      <c r="AN59" s="1"/>
      <c r="AO59" s="1"/>
      <c r="AP59" s="1"/>
      <c r="AQ59" s="1"/>
      <c r="AR59" s="1"/>
      <c r="AS59" s="1"/>
      <c r="AT59" s="1"/>
    </row>
    <row r="60" spans="1:46" x14ac:dyDescent="0.3">
      <c r="A60" s="15" t="s">
        <v>242</v>
      </c>
      <c r="B60" s="1">
        <f t="shared" si="22"/>
        <v>8</v>
      </c>
      <c r="C60" s="1">
        <f t="shared" si="23"/>
        <v>9</v>
      </c>
      <c r="D60" s="10" t="str">
        <f t="shared" si="24"/>
        <v>2</v>
      </c>
      <c r="E60" s="1">
        <f t="shared" si="25"/>
        <v>11</v>
      </c>
      <c r="F60" s="1">
        <f t="shared" si="26"/>
        <v>0</v>
      </c>
      <c r="G60" s="1">
        <f t="shared" si="27"/>
        <v>28</v>
      </c>
      <c r="H60" s="1">
        <f t="shared" si="34"/>
        <v>28</v>
      </c>
      <c r="I60" s="10" t="str">
        <f t="shared" si="28"/>
        <v>UpAE_SENS_AGC_LMT</v>
      </c>
      <c r="J60" s="1">
        <f t="shared" si="35"/>
        <v>0</v>
      </c>
      <c r="K60" s="1">
        <f t="shared" si="29"/>
        <v>0</v>
      </c>
      <c r="L60" s="1" t="str">
        <f t="shared" si="30"/>
        <v>0</v>
      </c>
      <c r="M60" s="10">
        <f t="shared" si="31"/>
        <v>0</v>
      </c>
      <c r="N60" s="1">
        <f t="shared" si="32"/>
        <v>31</v>
      </c>
      <c r="O60" s="1">
        <f t="shared" si="14"/>
        <v>0</v>
      </c>
      <c r="P60" s="1">
        <f t="shared" si="33"/>
        <v>76</v>
      </c>
      <c r="Q60" s="3" t="str">
        <f t="shared" si="0"/>
        <v xml:space="preserve"> Limit the Analog Gain Value for each Sensor </v>
      </c>
      <c r="R60" s="11">
        <f t="shared" si="15"/>
        <v>103</v>
      </c>
      <c r="S60" s="11"/>
      <c r="T60" s="13" t="str">
        <f t="shared" si="16"/>
        <v>67</v>
      </c>
      <c r="U60" s="14" t="str">
        <f t="shared" si="1"/>
        <v>UpAE_SENS_AGC_LMT</v>
      </c>
      <c r="V60" s="13" t="str">
        <f t="shared" si="2"/>
        <v>2</v>
      </c>
      <c r="W60" s="13">
        <f t="shared" si="3"/>
        <v>0</v>
      </c>
      <c r="X60" s="14" t="str">
        <f t="shared" si="4"/>
        <v xml:space="preserve"> Limit the Analog Gain Value for each Sensor </v>
      </c>
      <c r="Y60" s="1">
        <f t="shared" si="5"/>
        <v>1</v>
      </c>
      <c r="Z60" s="1">
        <f t="shared" si="6"/>
        <v>2</v>
      </c>
      <c r="AA60" s="1">
        <f t="shared" si="36"/>
        <v>0</v>
      </c>
      <c r="AB60" s="1">
        <f t="shared" si="8"/>
        <v>0</v>
      </c>
      <c r="AC60" s="10" t="e">
        <f t="shared" si="9"/>
        <v>#VALUE!</v>
      </c>
      <c r="AD60" s="1" t="e">
        <f t="shared" si="17"/>
        <v>#VALUE!</v>
      </c>
      <c r="AF60" s="3" t="e">
        <f t="shared" si="10"/>
        <v>#VALUE!</v>
      </c>
      <c r="AG60" s="5" t="str">
        <f t="shared" si="11"/>
        <v>UpAE_SENS_AGC_LMT)/* Limit the Analog Gain Value for each Sensor *</v>
      </c>
      <c r="AH60" s="3">
        <f t="shared" si="12"/>
        <v>2</v>
      </c>
      <c r="AI60" s="3">
        <f t="shared" si="13"/>
        <v>0</v>
      </c>
      <c r="AJ60" s="7">
        <f t="shared" si="18"/>
        <v>1</v>
      </c>
      <c r="AK60" s="1"/>
      <c r="AL60" s="1"/>
      <c r="AM60" s="10"/>
      <c r="AN60" s="1"/>
      <c r="AO60" s="1"/>
      <c r="AP60" s="1"/>
      <c r="AQ60" s="1"/>
      <c r="AR60" s="1"/>
      <c r="AS60" s="1"/>
      <c r="AT60" s="1"/>
    </row>
    <row r="61" spans="1:46" x14ac:dyDescent="0.3">
      <c r="A61" s="15" t="s">
        <v>142</v>
      </c>
      <c r="B61" s="1">
        <f t="shared" si="22"/>
        <v>0</v>
      </c>
      <c r="C61" s="1">
        <f t="shared" si="23"/>
        <v>0</v>
      </c>
      <c r="D61" s="10">
        <f t="shared" si="24"/>
        <v>0</v>
      </c>
      <c r="E61" s="1">
        <f t="shared" si="25"/>
        <v>0</v>
      </c>
      <c r="F61" s="1">
        <f t="shared" si="26"/>
        <v>0</v>
      </c>
      <c r="G61" s="1">
        <f t="shared" si="27"/>
        <v>0</v>
      </c>
      <c r="H61" s="1">
        <f t="shared" si="34"/>
        <v>0</v>
      </c>
      <c r="I61" s="10">
        <f t="shared" si="28"/>
        <v>0</v>
      </c>
      <c r="J61" s="1">
        <f t="shared" si="35"/>
        <v>0</v>
      </c>
      <c r="K61" s="1">
        <f t="shared" si="29"/>
        <v>0</v>
      </c>
      <c r="L61" s="1" t="str">
        <f t="shared" si="30"/>
        <v>0</v>
      </c>
      <c r="M61" s="10">
        <f t="shared" si="31"/>
        <v>0</v>
      </c>
      <c r="N61" s="1">
        <f t="shared" si="32"/>
        <v>3</v>
      </c>
      <c r="O61" s="1">
        <f t="shared" si="14"/>
        <v>1</v>
      </c>
      <c r="P61" s="1">
        <f t="shared" si="33"/>
        <v>11</v>
      </c>
      <c r="Q61" s="3" t="str">
        <f t="shared" si="0"/>
        <v>WDR_PAR</v>
      </c>
      <c r="R61" s="11">
        <f t="shared" si="15"/>
        <v>105</v>
      </c>
      <c r="S61" s="11"/>
      <c r="T61" s="13" t="str">
        <f t="shared" si="16"/>
        <v>#</v>
      </c>
      <c r="U61" s="14" t="str">
        <f t="shared" si="1"/>
        <v>WDR_PAR</v>
      </c>
      <c r="V61" s="13">
        <f t="shared" si="2"/>
        <v>1</v>
      </c>
      <c r="W61" s="13">
        <f t="shared" si="3"/>
        <v>0</v>
      </c>
      <c r="X61" s="14" t="str">
        <f t="shared" si="4"/>
        <v>-</v>
      </c>
      <c r="Y61" s="1">
        <f t="shared" si="5"/>
        <v>0</v>
      </c>
      <c r="Z61" s="1">
        <f t="shared" si="6"/>
        <v>2</v>
      </c>
      <c r="AA61" s="1">
        <f t="shared" si="36"/>
        <v>0</v>
      </c>
      <c r="AB61" s="1">
        <f t="shared" si="8"/>
        <v>0</v>
      </c>
      <c r="AC61" s="10" t="e">
        <f t="shared" si="9"/>
        <v>#VALUE!</v>
      </c>
      <c r="AD61" s="1" t="e">
        <f t="shared" si="17"/>
        <v>#VALUE!</v>
      </c>
      <c r="AF61" s="3" t="str">
        <f t="shared" si="10"/>
        <v>0</v>
      </c>
      <c r="AG61" s="5" t="str">
        <f t="shared" si="11"/>
        <v>#WDR_PAR</v>
      </c>
      <c r="AH61" s="3" t="str">
        <f t="shared" si="12"/>
        <v>1</v>
      </c>
      <c r="AI61" s="3" t="str">
        <f t="shared" si="13"/>
        <v>0</v>
      </c>
      <c r="AJ61" s="7">
        <f t="shared" si="18"/>
        <v>1</v>
      </c>
      <c r="AK61" s="1"/>
      <c r="AL61" s="1"/>
      <c r="AM61" s="10"/>
      <c r="AN61" s="1"/>
      <c r="AO61" s="1"/>
      <c r="AP61" s="1"/>
      <c r="AQ61" s="1"/>
      <c r="AR61" s="1"/>
      <c r="AS61" s="1"/>
      <c r="AT61" s="1"/>
    </row>
    <row r="62" spans="1:46" x14ac:dyDescent="0.3">
      <c r="A62" s="15" t="s">
        <v>243</v>
      </c>
      <c r="B62" s="1">
        <f t="shared" si="22"/>
        <v>8</v>
      </c>
      <c r="C62" s="1">
        <f t="shared" si="23"/>
        <v>9</v>
      </c>
      <c r="D62" s="10" t="str">
        <f t="shared" si="24"/>
        <v>2</v>
      </c>
      <c r="E62" s="1">
        <f t="shared" si="25"/>
        <v>11</v>
      </c>
      <c r="F62" s="1">
        <f t="shared" si="26"/>
        <v>46</v>
      </c>
      <c r="G62" s="1">
        <f t="shared" si="27"/>
        <v>29</v>
      </c>
      <c r="H62" s="1">
        <f t="shared" si="34"/>
        <v>29</v>
      </c>
      <c r="I62" s="10" t="str">
        <f t="shared" si="28"/>
        <v>UpAE_WDR_LTGT_GAIN</v>
      </c>
      <c r="J62" s="1">
        <f t="shared" si="35"/>
        <v>0</v>
      </c>
      <c r="K62" s="1">
        <f t="shared" si="29"/>
        <v>0</v>
      </c>
      <c r="L62" s="1" t="str">
        <f t="shared" si="30"/>
        <v>0</v>
      </c>
      <c r="M62" s="10">
        <f t="shared" si="31"/>
        <v>0</v>
      </c>
      <c r="N62" s="1">
        <f t="shared" si="32"/>
        <v>32</v>
      </c>
      <c r="O62" s="1">
        <f t="shared" si="14"/>
        <v>0</v>
      </c>
      <c r="P62" s="1">
        <f t="shared" si="33"/>
        <v>95</v>
      </c>
      <c r="Q62" s="3" t="str">
        <f t="shared" si="0"/>
        <v xml:space="preserve"> When WDR Mode, Long Brightness target gain (default +- value) </v>
      </c>
      <c r="R62" s="11">
        <f t="shared" si="15"/>
        <v>105</v>
      </c>
      <c r="S62" s="11"/>
      <c r="T62" s="13" t="str">
        <f t="shared" si="16"/>
        <v>69</v>
      </c>
      <c r="U62" s="14" t="str">
        <f t="shared" si="1"/>
        <v>UpAE_WDR_LTGT_GAIN</v>
      </c>
      <c r="V62" s="13" t="str">
        <f t="shared" si="2"/>
        <v>2</v>
      </c>
      <c r="W62" s="13">
        <f t="shared" si="3"/>
        <v>0</v>
      </c>
      <c r="X62" s="14" t="str">
        <f t="shared" si="4"/>
        <v xml:space="preserve"> When WDR Mode, Long Brightness target gain (default +- value) </v>
      </c>
      <c r="Y62" s="1">
        <f t="shared" si="5"/>
        <v>1</v>
      </c>
      <c r="Z62" s="1">
        <f t="shared" si="6"/>
        <v>2</v>
      </c>
      <c r="AA62" s="1">
        <f t="shared" si="36"/>
        <v>0</v>
      </c>
      <c r="AB62" s="1">
        <f t="shared" si="8"/>
        <v>0</v>
      </c>
      <c r="AC62" s="10" t="e">
        <f t="shared" si="9"/>
        <v>#VALUE!</v>
      </c>
      <c r="AD62" s="1" t="e">
        <f t="shared" si="17"/>
        <v>#VALUE!</v>
      </c>
      <c r="AF62" s="3" t="e">
        <f t="shared" si="10"/>
        <v>#VALUE!</v>
      </c>
      <c r="AG62" s="5" t="str">
        <f t="shared" si="11"/>
        <v>UpAE_WDR_LTGT_GAIN)/* When WDR Mode, Long Brightness target gain (default +- value) *</v>
      </c>
      <c r="AH62" s="3">
        <f t="shared" si="12"/>
        <v>2</v>
      </c>
      <c r="AI62" s="3">
        <f t="shared" si="13"/>
        <v>0</v>
      </c>
      <c r="AJ62" s="7">
        <f t="shared" si="18"/>
        <v>1</v>
      </c>
      <c r="AK62" s="1"/>
      <c r="AL62" s="1"/>
      <c r="AM62" s="10"/>
      <c r="AN62" s="1"/>
      <c r="AO62" s="1"/>
      <c r="AP62" s="1"/>
      <c r="AQ62" s="1"/>
      <c r="AR62" s="1"/>
      <c r="AS62" s="1"/>
      <c r="AT62" s="1"/>
    </row>
    <row r="63" spans="1:46" x14ac:dyDescent="0.3">
      <c r="A63" s="15" t="s">
        <v>244</v>
      </c>
      <c r="B63" s="1">
        <f t="shared" si="22"/>
        <v>8</v>
      </c>
      <c r="C63" s="1">
        <f t="shared" si="23"/>
        <v>9</v>
      </c>
      <c r="D63" s="10" t="str">
        <f t="shared" si="24"/>
        <v>2</v>
      </c>
      <c r="E63" s="1">
        <f t="shared" si="25"/>
        <v>11</v>
      </c>
      <c r="F63" s="1">
        <f t="shared" si="26"/>
        <v>46</v>
      </c>
      <c r="G63" s="1">
        <f t="shared" si="27"/>
        <v>29</v>
      </c>
      <c r="H63" s="1">
        <f t="shared" si="34"/>
        <v>29</v>
      </c>
      <c r="I63" s="10" t="str">
        <f t="shared" si="28"/>
        <v>UpAE_WDR_LTGT_OFST</v>
      </c>
      <c r="J63" s="1">
        <f t="shared" si="35"/>
        <v>0</v>
      </c>
      <c r="K63" s="1">
        <f t="shared" si="29"/>
        <v>0</v>
      </c>
      <c r="L63" s="1" t="str">
        <f t="shared" si="30"/>
        <v>0</v>
      </c>
      <c r="M63" s="10">
        <f t="shared" si="31"/>
        <v>0</v>
      </c>
      <c r="N63" s="1">
        <f t="shared" si="32"/>
        <v>32</v>
      </c>
      <c r="O63" s="1">
        <f t="shared" si="14"/>
        <v>0</v>
      </c>
      <c r="P63" s="1">
        <f t="shared" si="33"/>
        <v>97</v>
      </c>
      <c r="Q63" s="3" t="str">
        <f t="shared" si="0"/>
        <v xml:space="preserve"> When WDR Mode, Long Brightness target offset (default +- value) </v>
      </c>
      <c r="R63" s="11">
        <f t="shared" si="15"/>
        <v>107</v>
      </c>
      <c r="S63" s="11"/>
      <c r="T63" s="13" t="str">
        <f t="shared" si="16"/>
        <v>6B</v>
      </c>
      <c r="U63" s="14" t="str">
        <f t="shared" si="1"/>
        <v>UpAE_WDR_LTGT_OFST</v>
      </c>
      <c r="V63" s="13" t="str">
        <f t="shared" si="2"/>
        <v>2</v>
      </c>
      <c r="W63" s="13">
        <f t="shared" si="3"/>
        <v>0</v>
      </c>
      <c r="X63" s="14" t="str">
        <f t="shared" si="4"/>
        <v xml:space="preserve"> When WDR Mode, Long Brightness target offset (default +- value) </v>
      </c>
      <c r="Y63" s="1">
        <f t="shared" si="5"/>
        <v>1</v>
      </c>
      <c r="Z63" s="1">
        <f t="shared" si="6"/>
        <v>2</v>
      </c>
      <c r="AA63" s="1">
        <f t="shared" si="36"/>
        <v>0</v>
      </c>
      <c r="AB63" s="1">
        <f t="shared" si="8"/>
        <v>0</v>
      </c>
      <c r="AC63" s="10" t="e">
        <f t="shared" si="9"/>
        <v>#VALUE!</v>
      </c>
      <c r="AD63" s="1" t="e">
        <f t="shared" si="17"/>
        <v>#VALUE!</v>
      </c>
      <c r="AF63" s="3" t="e">
        <f t="shared" si="10"/>
        <v>#VALUE!</v>
      </c>
      <c r="AG63" s="5" t="str">
        <f t="shared" si="11"/>
        <v>UpAE_WDR_LTGT_OFST)/* When WDR Mode, Long Brightness target offset (default +- value) *</v>
      </c>
      <c r="AH63" s="3">
        <f t="shared" si="12"/>
        <v>2</v>
      </c>
      <c r="AI63" s="3">
        <f t="shared" si="13"/>
        <v>0</v>
      </c>
      <c r="AJ63" s="7">
        <f t="shared" si="18"/>
        <v>1</v>
      </c>
      <c r="AK63" s="1"/>
      <c r="AL63" s="1"/>
      <c r="AM63" s="10"/>
      <c r="AN63" s="1"/>
      <c r="AO63" s="1"/>
      <c r="AP63" s="1"/>
      <c r="AQ63" s="1"/>
      <c r="AR63" s="1"/>
      <c r="AS63" s="1"/>
      <c r="AT63" s="1"/>
    </row>
    <row r="64" spans="1:46" x14ac:dyDescent="0.3">
      <c r="A64" s="15" t="s">
        <v>245</v>
      </c>
      <c r="B64" s="1">
        <f t="shared" si="22"/>
        <v>8</v>
      </c>
      <c r="C64" s="1">
        <f t="shared" si="23"/>
        <v>9</v>
      </c>
      <c r="D64" s="10" t="str">
        <f t="shared" si="24"/>
        <v>2</v>
      </c>
      <c r="E64" s="1">
        <f t="shared" si="25"/>
        <v>11</v>
      </c>
      <c r="F64" s="1">
        <f t="shared" si="26"/>
        <v>47</v>
      </c>
      <c r="G64" s="1">
        <f t="shared" si="27"/>
        <v>30</v>
      </c>
      <c r="H64" s="1">
        <f t="shared" si="34"/>
        <v>30</v>
      </c>
      <c r="I64" s="10" t="str">
        <f t="shared" si="28"/>
        <v>UpAE_WDR_LSLIC_OFST</v>
      </c>
      <c r="J64" s="1">
        <f t="shared" si="35"/>
        <v>0</v>
      </c>
      <c r="K64" s="1">
        <f t="shared" si="29"/>
        <v>0</v>
      </c>
      <c r="L64" s="1" t="str">
        <f t="shared" si="30"/>
        <v>0</v>
      </c>
      <c r="M64" s="10">
        <f t="shared" si="31"/>
        <v>0</v>
      </c>
      <c r="N64" s="1">
        <f t="shared" si="32"/>
        <v>33</v>
      </c>
      <c r="O64" s="1">
        <f t="shared" si="14"/>
        <v>0</v>
      </c>
      <c r="P64" s="1">
        <f t="shared" si="33"/>
        <v>125</v>
      </c>
      <c r="Q64" s="3" t="str">
        <f t="shared" si="0"/>
        <v xml:space="preserve"> When WDR Mode, Long Brightness Slice level (AE Long Target - UpAE_WDR_LSLIC_OFST &lt; Target) </v>
      </c>
      <c r="R64" s="11">
        <f t="shared" si="15"/>
        <v>109</v>
      </c>
      <c r="S64" s="11"/>
      <c r="T64" s="13" t="str">
        <f t="shared" si="16"/>
        <v>6D</v>
      </c>
      <c r="U64" s="14" t="str">
        <f t="shared" si="1"/>
        <v>UpAE_WDR_LSLIC_OFST</v>
      </c>
      <c r="V64" s="13" t="str">
        <f t="shared" si="2"/>
        <v>2</v>
      </c>
      <c r="W64" s="13">
        <f t="shared" si="3"/>
        <v>0</v>
      </c>
      <c r="X64" s="14" t="str">
        <f t="shared" si="4"/>
        <v xml:space="preserve"> When WDR Mode, Long Brightness Slice level (AE Long Target - UpAE_WDR_LSLIC_OFST &lt; Target) </v>
      </c>
      <c r="Y64" s="1">
        <f t="shared" si="5"/>
        <v>1</v>
      </c>
      <c r="Z64" s="1">
        <f t="shared" si="6"/>
        <v>2</v>
      </c>
      <c r="AA64" s="1">
        <f t="shared" si="36"/>
        <v>0</v>
      </c>
      <c r="AB64" s="1">
        <f t="shared" si="8"/>
        <v>0</v>
      </c>
      <c r="AC64" s="10" t="e">
        <f t="shared" si="9"/>
        <v>#VALUE!</v>
      </c>
      <c r="AD64" s="1" t="e">
        <f t="shared" si="17"/>
        <v>#VALUE!</v>
      </c>
      <c r="AF64" s="3" t="e">
        <f t="shared" si="10"/>
        <v>#VALUE!</v>
      </c>
      <c r="AG64" s="5" t="str">
        <f t="shared" si="11"/>
        <v>UpAE_WDR_LSLIC_OFST)/* When WDR Mode, Long Brightness Slice level (AE Long Target - UpAE_WDR_LSLIC_OFST &lt; Target) *</v>
      </c>
      <c r="AH64" s="3">
        <f t="shared" si="12"/>
        <v>2</v>
      </c>
      <c r="AI64" s="3">
        <f t="shared" si="13"/>
        <v>0</v>
      </c>
      <c r="AJ64" s="7">
        <f t="shared" si="18"/>
        <v>1</v>
      </c>
      <c r="AK64" s="1"/>
      <c r="AL64" s="1"/>
      <c r="AM64" s="10"/>
      <c r="AN64" s="1"/>
      <c r="AO64" s="1"/>
      <c r="AP64" s="1"/>
      <c r="AQ64" s="1"/>
      <c r="AR64" s="1"/>
      <c r="AS64" s="1"/>
      <c r="AT64" s="1"/>
    </row>
    <row r="65" spans="1:46" x14ac:dyDescent="0.3">
      <c r="A65" s="15" t="s">
        <v>246</v>
      </c>
      <c r="B65" s="1">
        <f t="shared" si="22"/>
        <v>8</v>
      </c>
      <c r="C65" s="1">
        <f t="shared" si="23"/>
        <v>9</v>
      </c>
      <c r="D65" s="10" t="str">
        <f t="shared" si="24"/>
        <v>2</v>
      </c>
      <c r="E65" s="1">
        <f t="shared" si="25"/>
        <v>11</v>
      </c>
      <c r="F65" s="1">
        <f t="shared" si="26"/>
        <v>47</v>
      </c>
      <c r="G65" s="1">
        <f t="shared" si="27"/>
        <v>30</v>
      </c>
      <c r="H65" s="1">
        <f t="shared" si="34"/>
        <v>30</v>
      </c>
      <c r="I65" s="10" t="str">
        <f t="shared" si="28"/>
        <v>UpAE_WDR_LCLIP_OFST</v>
      </c>
      <c r="J65" s="1">
        <f t="shared" si="35"/>
        <v>0</v>
      </c>
      <c r="K65" s="1">
        <f t="shared" si="29"/>
        <v>0</v>
      </c>
      <c r="L65" s="1" t="str">
        <f t="shared" si="30"/>
        <v>0</v>
      </c>
      <c r="M65" s="10">
        <f t="shared" si="31"/>
        <v>0</v>
      </c>
      <c r="N65" s="1">
        <f t="shared" si="32"/>
        <v>33</v>
      </c>
      <c r="O65" s="1">
        <f t="shared" si="14"/>
        <v>0</v>
      </c>
      <c r="P65" s="1">
        <f t="shared" si="33"/>
        <v>123</v>
      </c>
      <c r="Q65" s="3" t="str">
        <f t="shared" si="0"/>
        <v xml:space="preserve"> When WDR Mode, Long Brightness Clip level (AE Long Target + UpAE_WDR_LCLIP_OFST &lt; 0x3FF) </v>
      </c>
      <c r="R65" s="11">
        <f t="shared" si="15"/>
        <v>111</v>
      </c>
      <c r="S65" s="11"/>
      <c r="T65" s="13" t="str">
        <f t="shared" si="16"/>
        <v>6F</v>
      </c>
      <c r="U65" s="14" t="str">
        <f t="shared" si="1"/>
        <v>UpAE_WDR_LCLIP_OFST</v>
      </c>
      <c r="V65" s="13" t="str">
        <f t="shared" si="2"/>
        <v>2</v>
      </c>
      <c r="W65" s="13">
        <f t="shared" si="3"/>
        <v>0</v>
      </c>
      <c r="X65" s="14" t="str">
        <f t="shared" si="4"/>
        <v xml:space="preserve"> When WDR Mode, Long Brightness Clip level (AE Long Target + UpAE_WDR_LCLIP_OFST &lt; 0x3FF) </v>
      </c>
      <c r="Y65" s="1">
        <f t="shared" si="5"/>
        <v>1</v>
      </c>
      <c r="Z65" s="1">
        <f t="shared" si="6"/>
        <v>2</v>
      </c>
      <c r="AA65" s="1">
        <f t="shared" si="36"/>
        <v>0</v>
      </c>
      <c r="AB65" s="1">
        <f t="shared" si="8"/>
        <v>0</v>
      </c>
      <c r="AC65" s="10" t="e">
        <f t="shared" si="9"/>
        <v>#VALUE!</v>
      </c>
      <c r="AD65" s="1" t="e">
        <f t="shared" si="17"/>
        <v>#VALUE!</v>
      </c>
      <c r="AF65" s="3" t="e">
        <f t="shared" si="10"/>
        <v>#VALUE!</v>
      </c>
      <c r="AG65" s="5" t="str">
        <f t="shared" si="11"/>
        <v>UpAE_WDR_LCLIP_OFST)/* When WDR Mode, Long Brightness Clip level (AE Long Target + UpAE_WDR_LCLIP_OFST &lt; 0x3FF) *</v>
      </c>
      <c r="AH65" s="3">
        <f t="shared" si="12"/>
        <v>2</v>
      </c>
      <c r="AI65" s="3">
        <f t="shared" si="13"/>
        <v>0</v>
      </c>
      <c r="AJ65" s="7">
        <f t="shared" si="18"/>
        <v>1</v>
      </c>
      <c r="AK65" s="1"/>
      <c r="AL65" s="1"/>
      <c r="AM65" s="10"/>
      <c r="AN65" s="1"/>
      <c r="AO65" s="1"/>
      <c r="AP65" s="1"/>
      <c r="AQ65" s="1"/>
      <c r="AR65" s="1"/>
      <c r="AS65" s="1"/>
      <c r="AT65" s="1"/>
    </row>
    <row r="66" spans="1:46" x14ac:dyDescent="0.3">
      <c r="A66" s="15" t="s">
        <v>247</v>
      </c>
      <c r="B66" s="1">
        <f t="shared" si="22"/>
        <v>8</v>
      </c>
      <c r="C66" s="1">
        <f t="shared" si="23"/>
        <v>9</v>
      </c>
      <c r="D66" s="10" t="str">
        <f t="shared" si="24"/>
        <v>2</v>
      </c>
      <c r="E66" s="1">
        <f t="shared" si="25"/>
        <v>11</v>
      </c>
      <c r="F66" s="1">
        <f t="shared" si="26"/>
        <v>46</v>
      </c>
      <c r="G66" s="1">
        <f t="shared" si="27"/>
        <v>29</v>
      </c>
      <c r="H66" s="1">
        <f t="shared" si="34"/>
        <v>29</v>
      </c>
      <c r="I66" s="10" t="str">
        <f t="shared" si="28"/>
        <v>UpAE_WDR_STGT_GAIN</v>
      </c>
      <c r="J66" s="1">
        <f t="shared" si="35"/>
        <v>0</v>
      </c>
      <c r="K66" s="1">
        <f t="shared" si="29"/>
        <v>0</v>
      </c>
      <c r="L66" s="1" t="str">
        <f t="shared" si="30"/>
        <v>0</v>
      </c>
      <c r="M66" s="10">
        <f t="shared" si="31"/>
        <v>0</v>
      </c>
      <c r="N66" s="1">
        <f t="shared" si="32"/>
        <v>32</v>
      </c>
      <c r="O66" s="1">
        <f t="shared" si="14"/>
        <v>0</v>
      </c>
      <c r="P66" s="1">
        <f t="shared" si="33"/>
        <v>96</v>
      </c>
      <c r="Q66" s="3" t="str">
        <f t="shared" si="0"/>
        <v xml:space="preserve"> When WDR Mode, Short Brightness target gain (default +- value) </v>
      </c>
      <c r="R66" s="11">
        <f t="shared" si="15"/>
        <v>113</v>
      </c>
      <c r="S66" s="11"/>
      <c r="T66" s="13" t="str">
        <f t="shared" si="16"/>
        <v>71</v>
      </c>
      <c r="U66" s="14" t="str">
        <f t="shared" si="1"/>
        <v>UpAE_WDR_STGT_GAIN</v>
      </c>
      <c r="V66" s="13" t="str">
        <f t="shared" si="2"/>
        <v>2</v>
      </c>
      <c r="W66" s="13">
        <f t="shared" si="3"/>
        <v>0</v>
      </c>
      <c r="X66" s="14" t="str">
        <f t="shared" si="4"/>
        <v xml:space="preserve"> When WDR Mode, Short Brightness target gain (default +- value) </v>
      </c>
      <c r="Y66" s="1">
        <f t="shared" si="5"/>
        <v>1</v>
      </c>
      <c r="Z66" s="1">
        <f t="shared" si="6"/>
        <v>2</v>
      </c>
      <c r="AA66" s="1">
        <f t="shared" si="36"/>
        <v>0</v>
      </c>
      <c r="AB66" s="1">
        <f t="shared" si="8"/>
        <v>0</v>
      </c>
      <c r="AC66" s="10" t="e">
        <f t="shared" si="9"/>
        <v>#VALUE!</v>
      </c>
      <c r="AD66" s="1" t="e">
        <f t="shared" si="17"/>
        <v>#VALUE!</v>
      </c>
      <c r="AF66" s="3" t="e">
        <f t="shared" si="10"/>
        <v>#VALUE!</v>
      </c>
      <c r="AG66" s="5" t="str">
        <f t="shared" si="11"/>
        <v>UpAE_WDR_STGT_GAIN)/* When WDR Mode, Short Brightness target gain (default +- value) *</v>
      </c>
      <c r="AH66" s="3">
        <f t="shared" si="12"/>
        <v>2</v>
      </c>
      <c r="AI66" s="3">
        <f t="shared" si="13"/>
        <v>0</v>
      </c>
      <c r="AJ66" s="7">
        <f t="shared" si="18"/>
        <v>1</v>
      </c>
      <c r="AK66" s="1"/>
      <c r="AL66" s="1"/>
      <c r="AM66" s="10"/>
      <c r="AN66" s="1"/>
      <c r="AO66" s="1"/>
      <c r="AP66" s="1"/>
      <c r="AQ66" s="1"/>
      <c r="AR66" s="1"/>
      <c r="AS66" s="1"/>
      <c r="AT66" s="1"/>
    </row>
    <row r="67" spans="1:46" x14ac:dyDescent="0.3">
      <c r="A67" s="15" t="s">
        <v>248</v>
      </c>
      <c r="B67" s="1">
        <f t="shared" si="22"/>
        <v>8</v>
      </c>
      <c r="C67" s="1">
        <f t="shared" si="23"/>
        <v>9</v>
      </c>
      <c r="D67" s="10" t="str">
        <f t="shared" si="24"/>
        <v>2</v>
      </c>
      <c r="E67" s="1">
        <f t="shared" si="25"/>
        <v>11</v>
      </c>
      <c r="F67" s="1">
        <f t="shared" si="26"/>
        <v>46</v>
      </c>
      <c r="G67" s="1">
        <f t="shared" si="27"/>
        <v>29</v>
      </c>
      <c r="H67" s="1">
        <f t="shared" si="34"/>
        <v>29</v>
      </c>
      <c r="I67" s="10" t="str">
        <f t="shared" si="28"/>
        <v>UpAE_WDR_STGT_OFST</v>
      </c>
      <c r="J67" s="1">
        <f t="shared" si="35"/>
        <v>0</v>
      </c>
      <c r="K67" s="1">
        <f t="shared" si="29"/>
        <v>0</v>
      </c>
      <c r="L67" s="1" t="str">
        <f t="shared" si="30"/>
        <v>0</v>
      </c>
      <c r="M67" s="10">
        <f t="shared" si="31"/>
        <v>0</v>
      </c>
      <c r="N67" s="1">
        <f t="shared" si="32"/>
        <v>32</v>
      </c>
      <c r="O67" s="1">
        <f t="shared" si="14"/>
        <v>0</v>
      </c>
      <c r="P67" s="1">
        <f t="shared" si="33"/>
        <v>98</v>
      </c>
      <c r="Q67" s="3" t="str">
        <f t="shared" si="0"/>
        <v xml:space="preserve"> When WDR Mode, Short Brightness target offset (default +- value) </v>
      </c>
      <c r="R67" s="11">
        <f t="shared" si="15"/>
        <v>115</v>
      </c>
      <c r="S67" s="11"/>
      <c r="T67" s="13" t="str">
        <f t="shared" si="16"/>
        <v>73</v>
      </c>
      <c r="U67" s="14" t="str">
        <f t="shared" si="1"/>
        <v>UpAE_WDR_STGT_OFST</v>
      </c>
      <c r="V67" s="13" t="str">
        <f t="shared" si="2"/>
        <v>2</v>
      </c>
      <c r="W67" s="13">
        <f t="shared" si="3"/>
        <v>0</v>
      </c>
      <c r="X67" s="14" t="str">
        <f t="shared" si="4"/>
        <v xml:space="preserve"> When WDR Mode, Short Brightness target offset (default +- value) </v>
      </c>
      <c r="Y67" s="1">
        <f t="shared" si="5"/>
        <v>1</v>
      </c>
      <c r="Z67" s="1">
        <f t="shared" si="6"/>
        <v>2</v>
      </c>
      <c r="AA67" s="1">
        <f t="shared" si="36"/>
        <v>0</v>
      </c>
      <c r="AB67" s="1">
        <f t="shared" si="8"/>
        <v>0</v>
      </c>
      <c r="AC67" s="10" t="e">
        <f t="shared" si="9"/>
        <v>#VALUE!</v>
      </c>
      <c r="AD67" s="1" t="e">
        <f t="shared" si="17"/>
        <v>#VALUE!</v>
      </c>
      <c r="AF67" s="3" t="e">
        <f t="shared" si="10"/>
        <v>#VALUE!</v>
      </c>
      <c r="AG67" s="5" t="str">
        <f t="shared" si="11"/>
        <v>UpAE_WDR_STGT_OFST)/* When WDR Mode, Short Brightness target offset (default +- value) *</v>
      </c>
      <c r="AH67" s="3">
        <f t="shared" si="12"/>
        <v>2</v>
      </c>
      <c r="AI67" s="3">
        <f t="shared" si="13"/>
        <v>0</v>
      </c>
      <c r="AJ67" s="7">
        <f t="shared" si="18"/>
        <v>1</v>
      </c>
      <c r="AK67" s="1"/>
      <c r="AL67" s="1"/>
      <c r="AM67" s="10"/>
      <c r="AN67" s="1"/>
      <c r="AO67" s="1"/>
      <c r="AP67" s="1"/>
      <c r="AQ67" s="1"/>
      <c r="AR67" s="1"/>
      <c r="AS67" s="1"/>
      <c r="AT67" s="1"/>
    </row>
    <row r="68" spans="1:46" x14ac:dyDescent="0.3">
      <c r="A68" s="15" t="s">
        <v>249</v>
      </c>
      <c r="B68" s="1">
        <f t="shared" si="22"/>
        <v>8</v>
      </c>
      <c r="C68" s="1">
        <f t="shared" si="23"/>
        <v>9</v>
      </c>
      <c r="D68" s="10" t="str">
        <f t="shared" si="24"/>
        <v>2</v>
      </c>
      <c r="E68" s="1">
        <f t="shared" si="25"/>
        <v>11</v>
      </c>
      <c r="F68" s="1">
        <f t="shared" si="26"/>
        <v>47</v>
      </c>
      <c r="G68" s="1">
        <f t="shared" si="27"/>
        <v>30</v>
      </c>
      <c r="H68" s="1">
        <f t="shared" si="34"/>
        <v>30</v>
      </c>
      <c r="I68" s="10" t="str">
        <f t="shared" si="28"/>
        <v>UpAE_WDR_SSLIC_OFST</v>
      </c>
      <c r="J68" s="1">
        <f t="shared" si="35"/>
        <v>0</v>
      </c>
      <c r="K68" s="1">
        <f t="shared" si="29"/>
        <v>0</v>
      </c>
      <c r="L68" s="1" t="str">
        <f t="shared" si="30"/>
        <v>0</v>
      </c>
      <c r="M68" s="10">
        <f t="shared" si="31"/>
        <v>0</v>
      </c>
      <c r="N68" s="1">
        <f t="shared" si="32"/>
        <v>33</v>
      </c>
      <c r="O68" s="1">
        <f t="shared" si="14"/>
        <v>0</v>
      </c>
      <c r="P68" s="1">
        <f t="shared" si="33"/>
        <v>127</v>
      </c>
      <c r="Q68" s="3" t="str">
        <f t="shared" ref="Q68:Q131" si="37">IF($N68&gt;0,MID($A68,($N68+$O68),$P68-($N68+$O68)),"")</f>
        <v xml:space="preserve"> When WDR Mode, Short Brightness Slice level (AE Short Target - UpAE_WDR_SSLIC_OFST &lt; Target) </v>
      </c>
      <c r="R68" s="11">
        <f t="shared" si="15"/>
        <v>117</v>
      </c>
      <c r="S68" s="11"/>
      <c r="T68" s="13" t="str">
        <f t="shared" si="16"/>
        <v>75</v>
      </c>
      <c r="U68" s="14" t="str">
        <f t="shared" ref="U68:U131" si="38">IF(A68="",IF(A67="","",$U$1),  IF(B68=0,Q68,I68)  )</f>
        <v>UpAE_WDR_SSLIC_OFST</v>
      </c>
      <c r="V68" s="13" t="str">
        <f t="shared" ref="V68:V131" si="39">IF(U68=$U$1,"",IF(A68="",IF(A67="","",1),  IF(B68=0,1,D68)  ))</f>
        <v>2</v>
      </c>
      <c r="W68" s="13">
        <f t="shared" ref="W68:W131" si="40">IF(U68=$U$1,"",IF(A68="",IF(A67="","",0),  IF(C68=0,0,0)  ))</f>
        <v>0</v>
      </c>
      <c r="X68" s="14" t="str">
        <f t="shared" ref="X68:X131" si="41">IF(U68=$U$1,"",IF(U68="","",IF(B68&gt;0,IF(Q68&lt;&gt;"",Q68,"No description"),"-")))</f>
        <v xml:space="preserve"> When WDR Mode, Short Brightness Slice level (AE Short Target - UpAE_WDR_SSLIC_OFST &lt; Target) </v>
      </c>
      <c r="Y68" s="1">
        <f t="shared" ref="Y68:Y131" si="42">IFERROR(SEARCH("UP_SET",A68),0)</f>
        <v>1</v>
      </c>
      <c r="Z68" s="1">
        <f t="shared" ref="Z68:Z131" si="43">IF(Y68=0,Z67,INT(MID(A68,8,1)))</f>
        <v>2</v>
      </c>
      <c r="AA68" s="1">
        <f t="shared" si="36"/>
        <v>0</v>
      </c>
      <c r="AB68" s="1">
        <f t="shared" ref="AB68:AB131" si="44">IF(AA68=0,0,MID(A68,AA68,LEN(A68)-AA68-1))</f>
        <v>0</v>
      </c>
      <c r="AC68" s="10" t="e">
        <f t="shared" ref="AC68:AC131" si="45">IF(AB68=0,IF(Y68=0,AC67,Z67+AC67),AB68)</f>
        <v>#VALUE!</v>
      </c>
      <c r="AD68" s="1" t="e">
        <f t="shared" si="17"/>
        <v>#VALUE!</v>
      </c>
      <c r="AF68" s="3" t="e">
        <f t="shared" ref="AF68:AF131" si="46">IF(A68="",IF(A67="","",$T$1),IF(Y68=0,"0",AD68))</f>
        <v>#VALUE!</v>
      </c>
      <c r="AG68" s="5" t="str">
        <f t="shared" ref="AG68:AG131" si="47">IF(A68="",IF(A67="","",$U$1),IFERROR(IF(Y68=0,MID(A68,3,LEN(A68)-5),MID(A68,11,IF(AA68=0,LEN(A68)-1-11,AA68-11-2))),"-"))</f>
        <v>UpAE_WDR_SSLIC_OFST)/* When WDR Mode, Short Brightness Slice level (AE Short Target - UpAE_WDR_SSLIC_OFST &lt; Target) *</v>
      </c>
      <c r="AH68" s="3">
        <f t="shared" ref="AH68:AH131" si="48">IF(Y68=0,"1",Z68)</f>
        <v>2</v>
      </c>
      <c r="AI68" s="3">
        <f t="shared" ref="AI68:AI131" si="49">IF(Y68=0,"0",0)</f>
        <v>0</v>
      </c>
      <c r="AJ68" s="7">
        <f t="shared" si="18"/>
        <v>1</v>
      </c>
      <c r="AK68" s="1"/>
      <c r="AL68" s="1"/>
      <c r="AM68" s="10"/>
      <c r="AN68" s="1"/>
      <c r="AO68" s="1"/>
      <c r="AP68" s="1"/>
      <c r="AQ68" s="1"/>
      <c r="AR68" s="1"/>
      <c r="AS68" s="1"/>
      <c r="AT68" s="1"/>
    </row>
    <row r="69" spans="1:46" x14ac:dyDescent="0.3">
      <c r="A69" s="15" t="s">
        <v>250</v>
      </c>
      <c r="B69" s="1">
        <f t="shared" si="22"/>
        <v>8</v>
      </c>
      <c r="C69" s="1">
        <f t="shared" si="23"/>
        <v>9</v>
      </c>
      <c r="D69" s="10" t="str">
        <f t="shared" si="24"/>
        <v>2</v>
      </c>
      <c r="E69" s="1">
        <f t="shared" si="25"/>
        <v>11</v>
      </c>
      <c r="F69" s="1">
        <f t="shared" si="26"/>
        <v>47</v>
      </c>
      <c r="G69" s="1">
        <f t="shared" si="27"/>
        <v>30</v>
      </c>
      <c r="H69" s="1">
        <f t="shared" si="34"/>
        <v>30</v>
      </c>
      <c r="I69" s="10" t="str">
        <f t="shared" si="28"/>
        <v>UpAE_WDR_SCLIP_OFST</v>
      </c>
      <c r="J69" s="1">
        <f t="shared" si="35"/>
        <v>0</v>
      </c>
      <c r="K69" s="1">
        <f t="shared" si="29"/>
        <v>0</v>
      </c>
      <c r="L69" s="1" t="str">
        <f t="shared" si="30"/>
        <v>0</v>
      </c>
      <c r="M69" s="10">
        <f t="shared" si="31"/>
        <v>0</v>
      </c>
      <c r="N69" s="1">
        <f t="shared" si="32"/>
        <v>33</v>
      </c>
      <c r="O69" s="1">
        <f t="shared" ref="O69:O132" si="50">IFERROR(FIND("#",$A69)+1-N69,0)</f>
        <v>0</v>
      </c>
      <c r="P69" s="1">
        <f t="shared" si="33"/>
        <v>125</v>
      </c>
      <c r="Q69" s="3" t="str">
        <f t="shared" si="37"/>
        <v xml:space="preserve"> When WDR Mode, Short Brightness Clip level (AE Short Target + UpAE_WDR_SCLIP_OFST &lt; 0x3FF) </v>
      </c>
      <c r="R69" s="11">
        <f t="shared" ref="R69:R132" si="51">IF(M69&gt;0,M69,D68+R68)</f>
        <v>119</v>
      </c>
      <c r="S69" s="11"/>
      <c r="T69" s="13" t="str">
        <f t="shared" ref="T69:T132" si="52">IF(A69="",IF(A68="","",$T$1),IF(O69=1,"#",IF(B69=0,"*",DEC2HEX(R69))))</f>
        <v>77</v>
      </c>
      <c r="U69" s="14" t="str">
        <f t="shared" si="38"/>
        <v>UpAE_WDR_SCLIP_OFST</v>
      </c>
      <c r="V69" s="13" t="str">
        <f t="shared" si="39"/>
        <v>2</v>
      </c>
      <c r="W69" s="13">
        <f t="shared" si="40"/>
        <v>0</v>
      </c>
      <c r="X69" s="14" t="str">
        <f t="shared" si="41"/>
        <v xml:space="preserve"> When WDR Mode, Short Brightness Clip level (AE Short Target + UpAE_WDR_SCLIP_OFST &lt; 0x3FF) </v>
      </c>
      <c r="Y69" s="1">
        <f t="shared" si="42"/>
        <v>1</v>
      </c>
      <c r="Z69" s="1">
        <f t="shared" si="43"/>
        <v>2</v>
      </c>
      <c r="AA69" s="1">
        <f t="shared" si="36"/>
        <v>0</v>
      </c>
      <c r="AB69" s="1">
        <f t="shared" si="44"/>
        <v>0</v>
      </c>
      <c r="AC69" s="10" t="e">
        <f t="shared" si="45"/>
        <v>#VALUE!</v>
      </c>
      <c r="AD69" s="1" t="e">
        <f t="shared" ref="AD69:AD132" si="53">DEC2HEX(AC69)</f>
        <v>#VALUE!</v>
      </c>
      <c r="AF69" s="3" t="e">
        <f t="shared" si="46"/>
        <v>#VALUE!</v>
      </c>
      <c r="AG69" s="5" t="str">
        <f t="shared" si="47"/>
        <v>UpAE_WDR_SCLIP_OFST)/* When WDR Mode, Short Brightness Clip level (AE Short Target + UpAE_WDR_SCLIP_OFST &lt; 0x3FF) *</v>
      </c>
      <c r="AH69" s="3">
        <f t="shared" si="48"/>
        <v>2</v>
      </c>
      <c r="AI69" s="3">
        <f t="shared" si="49"/>
        <v>0</v>
      </c>
      <c r="AJ69" s="7">
        <f t="shared" ref="AJ69:AJ132" si="54">IF(LEN(U69)=0,0,IF(U69="END_ID",0,1))</f>
        <v>1</v>
      </c>
      <c r="AK69" s="1"/>
      <c r="AL69" s="1"/>
      <c r="AM69" s="10"/>
      <c r="AN69" s="1"/>
      <c r="AO69" s="1"/>
      <c r="AP69" s="1"/>
      <c r="AQ69" s="1"/>
      <c r="AR69" s="1"/>
      <c r="AS69" s="1"/>
      <c r="AT69" s="1"/>
    </row>
    <row r="70" spans="1:46" x14ac:dyDescent="0.3">
      <c r="A70" s="15" t="s">
        <v>251</v>
      </c>
      <c r="B70" s="1">
        <f t="shared" si="22"/>
        <v>8</v>
      </c>
      <c r="C70" s="1">
        <f t="shared" si="23"/>
        <v>9</v>
      </c>
      <c r="D70" s="10" t="str">
        <f t="shared" si="24"/>
        <v>2</v>
      </c>
      <c r="E70" s="1">
        <f t="shared" si="25"/>
        <v>11</v>
      </c>
      <c r="F70" s="1">
        <f t="shared" si="26"/>
        <v>54</v>
      </c>
      <c r="G70" s="1">
        <f t="shared" si="27"/>
        <v>37</v>
      </c>
      <c r="H70" s="1">
        <f t="shared" si="34"/>
        <v>37</v>
      </c>
      <c r="I70" s="10" t="str">
        <f t="shared" si="28"/>
        <v>UpAE_WDR_LTGT_DCRS_AGC_PT0</v>
      </c>
      <c r="J70" s="1">
        <f t="shared" si="35"/>
        <v>0</v>
      </c>
      <c r="K70" s="1">
        <f t="shared" si="29"/>
        <v>0</v>
      </c>
      <c r="L70" s="1" t="str">
        <f t="shared" si="30"/>
        <v>0</v>
      </c>
      <c r="M70" s="10">
        <f t="shared" si="31"/>
        <v>0</v>
      </c>
      <c r="N70" s="1">
        <f t="shared" si="32"/>
        <v>40</v>
      </c>
      <c r="O70" s="1">
        <f t="shared" si="50"/>
        <v>0</v>
      </c>
      <c r="P70" s="1">
        <f t="shared" si="33"/>
        <v>114</v>
      </c>
      <c r="Q70" s="3" t="str">
        <f t="shared" si="37"/>
        <v xml:space="preserve"> When WDR Mode, AGC interlocking point 0 for Target Value to be decreased </v>
      </c>
      <c r="R70" s="11">
        <f t="shared" si="51"/>
        <v>121</v>
      </c>
      <c r="S70" s="11"/>
      <c r="T70" s="13" t="str">
        <f t="shared" si="52"/>
        <v>79</v>
      </c>
      <c r="U70" s="14" t="str">
        <f t="shared" si="38"/>
        <v>UpAE_WDR_LTGT_DCRS_AGC_PT0</v>
      </c>
      <c r="V70" s="13" t="str">
        <f t="shared" si="39"/>
        <v>2</v>
      </c>
      <c r="W70" s="13">
        <f t="shared" si="40"/>
        <v>0</v>
      </c>
      <c r="X70" s="14" t="str">
        <f t="shared" si="41"/>
        <v xml:space="preserve"> When WDR Mode, AGC interlocking point 0 for Target Value to be decreased </v>
      </c>
      <c r="Y70" s="1">
        <f t="shared" si="42"/>
        <v>1</v>
      </c>
      <c r="Z70" s="1">
        <f t="shared" si="43"/>
        <v>2</v>
      </c>
      <c r="AA70" s="1">
        <f t="shared" si="36"/>
        <v>0</v>
      </c>
      <c r="AB70" s="1">
        <f t="shared" si="44"/>
        <v>0</v>
      </c>
      <c r="AC70" s="10" t="e">
        <f t="shared" si="45"/>
        <v>#VALUE!</v>
      </c>
      <c r="AD70" s="1" t="e">
        <f t="shared" si="53"/>
        <v>#VALUE!</v>
      </c>
      <c r="AF70" s="3" t="e">
        <f t="shared" si="46"/>
        <v>#VALUE!</v>
      </c>
      <c r="AG70" s="5" t="str">
        <f t="shared" si="47"/>
        <v>UpAE_WDR_LTGT_DCRS_AGC_PT0)/* When WDR Mode, AGC interlocking point 0 for Target Value to be decreased *</v>
      </c>
      <c r="AH70" s="3">
        <f t="shared" si="48"/>
        <v>2</v>
      </c>
      <c r="AI70" s="3">
        <f t="shared" si="49"/>
        <v>0</v>
      </c>
      <c r="AJ70" s="7">
        <f t="shared" si="54"/>
        <v>1</v>
      </c>
      <c r="AK70" s="1"/>
      <c r="AL70" s="1"/>
      <c r="AM70" s="10"/>
      <c r="AN70" s="1"/>
      <c r="AO70" s="1"/>
      <c r="AP70" s="1"/>
      <c r="AQ70" s="1"/>
      <c r="AR70" s="1"/>
      <c r="AS70" s="1"/>
      <c r="AT70" s="1"/>
    </row>
    <row r="71" spans="1:46" x14ac:dyDescent="0.3">
      <c r="A71" s="15" t="s">
        <v>252</v>
      </c>
      <c r="B71" s="1">
        <f t="shared" ref="B71:B134" si="55">IFERROR(FIND("UP_SET(",$A71)+7,0)</f>
        <v>8</v>
      </c>
      <c r="C71" s="1">
        <f t="shared" ref="C71:C134" si="56">IF($B71&gt;0,FIND(",",$A71,$B71),0)</f>
        <v>9</v>
      </c>
      <c r="D71" s="10" t="str">
        <f t="shared" ref="D71:D134" si="57">IF($B71&gt;0,MID($A71,$B71,$C71-$B71),0)</f>
        <v>2</v>
      </c>
      <c r="E71" s="1">
        <f t="shared" ref="E71:E134" si="58">IF($B71&gt;0,FIND("Up",$A71,$C71),0)</f>
        <v>11</v>
      </c>
      <c r="F71" s="1">
        <f t="shared" ref="F71:F134" si="59">IF($B71&gt;0,IFERROR(FIND(",",$A71,$E71),0),0)</f>
        <v>54</v>
      </c>
      <c r="G71" s="1">
        <f t="shared" ref="G71:G134" si="60">IF($B71&gt;0,FIND(")",$A71,$B71),0)</f>
        <v>37</v>
      </c>
      <c r="H71" s="1">
        <f t="shared" si="34"/>
        <v>37</v>
      </c>
      <c r="I71" s="10" t="str">
        <f t="shared" ref="I71:I134" si="61">IF($B71&gt;0,MID($A71,$E71,$H71-$E71),0)</f>
        <v>UpAE_WDR_LTGT_DCRS_AGC_PT1</v>
      </c>
      <c r="J71" s="1">
        <f t="shared" si="35"/>
        <v>0</v>
      </c>
      <c r="K71" s="1">
        <f t="shared" ref="K71:K134" si="62">IF(J71&gt;0,MID(A71,J71,G71-J71),0)</f>
        <v>0</v>
      </c>
      <c r="L71" s="1" t="str">
        <f t="shared" ref="L71:L134" si="63">IFERROR(RIGHT(K71,LEN(K71)-FIND("0x",K71)-1),DEC2HEX(K71))</f>
        <v>0</v>
      </c>
      <c r="M71" s="10">
        <f t="shared" ref="M71:M134" si="64">HEX2DEC(L71)</f>
        <v>0</v>
      </c>
      <c r="N71" s="1">
        <f t="shared" ref="N71:N134" si="65">IFERROR(FIND("/*",$A71)+2,0)</f>
        <v>40</v>
      </c>
      <c r="O71" s="1">
        <f t="shared" si="50"/>
        <v>0</v>
      </c>
      <c r="P71" s="1">
        <f t="shared" ref="P71:P134" si="66">IFERROR(FIND("*/",$A71,N71+1),0)</f>
        <v>114</v>
      </c>
      <c r="Q71" s="3" t="str">
        <f t="shared" si="37"/>
        <v xml:space="preserve"> When WDR Mode, AGC interlocking point 1 for Target Value to be decreased </v>
      </c>
      <c r="R71" s="11">
        <f t="shared" si="51"/>
        <v>123</v>
      </c>
      <c r="S71" s="11"/>
      <c r="T71" s="13" t="str">
        <f t="shared" si="52"/>
        <v>7B</v>
      </c>
      <c r="U71" s="14" t="str">
        <f t="shared" si="38"/>
        <v>UpAE_WDR_LTGT_DCRS_AGC_PT1</v>
      </c>
      <c r="V71" s="13" t="str">
        <f t="shared" si="39"/>
        <v>2</v>
      </c>
      <c r="W71" s="13">
        <f t="shared" si="40"/>
        <v>0</v>
      </c>
      <c r="X71" s="14" t="str">
        <f t="shared" si="41"/>
        <v xml:space="preserve"> When WDR Mode, AGC interlocking point 1 for Target Value to be decreased </v>
      </c>
      <c r="Y71" s="1">
        <f t="shared" si="42"/>
        <v>1</v>
      </c>
      <c r="Z71" s="1">
        <f t="shared" si="43"/>
        <v>2</v>
      </c>
      <c r="AA71" s="1">
        <f t="shared" si="36"/>
        <v>0</v>
      </c>
      <c r="AB71" s="1">
        <f t="shared" si="44"/>
        <v>0</v>
      </c>
      <c r="AC71" s="10" t="e">
        <f t="shared" si="45"/>
        <v>#VALUE!</v>
      </c>
      <c r="AD71" s="1" t="e">
        <f t="shared" si="53"/>
        <v>#VALUE!</v>
      </c>
      <c r="AF71" s="3" t="e">
        <f t="shared" si="46"/>
        <v>#VALUE!</v>
      </c>
      <c r="AG71" s="5" t="str">
        <f t="shared" si="47"/>
        <v>UpAE_WDR_LTGT_DCRS_AGC_PT1)/* When WDR Mode, AGC interlocking point 1 for Target Value to be decreased *</v>
      </c>
      <c r="AH71" s="3">
        <f t="shared" si="48"/>
        <v>2</v>
      </c>
      <c r="AI71" s="3">
        <f t="shared" si="49"/>
        <v>0</v>
      </c>
      <c r="AJ71" s="7">
        <f t="shared" si="54"/>
        <v>1</v>
      </c>
      <c r="AK71" s="1"/>
      <c r="AL71" s="1"/>
      <c r="AM71" s="10"/>
      <c r="AN71" s="1"/>
      <c r="AO71" s="1"/>
      <c r="AP71" s="1"/>
      <c r="AQ71" s="1"/>
      <c r="AR71" s="1"/>
      <c r="AS71" s="1"/>
      <c r="AT71" s="1"/>
    </row>
    <row r="72" spans="1:46" x14ac:dyDescent="0.3">
      <c r="A72" s="15" t="s">
        <v>253</v>
      </c>
      <c r="B72" s="1">
        <f t="shared" si="55"/>
        <v>8</v>
      </c>
      <c r="C72" s="1">
        <f t="shared" si="56"/>
        <v>9</v>
      </c>
      <c r="D72" s="10" t="str">
        <f t="shared" si="57"/>
        <v>2</v>
      </c>
      <c r="E72" s="1">
        <f t="shared" si="58"/>
        <v>11</v>
      </c>
      <c r="F72" s="1">
        <f t="shared" si="59"/>
        <v>54</v>
      </c>
      <c r="G72" s="1">
        <f t="shared" si="60"/>
        <v>37</v>
      </c>
      <c r="H72" s="1">
        <f t="shared" ref="H72:H135" si="67">IF(AND(F72&gt;0,F72&lt;G72),F72,G72)</f>
        <v>37</v>
      </c>
      <c r="I72" s="10" t="str">
        <f t="shared" si="61"/>
        <v>UpAE_WDR_LTGT_DCRS_AGC_PT2</v>
      </c>
      <c r="J72" s="1">
        <f t="shared" ref="J72:J135" si="68">IF(AND(F72&gt;0,F72&lt;G72),FIND("=",A72,F72)+1,0)</f>
        <v>0</v>
      </c>
      <c r="K72" s="1">
        <f t="shared" si="62"/>
        <v>0</v>
      </c>
      <c r="L72" s="1" t="str">
        <f t="shared" si="63"/>
        <v>0</v>
      </c>
      <c r="M72" s="10">
        <f t="shared" si="64"/>
        <v>0</v>
      </c>
      <c r="N72" s="1">
        <f t="shared" si="65"/>
        <v>40</v>
      </c>
      <c r="O72" s="1">
        <f t="shared" si="50"/>
        <v>0</v>
      </c>
      <c r="P72" s="1">
        <f t="shared" si="66"/>
        <v>114</v>
      </c>
      <c r="Q72" s="3" t="str">
        <f t="shared" si="37"/>
        <v xml:space="preserve"> When WDR Mode, AGC interlocking point 2 for Target Value to be decreased </v>
      </c>
      <c r="R72" s="11">
        <f t="shared" si="51"/>
        <v>125</v>
      </c>
      <c r="S72" s="11"/>
      <c r="T72" s="13" t="str">
        <f t="shared" si="52"/>
        <v>7D</v>
      </c>
      <c r="U72" s="14" t="str">
        <f t="shared" si="38"/>
        <v>UpAE_WDR_LTGT_DCRS_AGC_PT2</v>
      </c>
      <c r="V72" s="13" t="str">
        <f t="shared" si="39"/>
        <v>2</v>
      </c>
      <c r="W72" s="13">
        <f t="shared" si="40"/>
        <v>0</v>
      </c>
      <c r="X72" s="14" t="str">
        <f t="shared" si="41"/>
        <v xml:space="preserve"> When WDR Mode, AGC interlocking point 2 for Target Value to be decreased </v>
      </c>
      <c r="Y72" s="1">
        <f t="shared" si="42"/>
        <v>1</v>
      </c>
      <c r="Z72" s="1">
        <f t="shared" si="43"/>
        <v>2</v>
      </c>
      <c r="AA72" s="1">
        <f t="shared" si="36"/>
        <v>0</v>
      </c>
      <c r="AB72" s="1">
        <f t="shared" si="44"/>
        <v>0</v>
      </c>
      <c r="AC72" s="10" t="e">
        <f t="shared" si="45"/>
        <v>#VALUE!</v>
      </c>
      <c r="AD72" s="1" t="e">
        <f t="shared" si="53"/>
        <v>#VALUE!</v>
      </c>
      <c r="AF72" s="3" t="e">
        <f t="shared" si="46"/>
        <v>#VALUE!</v>
      </c>
      <c r="AG72" s="5" t="str">
        <f t="shared" si="47"/>
        <v>UpAE_WDR_LTGT_DCRS_AGC_PT2)/* When WDR Mode, AGC interlocking point 2 for Target Value to be decreased *</v>
      </c>
      <c r="AH72" s="3">
        <f t="shared" si="48"/>
        <v>2</v>
      </c>
      <c r="AI72" s="3">
        <f t="shared" si="49"/>
        <v>0</v>
      </c>
      <c r="AJ72" s="7">
        <f t="shared" si="54"/>
        <v>1</v>
      </c>
      <c r="AK72" s="1"/>
      <c r="AL72" s="1"/>
      <c r="AM72" s="10"/>
      <c r="AN72" s="1"/>
      <c r="AO72" s="1"/>
      <c r="AP72" s="1"/>
      <c r="AQ72" s="1"/>
      <c r="AR72" s="1"/>
      <c r="AS72" s="1"/>
      <c r="AT72" s="1"/>
    </row>
    <row r="73" spans="1:46" x14ac:dyDescent="0.3">
      <c r="A73" s="15" t="s">
        <v>254</v>
      </c>
      <c r="B73" s="1">
        <f t="shared" si="55"/>
        <v>8</v>
      </c>
      <c r="C73" s="1">
        <f t="shared" si="56"/>
        <v>9</v>
      </c>
      <c r="D73" s="10" t="str">
        <f t="shared" si="57"/>
        <v>1</v>
      </c>
      <c r="E73" s="1">
        <f t="shared" si="58"/>
        <v>11</v>
      </c>
      <c r="F73" s="1">
        <f t="shared" si="59"/>
        <v>54</v>
      </c>
      <c r="G73" s="1">
        <f t="shared" si="60"/>
        <v>37</v>
      </c>
      <c r="H73" s="1">
        <f t="shared" si="67"/>
        <v>37</v>
      </c>
      <c r="I73" s="10" t="str">
        <f t="shared" si="61"/>
        <v>UpAE_WDR_LTGT_DCRS_VAL_PT0</v>
      </c>
      <c r="J73" s="1">
        <f t="shared" si="68"/>
        <v>0</v>
      </c>
      <c r="K73" s="1">
        <f t="shared" si="62"/>
        <v>0</v>
      </c>
      <c r="L73" s="1" t="str">
        <f t="shared" si="63"/>
        <v>0</v>
      </c>
      <c r="M73" s="10">
        <f t="shared" si="64"/>
        <v>0</v>
      </c>
      <c r="N73" s="1">
        <f t="shared" si="65"/>
        <v>40</v>
      </c>
      <c r="O73" s="1">
        <f t="shared" si="50"/>
        <v>0</v>
      </c>
      <c r="P73" s="1">
        <f t="shared" si="66"/>
        <v>220</v>
      </c>
      <c r="Q73" s="3" t="str">
        <f t="shared" si="37"/>
        <v xml:space="preserve"> When WDR Mode, Target Value to be decreased interlocking point 0, [Target_Value = Target - DCRS_TargetVal(Calculate Target through AGC Interlocking), (Must be DCRS_VAL &lt; Target)] </v>
      </c>
      <c r="R73" s="11">
        <f t="shared" si="51"/>
        <v>127</v>
      </c>
      <c r="S73" s="11"/>
      <c r="T73" s="13" t="str">
        <f t="shared" si="52"/>
        <v>7F</v>
      </c>
      <c r="U73" s="14" t="str">
        <f t="shared" si="38"/>
        <v>UpAE_WDR_LTGT_DCRS_VAL_PT0</v>
      </c>
      <c r="V73" s="13" t="str">
        <f t="shared" si="39"/>
        <v>1</v>
      </c>
      <c r="W73" s="13">
        <f t="shared" si="40"/>
        <v>0</v>
      </c>
      <c r="X73" s="14" t="str">
        <f t="shared" si="41"/>
        <v xml:space="preserve"> When WDR Mode, Target Value to be decreased interlocking point 0, [Target_Value = Target - DCRS_TargetVal(Calculate Target through AGC Interlocking), (Must be DCRS_VAL &lt; Target)] </v>
      </c>
      <c r="Y73" s="1">
        <f t="shared" si="42"/>
        <v>1</v>
      </c>
      <c r="Z73" s="1">
        <f t="shared" si="43"/>
        <v>1</v>
      </c>
      <c r="AA73" s="1">
        <f t="shared" si="36"/>
        <v>122</v>
      </c>
      <c r="AB73" s="1" t="str">
        <f t="shared" si="44"/>
        <v xml:space="preserve"> Target - DCRS_TargetVal(Calculate Target through AGC Interlocking), (Must be DCRS_VAL &lt; Target)] *</v>
      </c>
      <c r="AC73" s="10" t="str">
        <f t="shared" si="45"/>
        <v xml:space="preserve"> Target - DCRS_TargetVal(Calculate Target through AGC Interlocking), (Must be DCRS_VAL &lt; Target)] *</v>
      </c>
      <c r="AD73" s="1" t="e">
        <f t="shared" si="53"/>
        <v>#VALUE!</v>
      </c>
      <c r="AF73" s="3" t="e">
        <f t="shared" si="46"/>
        <v>#VALUE!</v>
      </c>
      <c r="AG73" s="5" t="str">
        <f t="shared" si="47"/>
        <v>UpAE_WDR_LTGT_DCRS_VAL_PT0)/* When WDR Mode, Target Value to be decreased interlocking point 0, [Target_Value</v>
      </c>
      <c r="AH73" s="3">
        <f t="shared" si="48"/>
        <v>1</v>
      </c>
      <c r="AI73" s="3">
        <f t="shared" si="49"/>
        <v>0</v>
      </c>
      <c r="AJ73" s="7">
        <f t="shared" si="54"/>
        <v>1</v>
      </c>
      <c r="AK73" s="1"/>
      <c r="AL73" s="1"/>
      <c r="AM73" s="10"/>
      <c r="AN73" s="1"/>
      <c r="AO73" s="1"/>
      <c r="AP73" s="1"/>
      <c r="AQ73" s="1"/>
      <c r="AR73" s="1"/>
      <c r="AS73" s="1"/>
      <c r="AT73" s="1"/>
    </row>
    <row r="74" spans="1:46" x14ac:dyDescent="0.3">
      <c r="A74" s="15" t="s">
        <v>255</v>
      </c>
      <c r="B74" s="1">
        <f t="shared" si="55"/>
        <v>8</v>
      </c>
      <c r="C74" s="1">
        <f t="shared" si="56"/>
        <v>9</v>
      </c>
      <c r="D74" s="10" t="str">
        <f t="shared" si="57"/>
        <v>1</v>
      </c>
      <c r="E74" s="1">
        <f t="shared" si="58"/>
        <v>11</v>
      </c>
      <c r="F74" s="1">
        <f t="shared" si="59"/>
        <v>54</v>
      </c>
      <c r="G74" s="1">
        <f t="shared" si="60"/>
        <v>37</v>
      </c>
      <c r="H74" s="1">
        <f t="shared" si="67"/>
        <v>37</v>
      </c>
      <c r="I74" s="10" t="str">
        <f t="shared" si="61"/>
        <v>UpAE_WDR_LTGT_DCRS_VAL_PT1</v>
      </c>
      <c r="J74" s="1">
        <f t="shared" si="68"/>
        <v>0</v>
      </c>
      <c r="K74" s="1">
        <f t="shared" si="62"/>
        <v>0</v>
      </c>
      <c r="L74" s="1" t="str">
        <f t="shared" si="63"/>
        <v>0</v>
      </c>
      <c r="M74" s="10">
        <f t="shared" si="64"/>
        <v>0</v>
      </c>
      <c r="N74" s="1">
        <f t="shared" si="65"/>
        <v>40</v>
      </c>
      <c r="O74" s="1">
        <f t="shared" si="50"/>
        <v>0</v>
      </c>
      <c r="P74" s="1">
        <f t="shared" si="66"/>
        <v>220</v>
      </c>
      <c r="Q74" s="3" t="str">
        <f t="shared" si="37"/>
        <v xml:space="preserve"> When WDR Mode, Target Value to be decreased interlocking point 1, [Target_Value = Target - DCRS_TargetVal(Calculate Target through AGC Interlocking), (Must be DCRS_VAL &lt; Target)] </v>
      </c>
      <c r="R74" s="11">
        <f t="shared" si="51"/>
        <v>128</v>
      </c>
      <c r="S74" s="11"/>
      <c r="T74" s="13" t="str">
        <f t="shared" si="52"/>
        <v>80</v>
      </c>
      <c r="U74" s="14" t="str">
        <f t="shared" si="38"/>
        <v>UpAE_WDR_LTGT_DCRS_VAL_PT1</v>
      </c>
      <c r="V74" s="13" t="str">
        <f t="shared" si="39"/>
        <v>1</v>
      </c>
      <c r="W74" s="13">
        <f t="shared" si="40"/>
        <v>0</v>
      </c>
      <c r="X74" s="14" t="str">
        <f t="shared" si="41"/>
        <v xml:space="preserve"> When WDR Mode, Target Value to be decreased interlocking point 1, [Target_Value = Target - DCRS_TargetVal(Calculate Target through AGC Interlocking), (Must be DCRS_VAL &lt; Target)] </v>
      </c>
      <c r="Y74" s="1">
        <f t="shared" si="42"/>
        <v>1</v>
      </c>
      <c r="Z74" s="1">
        <f t="shared" si="43"/>
        <v>1</v>
      </c>
      <c r="AA74" s="1">
        <f t="shared" si="36"/>
        <v>122</v>
      </c>
      <c r="AB74" s="1" t="str">
        <f t="shared" si="44"/>
        <v xml:space="preserve"> Target - DCRS_TargetVal(Calculate Target through AGC Interlocking), (Must be DCRS_VAL &lt; Target)] *</v>
      </c>
      <c r="AC74" s="10" t="str">
        <f t="shared" si="45"/>
        <v xml:space="preserve"> Target - DCRS_TargetVal(Calculate Target through AGC Interlocking), (Must be DCRS_VAL &lt; Target)] *</v>
      </c>
      <c r="AD74" s="1" t="e">
        <f t="shared" si="53"/>
        <v>#VALUE!</v>
      </c>
      <c r="AF74" s="3" t="e">
        <f t="shared" si="46"/>
        <v>#VALUE!</v>
      </c>
      <c r="AG74" s="5" t="str">
        <f t="shared" si="47"/>
        <v>UpAE_WDR_LTGT_DCRS_VAL_PT1)/* When WDR Mode, Target Value to be decreased interlocking point 1, [Target_Value</v>
      </c>
      <c r="AH74" s="3">
        <f t="shared" si="48"/>
        <v>1</v>
      </c>
      <c r="AI74" s="3">
        <f t="shared" si="49"/>
        <v>0</v>
      </c>
      <c r="AJ74" s="7">
        <f t="shared" si="54"/>
        <v>1</v>
      </c>
      <c r="AK74" s="1"/>
      <c r="AL74" s="1"/>
      <c r="AM74" s="10"/>
      <c r="AN74" s="1"/>
      <c r="AO74" s="1"/>
      <c r="AP74" s="1"/>
      <c r="AQ74" s="1"/>
      <c r="AR74" s="1"/>
      <c r="AS74" s="1"/>
      <c r="AT74" s="1"/>
    </row>
    <row r="75" spans="1:46" x14ac:dyDescent="0.3">
      <c r="A75" s="15" t="s">
        <v>256</v>
      </c>
      <c r="B75" s="1">
        <f t="shared" si="55"/>
        <v>8</v>
      </c>
      <c r="C75" s="1">
        <f t="shared" si="56"/>
        <v>9</v>
      </c>
      <c r="D75" s="10" t="str">
        <f t="shared" si="57"/>
        <v>1</v>
      </c>
      <c r="E75" s="1">
        <f t="shared" si="58"/>
        <v>11</v>
      </c>
      <c r="F75" s="1">
        <f t="shared" si="59"/>
        <v>54</v>
      </c>
      <c r="G75" s="1">
        <f t="shared" si="60"/>
        <v>37</v>
      </c>
      <c r="H75" s="1">
        <f t="shared" si="67"/>
        <v>37</v>
      </c>
      <c r="I75" s="10" t="str">
        <f t="shared" si="61"/>
        <v>UpAE_WDR_LTGT_DCRS_VAL_PT2</v>
      </c>
      <c r="J75" s="1">
        <f t="shared" si="68"/>
        <v>0</v>
      </c>
      <c r="K75" s="1">
        <f t="shared" si="62"/>
        <v>0</v>
      </c>
      <c r="L75" s="1" t="str">
        <f t="shared" si="63"/>
        <v>0</v>
      </c>
      <c r="M75" s="10">
        <f t="shared" si="64"/>
        <v>0</v>
      </c>
      <c r="N75" s="1">
        <f t="shared" si="65"/>
        <v>40</v>
      </c>
      <c r="O75" s="1">
        <f t="shared" si="50"/>
        <v>0</v>
      </c>
      <c r="P75" s="1">
        <f t="shared" si="66"/>
        <v>220</v>
      </c>
      <c r="Q75" s="3" t="str">
        <f t="shared" si="37"/>
        <v xml:space="preserve"> When WDR Mode, Target Value to be decreased interlocking point 2, [Target_Value = Target - DCRS_TargetVal(Calculate Target through AGC Interlocking), (Must be DCRS_VAL &lt; Target)] </v>
      </c>
      <c r="R75" s="11">
        <f t="shared" si="51"/>
        <v>129</v>
      </c>
      <c r="S75" s="11"/>
      <c r="T75" s="13" t="str">
        <f t="shared" si="52"/>
        <v>81</v>
      </c>
      <c r="U75" s="14" t="str">
        <f t="shared" si="38"/>
        <v>UpAE_WDR_LTGT_DCRS_VAL_PT2</v>
      </c>
      <c r="V75" s="13" t="str">
        <f t="shared" si="39"/>
        <v>1</v>
      </c>
      <c r="W75" s="13">
        <f t="shared" si="40"/>
        <v>0</v>
      </c>
      <c r="X75" s="14" t="str">
        <f t="shared" si="41"/>
        <v xml:space="preserve"> When WDR Mode, Target Value to be decreased interlocking point 2, [Target_Value = Target - DCRS_TargetVal(Calculate Target through AGC Interlocking), (Must be DCRS_VAL &lt; Target)] </v>
      </c>
      <c r="Y75" s="1">
        <f t="shared" si="42"/>
        <v>1</v>
      </c>
      <c r="Z75" s="1">
        <f t="shared" si="43"/>
        <v>1</v>
      </c>
      <c r="AA75" s="1">
        <f t="shared" si="36"/>
        <v>122</v>
      </c>
      <c r="AB75" s="1" t="str">
        <f t="shared" si="44"/>
        <v xml:space="preserve"> Target - DCRS_TargetVal(Calculate Target through AGC Interlocking), (Must be DCRS_VAL &lt; Target)] *</v>
      </c>
      <c r="AC75" s="10" t="str">
        <f t="shared" si="45"/>
        <v xml:space="preserve"> Target - DCRS_TargetVal(Calculate Target through AGC Interlocking), (Must be DCRS_VAL &lt; Target)] *</v>
      </c>
      <c r="AD75" s="1" t="e">
        <f t="shared" si="53"/>
        <v>#VALUE!</v>
      </c>
      <c r="AF75" s="3" t="e">
        <f t="shared" si="46"/>
        <v>#VALUE!</v>
      </c>
      <c r="AG75" s="5" t="str">
        <f t="shared" si="47"/>
        <v>UpAE_WDR_LTGT_DCRS_VAL_PT2)/* When WDR Mode, Target Value to be decreased interlocking point 2, [Target_Value</v>
      </c>
      <c r="AH75" s="3">
        <f t="shared" si="48"/>
        <v>1</v>
      </c>
      <c r="AI75" s="3">
        <f t="shared" si="49"/>
        <v>0</v>
      </c>
      <c r="AJ75" s="7">
        <f t="shared" si="54"/>
        <v>1</v>
      </c>
      <c r="AK75" s="1"/>
      <c r="AL75" s="1"/>
      <c r="AM75" s="10"/>
      <c r="AN75" s="1"/>
      <c r="AO75" s="1"/>
      <c r="AP75" s="1"/>
      <c r="AQ75" s="1"/>
      <c r="AR75" s="1"/>
      <c r="AS75" s="1"/>
      <c r="AT75" s="1"/>
    </row>
    <row r="76" spans="1:46" x14ac:dyDescent="0.3">
      <c r="A76" s="15" t="s">
        <v>257</v>
      </c>
      <c r="B76" s="1">
        <f t="shared" si="55"/>
        <v>8</v>
      </c>
      <c r="C76" s="1">
        <f t="shared" si="56"/>
        <v>9</v>
      </c>
      <c r="D76" s="10" t="str">
        <f t="shared" si="57"/>
        <v>2</v>
      </c>
      <c r="E76" s="1">
        <f t="shared" si="58"/>
        <v>11</v>
      </c>
      <c r="F76" s="1">
        <f t="shared" si="59"/>
        <v>48</v>
      </c>
      <c r="G76" s="1">
        <f t="shared" si="60"/>
        <v>31</v>
      </c>
      <c r="H76" s="1">
        <f t="shared" si="67"/>
        <v>31</v>
      </c>
      <c r="I76" s="10" t="str">
        <f t="shared" si="61"/>
        <v>UpAE_WDR_CLP_AGC_PT0</v>
      </c>
      <c r="J76" s="1">
        <f t="shared" si="68"/>
        <v>0</v>
      </c>
      <c r="K76" s="1">
        <f t="shared" si="62"/>
        <v>0</v>
      </c>
      <c r="L76" s="1" t="str">
        <f t="shared" si="63"/>
        <v>0</v>
      </c>
      <c r="M76" s="10">
        <f t="shared" si="64"/>
        <v>0</v>
      </c>
      <c r="N76" s="1">
        <f t="shared" si="65"/>
        <v>34</v>
      </c>
      <c r="O76" s="1">
        <f t="shared" si="50"/>
        <v>0</v>
      </c>
      <c r="P76" s="1">
        <f t="shared" si="66"/>
        <v>95</v>
      </c>
      <c r="Q76" s="3" t="str">
        <f t="shared" si="37"/>
        <v xml:space="preserve"> When WDR Mode, AGC interlocking point 0 for Long CLIP_VALUE </v>
      </c>
      <c r="R76" s="11">
        <f t="shared" si="51"/>
        <v>130</v>
      </c>
      <c r="S76" s="11"/>
      <c r="T76" s="13" t="str">
        <f t="shared" si="52"/>
        <v>82</v>
      </c>
      <c r="U76" s="14" t="str">
        <f t="shared" si="38"/>
        <v>UpAE_WDR_CLP_AGC_PT0</v>
      </c>
      <c r="V76" s="13" t="str">
        <f t="shared" si="39"/>
        <v>2</v>
      </c>
      <c r="W76" s="13">
        <f t="shared" si="40"/>
        <v>0</v>
      </c>
      <c r="X76" s="14" t="str">
        <f t="shared" si="41"/>
        <v xml:space="preserve"> When WDR Mode, AGC interlocking point 0 for Long CLIP_VALUE </v>
      </c>
      <c r="Y76" s="1">
        <f t="shared" si="42"/>
        <v>1</v>
      </c>
      <c r="Z76" s="1">
        <f t="shared" si="43"/>
        <v>2</v>
      </c>
      <c r="AA76" s="1">
        <f t="shared" si="36"/>
        <v>0</v>
      </c>
      <c r="AB76" s="1">
        <f t="shared" si="44"/>
        <v>0</v>
      </c>
      <c r="AC76" s="10" t="e">
        <f t="shared" si="45"/>
        <v>#VALUE!</v>
      </c>
      <c r="AD76" s="1" t="e">
        <f t="shared" si="53"/>
        <v>#VALUE!</v>
      </c>
      <c r="AF76" s="3" t="e">
        <f t="shared" si="46"/>
        <v>#VALUE!</v>
      </c>
      <c r="AG76" s="5" t="str">
        <f t="shared" si="47"/>
        <v>UpAE_WDR_CLP_AGC_PT0)/* When WDR Mode, AGC interlocking point 0 for Long CLIP_VALUE *</v>
      </c>
      <c r="AH76" s="3">
        <f t="shared" si="48"/>
        <v>2</v>
      </c>
      <c r="AI76" s="3">
        <f t="shared" si="49"/>
        <v>0</v>
      </c>
      <c r="AJ76" s="7">
        <f t="shared" si="54"/>
        <v>1</v>
      </c>
      <c r="AK76" s="1"/>
      <c r="AL76" s="1"/>
      <c r="AM76" s="10"/>
      <c r="AN76" s="1"/>
      <c r="AO76" s="1"/>
      <c r="AP76" s="1"/>
      <c r="AQ76" s="1"/>
      <c r="AR76" s="1"/>
      <c r="AS76" s="1"/>
      <c r="AT76" s="1"/>
    </row>
    <row r="77" spans="1:46" x14ac:dyDescent="0.3">
      <c r="A77" s="15" t="s">
        <v>258</v>
      </c>
      <c r="B77" s="1">
        <f t="shared" si="55"/>
        <v>8</v>
      </c>
      <c r="C77" s="1">
        <f t="shared" si="56"/>
        <v>9</v>
      </c>
      <c r="D77" s="10" t="str">
        <f t="shared" si="57"/>
        <v>2</v>
      </c>
      <c r="E77" s="1">
        <f t="shared" si="58"/>
        <v>11</v>
      </c>
      <c r="F77" s="1">
        <f t="shared" si="59"/>
        <v>48</v>
      </c>
      <c r="G77" s="1">
        <f t="shared" si="60"/>
        <v>31</v>
      </c>
      <c r="H77" s="1">
        <f t="shared" si="67"/>
        <v>31</v>
      </c>
      <c r="I77" s="10" t="str">
        <f t="shared" si="61"/>
        <v>UpAE_WDR_CLP_AGC_PT1</v>
      </c>
      <c r="J77" s="1">
        <f t="shared" si="68"/>
        <v>0</v>
      </c>
      <c r="K77" s="1">
        <f t="shared" si="62"/>
        <v>0</v>
      </c>
      <c r="L77" s="1" t="str">
        <f t="shared" si="63"/>
        <v>0</v>
      </c>
      <c r="M77" s="10">
        <f t="shared" si="64"/>
        <v>0</v>
      </c>
      <c r="N77" s="1">
        <f t="shared" si="65"/>
        <v>34</v>
      </c>
      <c r="O77" s="1">
        <f t="shared" si="50"/>
        <v>0</v>
      </c>
      <c r="P77" s="1">
        <f t="shared" si="66"/>
        <v>95</v>
      </c>
      <c r="Q77" s="3" t="str">
        <f t="shared" si="37"/>
        <v xml:space="preserve"> When WDR Mode, AGC interlocking point 1 for Long CLIP_VALUE </v>
      </c>
      <c r="R77" s="11">
        <f t="shared" si="51"/>
        <v>132</v>
      </c>
      <c r="S77" s="11"/>
      <c r="T77" s="13" t="str">
        <f t="shared" si="52"/>
        <v>84</v>
      </c>
      <c r="U77" s="14" t="str">
        <f t="shared" si="38"/>
        <v>UpAE_WDR_CLP_AGC_PT1</v>
      </c>
      <c r="V77" s="13" t="str">
        <f t="shared" si="39"/>
        <v>2</v>
      </c>
      <c r="W77" s="13">
        <f t="shared" si="40"/>
        <v>0</v>
      </c>
      <c r="X77" s="14" t="str">
        <f t="shared" si="41"/>
        <v xml:space="preserve"> When WDR Mode, AGC interlocking point 1 for Long CLIP_VALUE </v>
      </c>
      <c r="Y77" s="1">
        <f t="shared" si="42"/>
        <v>1</v>
      </c>
      <c r="Z77" s="1">
        <f t="shared" si="43"/>
        <v>2</v>
      </c>
      <c r="AA77" s="1">
        <f t="shared" si="36"/>
        <v>0</v>
      </c>
      <c r="AB77" s="1">
        <f t="shared" si="44"/>
        <v>0</v>
      </c>
      <c r="AC77" s="10" t="e">
        <f t="shared" si="45"/>
        <v>#VALUE!</v>
      </c>
      <c r="AD77" s="1" t="e">
        <f t="shared" si="53"/>
        <v>#VALUE!</v>
      </c>
      <c r="AF77" s="3" t="e">
        <f t="shared" si="46"/>
        <v>#VALUE!</v>
      </c>
      <c r="AG77" s="5" t="str">
        <f t="shared" si="47"/>
        <v>UpAE_WDR_CLP_AGC_PT1)/* When WDR Mode, AGC interlocking point 1 for Long CLIP_VALUE *</v>
      </c>
      <c r="AH77" s="3">
        <f t="shared" si="48"/>
        <v>2</v>
      </c>
      <c r="AI77" s="3">
        <f t="shared" si="49"/>
        <v>0</v>
      </c>
      <c r="AJ77" s="7">
        <f t="shared" si="54"/>
        <v>1</v>
      </c>
      <c r="AK77" s="1"/>
      <c r="AL77" s="1"/>
      <c r="AM77" s="10"/>
      <c r="AN77" s="1"/>
      <c r="AO77" s="1"/>
      <c r="AP77" s="1"/>
      <c r="AQ77" s="1"/>
      <c r="AR77" s="1"/>
      <c r="AS77" s="1"/>
      <c r="AT77" s="1"/>
    </row>
    <row r="78" spans="1:46" x14ac:dyDescent="0.3">
      <c r="A78" s="15" t="s">
        <v>259</v>
      </c>
      <c r="B78" s="1">
        <f t="shared" si="55"/>
        <v>8</v>
      </c>
      <c r="C78" s="1">
        <f t="shared" si="56"/>
        <v>9</v>
      </c>
      <c r="D78" s="10" t="str">
        <f t="shared" si="57"/>
        <v>2</v>
      </c>
      <c r="E78" s="1">
        <f t="shared" si="58"/>
        <v>11</v>
      </c>
      <c r="F78" s="1">
        <f t="shared" si="59"/>
        <v>48</v>
      </c>
      <c r="G78" s="1">
        <f t="shared" si="60"/>
        <v>31</v>
      </c>
      <c r="H78" s="1">
        <f t="shared" si="67"/>
        <v>31</v>
      </c>
      <c r="I78" s="10" t="str">
        <f t="shared" si="61"/>
        <v>UpAE_WDR_CLP_AGC_PT2</v>
      </c>
      <c r="J78" s="1">
        <f t="shared" si="68"/>
        <v>0</v>
      </c>
      <c r="K78" s="1">
        <f t="shared" si="62"/>
        <v>0</v>
      </c>
      <c r="L78" s="1" t="str">
        <f t="shared" si="63"/>
        <v>0</v>
      </c>
      <c r="M78" s="10">
        <f t="shared" si="64"/>
        <v>0</v>
      </c>
      <c r="N78" s="1">
        <f t="shared" si="65"/>
        <v>34</v>
      </c>
      <c r="O78" s="1">
        <f t="shared" si="50"/>
        <v>0</v>
      </c>
      <c r="P78" s="1">
        <f t="shared" si="66"/>
        <v>95</v>
      </c>
      <c r="Q78" s="3" t="str">
        <f t="shared" si="37"/>
        <v xml:space="preserve"> When WDR Mode, AGC interlocking point 2 for Long CLIP_VALUE </v>
      </c>
      <c r="R78" s="11">
        <f t="shared" si="51"/>
        <v>134</v>
      </c>
      <c r="S78" s="11"/>
      <c r="T78" s="13" t="str">
        <f t="shared" si="52"/>
        <v>86</v>
      </c>
      <c r="U78" s="14" t="str">
        <f t="shared" si="38"/>
        <v>UpAE_WDR_CLP_AGC_PT2</v>
      </c>
      <c r="V78" s="13" t="str">
        <f t="shared" si="39"/>
        <v>2</v>
      </c>
      <c r="W78" s="13">
        <f t="shared" si="40"/>
        <v>0</v>
      </c>
      <c r="X78" s="14" t="str">
        <f t="shared" si="41"/>
        <v xml:space="preserve"> When WDR Mode, AGC interlocking point 2 for Long CLIP_VALUE </v>
      </c>
      <c r="Y78" s="1">
        <f t="shared" si="42"/>
        <v>1</v>
      </c>
      <c r="Z78" s="1">
        <f t="shared" si="43"/>
        <v>2</v>
      </c>
      <c r="AA78" s="1">
        <f t="shared" si="36"/>
        <v>0</v>
      </c>
      <c r="AB78" s="1">
        <f t="shared" si="44"/>
        <v>0</v>
      </c>
      <c r="AC78" s="10" t="e">
        <f t="shared" si="45"/>
        <v>#VALUE!</v>
      </c>
      <c r="AD78" s="1" t="e">
        <f t="shared" si="53"/>
        <v>#VALUE!</v>
      </c>
      <c r="AF78" s="3" t="e">
        <f t="shared" si="46"/>
        <v>#VALUE!</v>
      </c>
      <c r="AG78" s="5" t="str">
        <f t="shared" si="47"/>
        <v>UpAE_WDR_CLP_AGC_PT2)/* When WDR Mode, AGC interlocking point 2 for Long CLIP_VALUE *</v>
      </c>
      <c r="AH78" s="3">
        <f t="shared" si="48"/>
        <v>2</v>
      </c>
      <c r="AI78" s="3">
        <f t="shared" si="49"/>
        <v>0</v>
      </c>
      <c r="AJ78" s="7">
        <f t="shared" si="54"/>
        <v>1</v>
      </c>
      <c r="AK78" s="1"/>
      <c r="AL78" s="1"/>
      <c r="AM78" s="10"/>
      <c r="AN78" s="1"/>
      <c r="AO78" s="1"/>
      <c r="AP78" s="1"/>
      <c r="AQ78" s="1"/>
      <c r="AR78" s="1"/>
      <c r="AS78" s="1"/>
      <c r="AT78" s="1"/>
    </row>
    <row r="79" spans="1:46" x14ac:dyDescent="0.3">
      <c r="A79" s="15" t="s">
        <v>260</v>
      </c>
      <c r="B79" s="1">
        <f t="shared" si="55"/>
        <v>8</v>
      </c>
      <c r="C79" s="1">
        <f t="shared" si="56"/>
        <v>9</v>
      </c>
      <c r="D79" s="10" t="str">
        <f t="shared" si="57"/>
        <v>2</v>
      </c>
      <c r="E79" s="1">
        <f t="shared" si="58"/>
        <v>11</v>
      </c>
      <c r="F79" s="1">
        <f t="shared" si="59"/>
        <v>48</v>
      </c>
      <c r="G79" s="1">
        <f t="shared" si="60"/>
        <v>31</v>
      </c>
      <c r="H79" s="1">
        <f t="shared" si="67"/>
        <v>31</v>
      </c>
      <c r="I79" s="10" t="str">
        <f t="shared" si="61"/>
        <v>UpAE_WDR_CLP_VAL_PT0</v>
      </c>
      <c r="J79" s="1">
        <f t="shared" si="68"/>
        <v>0</v>
      </c>
      <c r="K79" s="1">
        <f t="shared" si="62"/>
        <v>0</v>
      </c>
      <c r="L79" s="1" t="str">
        <f t="shared" si="63"/>
        <v>0</v>
      </c>
      <c r="M79" s="10">
        <f t="shared" si="64"/>
        <v>0</v>
      </c>
      <c r="N79" s="1">
        <f t="shared" si="65"/>
        <v>34</v>
      </c>
      <c r="O79" s="1">
        <f t="shared" si="50"/>
        <v>0</v>
      </c>
      <c r="P79" s="1">
        <f t="shared" si="66"/>
        <v>173</v>
      </c>
      <c r="Q79" s="3" t="str">
        <f t="shared" si="37"/>
        <v xml:space="preserve"> When WDR Mode, Long CLIP VALUE corresponding to interlocking point 0 (CLIP_LV = UpAE_WDR_LCIP_OFST + CLIP_VALUE),(Range : iTgtL0 ~ 0x3ff) </v>
      </c>
      <c r="R79" s="11">
        <f t="shared" si="51"/>
        <v>136</v>
      </c>
      <c r="S79" s="11"/>
      <c r="T79" s="13" t="str">
        <f t="shared" si="52"/>
        <v>88</v>
      </c>
      <c r="U79" s="14" t="str">
        <f t="shared" si="38"/>
        <v>UpAE_WDR_CLP_VAL_PT0</v>
      </c>
      <c r="V79" s="13" t="str">
        <f t="shared" si="39"/>
        <v>2</v>
      </c>
      <c r="W79" s="13">
        <f t="shared" si="40"/>
        <v>0</v>
      </c>
      <c r="X79" s="14" t="str">
        <f t="shared" si="41"/>
        <v xml:space="preserve"> When WDR Mode, Long CLIP VALUE corresponding to interlocking point 0 (CLIP_LV = UpAE_WDR_LCIP_OFST + CLIP_VALUE),(Range : iTgtL0 ~ 0x3ff) </v>
      </c>
      <c r="Y79" s="1">
        <f t="shared" si="42"/>
        <v>1</v>
      </c>
      <c r="Z79" s="1">
        <f t="shared" si="43"/>
        <v>2</v>
      </c>
      <c r="AA79" s="1">
        <f t="shared" si="36"/>
        <v>114</v>
      </c>
      <c r="AB79" s="1" t="str">
        <f t="shared" si="44"/>
        <v xml:space="preserve"> UpAE_WDR_LCIP_OFST + CLIP_VALUE),(Range : iTgtL0 ~ 0x3ff) *</v>
      </c>
      <c r="AC79" s="10" t="str">
        <f t="shared" si="45"/>
        <v xml:space="preserve"> UpAE_WDR_LCIP_OFST + CLIP_VALUE),(Range : iTgtL0 ~ 0x3ff) *</v>
      </c>
      <c r="AD79" s="1" t="e">
        <f t="shared" si="53"/>
        <v>#VALUE!</v>
      </c>
      <c r="AF79" s="3" t="e">
        <f t="shared" si="46"/>
        <v>#VALUE!</v>
      </c>
      <c r="AG79" s="5" t="str">
        <f t="shared" si="47"/>
        <v>UpAE_WDR_CLP_VAL_PT0)/* When WDR Mode, Long CLIP VALUE corresponding to interlocking point 0 (CLIP_LV</v>
      </c>
      <c r="AH79" s="3">
        <f t="shared" si="48"/>
        <v>2</v>
      </c>
      <c r="AI79" s="3">
        <f t="shared" si="49"/>
        <v>0</v>
      </c>
      <c r="AJ79" s="7">
        <f t="shared" si="54"/>
        <v>1</v>
      </c>
      <c r="AK79" s="1"/>
      <c r="AL79" s="1"/>
      <c r="AM79" s="10"/>
      <c r="AN79" s="1"/>
      <c r="AO79" s="1"/>
      <c r="AP79" s="1"/>
      <c r="AQ79" s="1"/>
      <c r="AR79" s="1"/>
      <c r="AS79" s="1"/>
      <c r="AT79" s="1"/>
    </row>
    <row r="80" spans="1:46" x14ac:dyDescent="0.3">
      <c r="A80" s="15" t="s">
        <v>261</v>
      </c>
      <c r="B80" s="1">
        <f t="shared" si="55"/>
        <v>8</v>
      </c>
      <c r="C80" s="1">
        <f t="shared" si="56"/>
        <v>9</v>
      </c>
      <c r="D80" s="10" t="str">
        <f t="shared" si="57"/>
        <v>2</v>
      </c>
      <c r="E80" s="1">
        <f t="shared" si="58"/>
        <v>11</v>
      </c>
      <c r="F80" s="1">
        <f t="shared" si="59"/>
        <v>48</v>
      </c>
      <c r="G80" s="1">
        <f t="shared" si="60"/>
        <v>31</v>
      </c>
      <c r="H80" s="1">
        <f t="shared" si="67"/>
        <v>31</v>
      </c>
      <c r="I80" s="10" t="str">
        <f t="shared" si="61"/>
        <v>UpAE_WDR_CLP_VAL_PT1</v>
      </c>
      <c r="J80" s="1">
        <f t="shared" si="68"/>
        <v>0</v>
      </c>
      <c r="K80" s="1">
        <f t="shared" si="62"/>
        <v>0</v>
      </c>
      <c r="L80" s="1" t="str">
        <f t="shared" si="63"/>
        <v>0</v>
      </c>
      <c r="M80" s="10">
        <f t="shared" si="64"/>
        <v>0</v>
      </c>
      <c r="N80" s="1">
        <f t="shared" si="65"/>
        <v>34</v>
      </c>
      <c r="O80" s="1">
        <f t="shared" si="50"/>
        <v>0</v>
      </c>
      <c r="P80" s="1">
        <f t="shared" si="66"/>
        <v>173</v>
      </c>
      <c r="Q80" s="3" t="str">
        <f t="shared" si="37"/>
        <v xml:space="preserve"> When WDR Mode, Long CLIP VALUE corresponding to interlocking point 1 (CLIP_LV = UpAE_WDR_LCIP_OFST + CLIP_VALUE),(Range : iTgtL0 ~ 0x3ff) </v>
      </c>
      <c r="R80" s="11">
        <f t="shared" si="51"/>
        <v>138</v>
      </c>
      <c r="S80" s="11"/>
      <c r="T80" s="13" t="str">
        <f t="shared" si="52"/>
        <v>8A</v>
      </c>
      <c r="U80" s="14" t="str">
        <f t="shared" si="38"/>
        <v>UpAE_WDR_CLP_VAL_PT1</v>
      </c>
      <c r="V80" s="13" t="str">
        <f t="shared" si="39"/>
        <v>2</v>
      </c>
      <c r="W80" s="13">
        <f t="shared" si="40"/>
        <v>0</v>
      </c>
      <c r="X80" s="14" t="str">
        <f t="shared" si="41"/>
        <v xml:space="preserve"> When WDR Mode, Long CLIP VALUE corresponding to interlocking point 1 (CLIP_LV = UpAE_WDR_LCIP_OFST + CLIP_VALUE),(Range : iTgtL0 ~ 0x3ff) </v>
      </c>
      <c r="Y80" s="1">
        <f t="shared" si="42"/>
        <v>1</v>
      </c>
      <c r="Z80" s="1">
        <f t="shared" si="43"/>
        <v>2</v>
      </c>
      <c r="AA80" s="1">
        <f t="shared" si="36"/>
        <v>114</v>
      </c>
      <c r="AB80" s="1" t="str">
        <f t="shared" si="44"/>
        <v xml:space="preserve"> UpAE_WDR_LCIP_OFST + CLIP_VALUE),(Range : iTgtL0 ~ 0x3ff) *</v>
      </c>
      <c r="AC80" s="10" t="str">
        <f t="shared" si="45"/>
        <v xml:space="preserve"> UpAE_WDR_LCIP_OFST + CLIP_VALUE),(Range : iTgtL0 ~ 0x3ff) *</v>
      </c>
      <c r="AD80" s="1" t="e">
        <f t="shared" si="53"/>
        <v>#VALUE!</v>
      </c>
      <c r="AF80" s="3" t="e">
        <f t="shared" si="46"/>
        <v>#VALUE!</v>
      </c>
      <c r="AG80" s="5" t="str">
        <f t="shared" si="47"/>
        <v>UpAE_WDR_CLP_VAL_PT1)/* When WDR Mode, Long CLIP VALUE corresponding to interlocking point 1 (CLIP_LV</v>
      </c>
      <c r="AH80" s="3">
        <f t="shared" si="48"/>
        <v>2</v>
      </c>
      <c r="AI80" s="3">
        <f t="shared" si="49"/>
        <v>0</v>
      </c>
      <c r="AJ80" s="7">
        <f t="shared" si="54"/>
        <v>1</v>
      </c>
      <c r="AK80" s="1"/>
      <c r="AL80" s="1"/>
      <c r="AM80" s="10"/>
      <c r="AN80" s="1"/>
      <c r="AO80" s="1"/>
      <c r="AP80" s="1"/>
      <c r="AQ80" s="1"/>
      <c r="AR80" s="1"/>
      <c r="AS80" s="1"/>
      <c r="AT80" s="1"/>
    </row>
    <row r="81" spans="1:46" x14ac:dyDescent="0.3">
      <c r="A81" s="15" t="s">
        <v>262</v>
      </c>
      <c r="B81" s="1">
        <f t="shared" si="55"/>
        <v>8</v>
      </c>
      <c r="C81" s="1">
        <f t="shared" si="56"/>
        <v>9</v>
      </c>
      <c r="D81" s="10" t="str">
        <f t="shared" si="57"/>
        <v>2</v>
      </c>
      <c r="E81" s="1">
        <f t="shared" si="58"/>
        <v>11</v>
      </c>
      <c r="F81" s="1">
        <f t="shared" si="59"/>
        <v>48</v>
      </c>
      <c r="G81" s="1">
        <f t="shared" si="60"/>
        <v>31</v>
      </c>
      <c r="H81" s="1">
        <f t="shared" si="67"/>
        <v>31</v>
      </c>
      <c r="I81" s="10" t="str">
        <f t="shared" si="61"/>
        <v>UpAE_WDR_CLP_VAL_PT2</v>
      </c>
      <c r="J81" s="1">
        <f t="shared" si="68"/>
        <v>0</v>
      </c>
      <c r="K81" s="1">
        <f t="shared" si="62"/>
        <v>0</v>
      </c>
      <c r="L81" s="1" t="str">
        <f t="shared" si="63"/>
        <v>0</v>
      </c>
      <c r="M81" s="10">
        <f t="shared" si="64"/>
        <v>0</v>
      </c>
      <c r="N81" s="1">
        <f t="shared" si="65"/>
        <v>34</v>
      </c>
      <c r="O81" s="1">
        <f t="shared" si="50"/>
        <v>0</v>
      </c>
      <c r="P81" s="1">
        <f t="shared" si="66"/>
        <v>173</v>
      </c>
      <c r="Q81" s="3" t="str">
        <f t="shared" si="37"/>
        <v xml:space="preserve"> When WDR Mode, Long CLIP VALUE corresponding to interlocking point 2 (CLIP_LV = UpAE_WDR_LCIP_OFST + CLIP_VALUE),(Range : iTgtL0 ~ 0x3ff) </v>
      </c>
      <c r="R81" s="11">
        <f t="shared" si="51"/>
        <v>140</v>
      </c>
      <c r="S81" s="11"/>
      <c r="T81" s="13" t="str">
        <f t="shared" si="52"/>
        <v>8C</v>
      </c>
      <c r="U81" s="14" t="str">
        <f t="shared" si="38"/>
        <v>UpAE_WDR_CLP_VAL_PT2</v>
      </c>
      <c r="V81" s="13" t="str">
        <f t="shared" si="39"/>
        <v>2</v>
      </c>
      <c r="W81" s="13">
        <f t="shared" si="40"/>
        <v>0</v>
      </c>
      <c r="X81" s="14" t="str">
        <f t="shared" si="41"/>
        <v xml:space="preserve"> When WDR Mode, Long CLIP VALUE corresponding to interlocking point 2 (CLIP_LV = UpAE_WDR_LCIP_OFST + CLIP_VALUE),(Range : iTgtL0 ~ 0x3ff) </v>
      </c>
      <c r="Y81" s="1">
        <f t="shared" si="42"/>
        <v>1</v>
      </c>
      <c r="Z81" s="1">
        <f t="shared" si="43"/>
        <v>2</v>
      </c>
      <c r="AA81" s="1">
        <f t="shared" si="36"/>
        <v>114</v>
      </c>
      <c r="AB81" s="1" t="str">
        <f t="shared" si="44"/>
        <v xml:space="preserve"> UpAE_WDR_LCIP_OFST + CLIP_VALUE),(Range : iTgtL0 ~ 0x3ff) *</v>
      </c>
      <c r="AC81" s="10" t="str">
        <f t="shared" si="45"/>
        <v xml:space="preserve"> UpAE_WDR_LCIP_OFST + CLIP_VALUE),(Range : iTgtL0 ~ 0x3ff) *</v>
      </c>
      <c r="AD81" s="1" t="e">
        <f t="shared" si="53"/>
        <v>#VALUE!</v>
      </c>
      <c r="AF81" s="3" t="e">
        <f t="shared" si="46"/>
        <v>#VALUE!</v>
      </c>
      <c r="AG81" s="5" t="str">
        <f t="shared" si="47"/>
        <v>UpAE_WDR_CLP_VAL_PT2)/* When WDR Mode, Long CLIP VALUE corresponding to interlocking point 2 (CLIP_LV</v>
      </c>
      <c r="AH81" s="3">
        <f t="shared" si="48"/>
        <v>2</v>
      </c>
      <c r="AI81" s="3">
        <f t="shared" si="49"/>
        <v>0</v>
      </c>
      <c r="AJ81" s="7">
        <f t="shared" si="54"/>
        <v>1</v>
      </c>
      <c r="AK81" s="1"/>
      <c r="AL81" s="1"/>
      <c r="AM81" s="10"/>
      <c r="AN81" s="1"/>
      <c r="AO81" s="1"/>
      <c r="AP81" s="1"/>
      <c r="AQ81" s="1"/>
      <c r="AR81" s="1"/>
      <c r="AS81" s="1"/>
      <c r="AT81" s="1"/>
    </row>
    <row r="82" spans="1:46" x14ac:dyDescent="0.3">
      <c r="A82" s="15" t="s">
        <v>263</v>
      </c>
      <c r="B82" s="1">
        <f t="shared" si="55"/>
        <v>8</v>
      </c>
      <c r="C82" s="1">
        <f t="shared" si="56"/>
        <v>9</v>
      </c>
      <c r="D82" s="10" t="str">
        <f t="shared" si="57"/>
        <v>2</v>
      </c>
      <c r="E82" s="1">
        <f t="shared" si="58"/>
        <v>11</v>
      </c>
      <c r="F82" s="1">
        <f t="shared" si="59"/>
        <v>50</v>
      </c>
      <c r="G82" s="1">
        <f t="shared" si="60"/>
        <v>33</v>
      </c>
      <c r="H82" s="1">
        <f t="shared" si="67"/>
        <v>33</v>
      </c>
      <c r="I82" s="10" t="str">
        <f t="shared" si="61"/>
        <v>UpAE_WDR_SATLV_AGC_PT0</v>
      </c>
      <c r="J82" s="1">
        <f t="shared" si="68"/>
        <v>0</v>
      </c>
      <c r="K82" s="1">
        <f t="shared" si="62"/>
        <v>0</v>
      </c>
      <c r="L82" s="1" t="str">
        <f t="shared" si="63"/>
        <v>0</v>
      </c>
      <c r="M82" s="10">
        <f t="shared" si="64"/>
        <v>0</v>
      </c>
      <c r="N82" s="1">
        <f t="shared" si="65"/>
        <v>36</v>
      </c>
      <c r="O82" s="1">
        <f t="shared" si="50"/>
        <v>0</v>
      </c>
      <c r="P82" s="1">
        <f t="shared" si="66"/>
        <v>103</v>
      </c>
      <c r="Q82" s="3" t="str">
        <f t="shared" si="37"/>
        <v xml:space="preserve"> When WDR Mode, AGC interlocking point 0 for Long SATURATION_LEVEL </v>
      </c>
      <c r="R82" s="11">
        <f t="shared" si="51"/>
        <v>142</v>
      </c>
      <c r="S82" s="11"/>
      <c r="T82" s="13" t="str">
        <f t="shared" si="52"/>
        <v>8E</v>
      </c>
      <c r="U82" s="14" t="str">
        <f t="shared" si="38"/>
        <v>UpAE_WDR_SATLV_AGC_PT0</v>
      </c>
      <c r="V82" s="13" t="str">
        <f t="shared" si="39"/>
        <v>2</v>
      </c>
      <c r="W82" s="13">
        <f t="shared" si="40"/>
        <v>0</v>
      </c>
      <c r="X82" s="14" t="str">
        <f t="shared" si="41"/>
        <v xml:space="preserve"> When WDR Mode, AGC interlocking point 0 for Long SATURATION_LEVEL </v>
      </c>
      <c r="Y82" s="1">
        <f t="shared" si="42"/>
        <v>1</v>
      </c>
      <c r="Z82" s="1">
        <f t="shared" si="43"/>
        <v>2</v>
      </c>
      <c r="AA82" s="1">
        <f t="shared" si="36"/>
        <v>0</v>
      </c>
      <c r="AB82" s="1">
        <f t="shared" si="44"/>
        <v>0</v>
      </c>
      <c r="AC82" s="10" t="e">
        <f t="shared" si="45"/>
        <v>#VALUE!</v>
      </c>
      <c r="AD82" s="1" t="e">
        <f t="shared" si="53"/>
        <v>#VALUE!</v>
      </c>
      <c r="AF82" s="3" t="e">
        <f t="shared" si="46"/>
        <v>#VALUE!</v>
      </c>
      <c r="AG82" s="5" t="str">
        <f t="shared" si="47"/>
        <v>UpAE_WDR_SATLV_AGC_PT0)/* When WDR Mode, AGC interlocking point 0 for Long SATURATION_LEVEL *</v>
      </c>
      <c r="AH82" s="3">
        <f t="shared" si="48"/>
        <v>2</v>
      </c>
      <c r="AI82" s="3">
        <f t="shared" si="49"/>
        <v>0</v>
      </c>
      <c r="AJ82" s="7">
        <f t="shared" si="54"/>
        <v>1</v>
      </c>
      <c r="AK82" s="1"/>
      <c r="AL82" s="1"/>
      <c r="AM82" s="10"/>
      <c r="AN82" s="1"/>
      <c r="AO82" s="1"/>
      <c r="AP82" s="1"/>
      <c r="AQ82" s="1"/>
      <c r="AR82" s="1"/>
      <c r="AS82" s="1"/>
      <c r="AT82" s="1"/>
    </row>
    <row r="83" spans="1:46" x14ac:dyDescent="0.3">
      <c r="A83" s="15" t="s">
        <v>264</v>
      </c>
      <c r="B83" s="1">
        <f t="shared" si="55"/>
        <v>8</v>
      </c>
      <c r="C83" s="1">
        <f t="shared" si="56"/>
        <v>9</v>
      </c>
      <c r="D83" s="10" t="str">
        <f t="shared" si="57"/>
        <v>2</v>
      </c>
      <c r="E83" s="1">
        <f t="shared" si="58"/>
        <v>11</v>
      </c>
      <c r="F83" s="1">
        <f t="shared" si="59"/>
        <v>50</v>
      </c>
      <c r="G83" s="1">
        <f t="shared" si="60"/>
        <v>33</v>
      </c>
      <c r="H83" s="1">
        <f t="shared" si="67"/>
        <v>33</v>
      </c>
      <c r="I83" s="10" t="str">
        <f t="shared" si="61"/>
        <v>UpAE_WDR_SATLV_AGC_PT1</v>
      </c>
      <c r="J83" s="1">
        <f t="shared" si="68"/>
        <v>0</v>
      </c>
      <c r="K83" s="1">
        <f t="shared" si="62"/>
        <v>0</v>
      </c>
      <c r="L83" s="1" t="str">
        <f t="shared" si="63"/>
        <v>0</v>
      </c>
      <c r="M83" s="10">
        <f t="shared" si="64"/>
        <v>0</v>
      </c>
      <c r="N83" s="1">
        <f t="shared" si="65"/>
        <v>36</v>
      </c>
      <c r="O83" s="1">
        <f t="shared" si="50"/>
        <v>0</v>
      </c>
      <c r="P83" s="1">
        <f t="shared" si="66"/>
        <v>103</v>
      </c>
      <c r="Q83" s="3" t="str">
        <f t="shared" si="37"/>
        <v xml:space="preserve"> When WDR Mode, AGC interlocking point 1 for Long SATURATION_LEVEL </v>
      </c>
      <c r="R83" s="11">
        <f t="shared" si="51"/>
        <v>144</v>
      </c>
      <c r="S83" s="11"/>
      <c r="T83" s="13" t="str">
        <f t="shared" si="52"/>
        <v>90</v>
      </c>
      <c r="U83" s="14" t="str">
        <f t="shared" si="38"/>
        <v>UpAE_WDR_SATLV_AGC_PT1</v>
      </c>
      <c r="V83" s="13" t="str">
        <f t="shared" si="39"/>
        <v>2</v>
      </c>
      <c r="W83" s="13">
        <f t="shared" si="40"/>
        <v>0</v>
      </c>
      <c r="X83" s="14" t="str">
        <f t="shared" si="41"/>
        <v xml:space="preserve"> When WDR Mode, AGC interlocking point 1 for Long SATURATION_LEVEL </v>
      </c>
      <c r="Y83" s="1">
        <f t="shared" si="42"/>
        <v>1</v>
      </c>
      <c r="Z83" s="1">
        <f t="shared" si="43"/>
        <v>2</v>
      </c>
      <c r="AA83" s="1">
        <f t="shared" si="36"/>
        <v>0</v>
      </c>
      <c r="AB83" s="1">
        <f t="shared" si="44"/>
        <v>0</v>
      </c>
      <c r="AC83" s="10" t="e">
        <f t="shared" si="45"/>
        <v>#VALUE!</v>
      </c>
      <c r="AD83" s="1" t="e">
        <f t="shared" si="53"/>
        <v>#VALUE!</v>
      </c>
      <c r="AF83" s="3" t="e">
        <f t="shared" si="46"/>
        <v>#VALUE!</v>
      </c>
      <c r="AG83" s="5" t="str">
        <f t="shared" si="47"/>
        <v>UpAE_WDR_SATLV_AGC_PT1)/* When WDR Mode, AGC interlocking point 1 for Long SATURATION_LEVEL *</v>
      </c>
      <c r="AH83" s="3">
        <f t="shared" si="48"/>
        <v>2</v>
      </c>
      <c r="AI83" s="3">
        <f t="shared" si="49"/>
        <v>0</v>
      </c>
      <c r="AJ83" s="7">
        <f t="shared" si="54"/>
        <v>1</v>
      </c>
      <c r="AK83" s="1"/>
      <c r="AL83" s="1"/>
      <c r="AM83" s="10"/>
      <c r="AN83" s="1"/>
      <c r="AO83" s="1"/>
      <c r="AP83" s="1"/>
      <c r="AQ83" s="1"/>
      <c r="AR83" s="1"/>
      <c r="AS83" s="1"/>
      <c r="AT83" s="1"/>
    </row>
    <row r="84" spans="1:46" x14ac:dyDescent="0.3">
      <c r="A84" s="15" t="s">
        <v>265</v>
      </c>
      <c r="B84" s="1">
        <f t="shared" si="55"/>
        <v>8</v>
      </c>
      <c r="C84" s="1">
        <f t="shared" si="56"/>
        <v>9</v>
      </c>
      <c r="D84" s="10" t="str">
        <f t="shared" si="57"/>
        <v>2</v>
      </c>
      <c r="E84" s="1">
        <f t="shared" si="58"/>
        <v>11</v>
      </c>
      <c r="F84" s="1">
        <f t="shared" si="59"/>
        <v>50</v>
      </c>
      <c r="G84" s="1">
        <f t="shared" si="60"/>
        <v>33</v>
      </c>
      <c r="H84" s="1">
        <f t="shared" si="67"/>
        <v>33</v>
      </c>
      <c r="I84" s="10" t="str">
        <f t="shared" si="61"/>
        <v>UpAE_WDR_SATLV_VAL_PT0</v>
      </c>
      <c r="J84" s="1">
        <f t="shared" si="68"/>
        <v>0</v>
      </c>
      <c r="K84" s="1">
        <f t="shared" si="62"/>
        <v>0</v>
      </c>
      <c r="L84" s="1" t="str">
        <f t="shared" si="63"/>
        <v>0</v>
      </c>
      <c r="M84" s="10">
        <f t="shared" si="64"/>
        <v>0</v>
      </c>
      <c r="N84" s="1">
        <f t="shared" si="65"/>
        <v>36</v>
      </c>
      <c r="O84" s="1">
        <f t="shared" si="50"/>
        <v>0</v>
      </c>
      <c r="P84" s="1">
        <f t="shared" si="66"/>
        <v>118</v>
      </c>
      <c r="Q84" s="3" t="str">
        <f t="shared" si="37"/>
        <v xml:space="preserve"> When WDR Mode, Long SATURATION LEVEL VALUE corresponding to interlocking point 0 </v>
      </c>
      <c r="R84" s="11">
        <f t="shared" si="51"/>
        <v>146</v>
      </c>
      <c r="S84" s="11"/>
      <c r="T84" s="13" t="str">
        <f t="shared" si="52"/>
        <v>92</v>
      </c>
      <c r="U84" s="14" t="str">
        <f t="shared" si="38"/>
        <v>UpAE_WDR_SATLV_VAL_PT0</v>
      </c>
      <c r="V84" s="13" t="str">
        <f t="shared" si="39"/>
        <v>2</v>
      </c>
      <c r="W84" s="13">
        <f t="shared" si="40"/>
        <v>0</v>
      </c>
      <c r="X84" s="14" t="str">
        <f t="shared" si="41"/>
        <v xml:space="preserve"> When WDR Mode, Long SATURATION LEVEL VALUE corresponding to interlocking point 0 </v>
      </c>
      <c r="Y84" s="1">
        <f t="shared" si="42"/>
        <v>1</v>
      </c>
      <c r="Z84" s="1">
        <f t="shared" si="43"/>
        <v>2</v>
      </c>
      <c r="AA84" s="1">
        <f t="shared" si="36"/>
        <v>0</v>
      </c>
      <c r="AB84" s="1">
        <f t="shared" si="44"/>
        <v>0</v>
      </c>
      <c r="AC84" s="10" t="e">
        <f t="shared" si="45"/>
        <v>#VALUE!</v>
      </c>
      <c r="AD84" s="1" t="e">
        <f t="shared" si="53"/>
        <v>#VALUE!</v>
      </c>
      <c r="AF84" s="3" t="e">
        <f t="shared" si="46"/>
        <v>#VALUE!</v>
      </c>
      <c r="AG84" s="5" t="str">
        <f t="shared" si="47"/>
        <v>UpAE_WDR_SATLV_VAL_PT0)/* When WDR Mode, Long SATURATION LEVEL VALUE corresponding to interlocking point 0 *</v>
      </c>
      <c r="AH84" s="3">
        <f t="shared" si="48"/>
        <v>2</v>
      </c>
      <c r="AI84" s="3">
        <f t="shared" si="49"/>
        <v>0</v>
      </c>
      <c r="AJ84" s="7">
        <f t="shared" si="54"/>
        <v>1</v>
      </c>
      <c r="AK84" s="1"/>
      <c r="AL84" s="1"/>
      <c r="AM84" s="10"/>
      <c r="AN84" s="1"/>
      <c r="AO84" s="1"/>
      <c r="AP84" s="1"/>
      <c r="AQ84" s="1"/>
      <c r="AR84" s="1"/>
      <c r="AS84" s="1"/>
      <c r="AT84" s="1"/>
    </row>
    <row r="85" spans="1:46" x14ac:dyDescent="0.3">
      <c r="A85" s="15" t="s">
        <v>266</v>
      </c>
      <c r="B85" s="1">
        <f t="shared" si="55"/>
        <v>8</v>
      </c>
      <c r="C85" s="1">
        <f t="shared" si="56"/>
        <v>9</v>
      </c>
      <c r="D85" s="10" t="str">
        <f t="shared" si="57"/>
        <v>2</v>
      </c>
      <c r="E85" s="1">
        <f t="shared" si="58"/>
        <v>11</v>
      </c>
      <c r="F85" s="1">
        <f t="shared" si="59"/>
        <v>50</v>
      </c>
      <c r="G85" s="1">
        <f t="shared" si="60"/>
        <v>33</v>
      </c>
      <c r="H85" s="1">
        <f t="shared" si="67"/>
        <v>33</v>
      </c>
      <c r="I85" s="10" t="str">
        <f t="shared" si="61"/>
        <v>UpAE_WDR_SATLV_VAL_PT1</v>
      </c>
      <c r="J85" s="1">
        <f t="shared" si="68"/>
        <v>0</v>
      </c>
      <c r="K85" s="1">
        <f t="shared" si="62"/>
        <v>0</v>
      </c>
      <c r="L85" s="1" t="str">
        <f t="shared" si="63"/>
        <v>0</v>
      </c>
      <c r="M85" s="10">
        <f t="shared" si="64"/>
        <v>0</v>
      </c>
      <c r="N85" s="1">
        <f t="shared" si="65"/>
        <v>36</v>
      </c>
      <c r="O85" s="1">
        <f t="shared" si="50"/>
        <v>0</v>
      </c>
      <c r="P85" s="1">
        <f t="shared" si="66"/>
        <v>118</v>
      </c>
      <c r="Q85" s="3" t="str">
        <f t="shared" si="37"/>
        <v xml:space="preserve"> When WDR Mode, Long SATURATION LEVEL VALUE corresponding to interlocking point 1 </v>
      </c>
      <c r="R85" s="11">
        <f t="shared" si="51"/>
        <v>148</v>
      </c>
      <c r="S85" s="11"/>
      <c r="T85" s="13" t="str">
        <f t="shared" si="52"/>
        <v>94</v>
      </c>
      <c r="U85" s="14" t="str">
        <f t="shared" si="38"/>
        <v>UpAE_WDR_SATLV_VAL_PT1</v>
      </c>
      <c r="V85" s="13" t="str">
        <f t="shared" si="39"/>
        <v>2</v>
      </c>
      <c r="W85" s="13">
        <f t="shared" si="40"/>
        <v>0</v>
      </c>
      <c r="X85" s="14" t="str">
        <f t="shared" si="41"/>
        <v xml:space="preserve"> When WDR Mode, Long SATURATION LEVEL VALUE corresponding to interlocking point 1 </v>
      </c>
      <c r="Y85" s="1">
        <f t="shared" si="42"/>
        <v>1</v>
      </c>
      <c r="Z85" s="1">
        <f t="shared" si="43"/>
        <v>2</v>
      </c>
      <c r="AA85" s="1">
        <f t="shared" si="36"/>
        <v>0</v>
      </c>
      <c r="AB85" s="1">
        <f t="shared" si="44"/>
        <v>0</v>
      </c>
      <c r="AC85" s="10" t="e">
        <f t="shared" si="45"/>
        <v>#VALUE!</v>
      </c>
      <c r="AD85" s="1" t="e">
        <f t="shared" si="53"/>
        <v>#VALUE!</v>
      </c>
      <c r="AF85" s="3" t="e">
        <f t="shared" si="46"/>
        <v>#VALUE!</v>
      </c>
      <c r="AG85" s="5" t="str">
        <f t="shared" si="47"/>
        <v>UpAE_WDR_SATLV_VAL_PT1)/* When WDR Mode, Long SATURATION LEVEL VALUE corresponding to interlocking point 1 *</v>
      </c>
      <c r="AH85" s="3">
        <f t="shared" si="48"/>
        <v>2</v>
      </c>
      <c r="AI85" s="3">
        <f t="shared" si="49"/>
        <v>0</v>
      </c>
      <c r="AJ85" s="7">
        <f t="shared" si="54"/>
        <v>1</v>
      </c>
      <c r="AK85" s="1"/>
      <c r="AL85" s="1"/>
      <c r="AM85" s="10"/>
      <c r="AN85" s="1"/>
      <c r="AO85" s="1"/>
      <c r="AP85" s="1"/>
      <c r="AQ85" s="1"/>
      <c r="AR85" s="1"/>
      <c r="AS85" s="1"/>
      <c r="AT85" s="1"/>
    </row>
    <row r="86" spans="1:46" x14ac:dyDescent="0.3">
      <c r="A86" s="15" t="s">
        <v>415</v>
      </c>
      <c r="B86" s="1">
        <f t="shared" si="55"/>
        <v>8</v>
      </c>
      <c r="C86" s="1">
        <f t="shared" si="56"/>
        <v>9</v>
      </c>
      <c r="D86" s="10" t="str">
        <f t="shared" si="57"/>
        <v>2</v>
      </c>
      <c r="E86" s="1">
        <f t="shared" si="58"/>
        <v>11</v>
      </c>
      <c r="F86" s="1">
        <f t="shared" si="59"/>
        <v>51</v>
      </c>
      <c r="G86" s="1">
        <f t="shared" si="60"/>
        <v>34</v>
      </c>
      <c r="H86" s="1">
        <f t="shared" si="67"/>
        <v>34</v>
      </c>
      <c r="I86" s="10" t="str">
        <f t="shared" si="61"/>
        <v>UpAE_WDR_LS_WGT_AGC_PT0</v>
      </c>
      <c r="J86" s="1">
        <f t="shared" si="68"/>
        <v>0</v>
      </c>
      <c r="K86" s="1">
        <f t="shared" si="62"/>
        <v>0</v>
      </c>
      <c r="L86" s="1" t="str">
        <f t="shared" si="63"/>
        <v>0</v>
      </c>
      <c r="M86" s="10">
        <f t="shared" si="64"/>
        <v>0</v>
      </c>
      <c r="N86" s="1">
        <f t="shared" si="65"/>
        <v>37</v>
      </c>
      <c r="O86" s="1">
        <f t="shared" si="50"/>
        <v>0</v>
      </c>
      <c r="P86" s="1">
        <f t="shared" si="66"/>
        <v>155</v>
      </c>
      <c r="Q86" s="3" t="str">
        <f t="shared" si="37"/>
        <v xml:space="preserve"> When WDR Mode, As the corresponding value decreases ,the contrast of dark areas expressed from long exposure enhance </v>
      </c>
      <c r="R86" s="11">
        <f t="shared" si="51"/>
        <v>150</v>
      </c>
      <c r="S86" s="11"/>
      <c r="T86" s="13" t="str">
        <f t="shared" si="52"/>
        <v>96</v>
      </c>
      <c r="U86" s="14" t="str">
        <f t="shared" si="38"/>
        <v>UpAE_WDR_LS_WGT_AGC_PT0</v>
      </c>
      <c r="V86" s="13" t="str">
        <f t="shared" si="39"/>
        <v>2</v>
      </c>
      <c r="W86" s="13">
        <f t="shared" si="40"/>
        <v>0</v>
      </c>
      <c r="X86" s="14" t="str">
        <f t="shared" si="41"/>
        <v xml:space="preserve"> When WDR Mode, As the corresponding value decreases ,the contrast of dark areas expressed from long exposure enhance </v>
      </c>
      <c r="Y86" s="1">
        <f t="shared" si="42"/>
        <v>1</v>
      </c>
      <c r="Z86" s="1">
        <f t="shared" si="43"/>
        <v>2</v>
      </c>
      <c r="AA86" s="1">
        <f t="shared" si="36"/>
        <v>0</v>
      </c>
      <c r="AB86" s="1">
        <f t="shared" si="44"/>
        <v>0</v>
      </c>
      <c r="AC86" s="10" t="e">
        <f t="shared" si="45"/>
        <v>#VALUE!</v>
      </c>
      <c r="AD86" s="1" t="e">
        <f t="shared" si="53"/>
        <v>#VALUE!</v>
      </c>
      <c r="AF86" s="3" t="e">
        <f t="shared" si="46"/>
        <v>#VALUE!</v>
      </c>
      <c r="AG86" s="5" t="str">
        <f t="shared" si="47"/>
        <v>UpAE_WDR_LS_WGT_AGC_PT0)/* When WDR Mode, As the corresponding value decreases ,the contrast of dark areas expressed from long exposure enhance *</v>
      </c>
      <c r="AH86" s="3">
        <f t="shared" si="48"/>
        <v>2</v>
      </c>
      <c r="AI86" s="3">
        <f t="shared" si="49"/>
        <v>0</v>
      </c>
      <c r="AJ86" s="7">
        <f t="shared" si="54"/>
        <v>1</v>
      </c>
      <c r="AK86" s="1"/>
      <c r="AL86" s="1"/>
      <c r="AM86" s="10"/>
      <c r="AN86" s="1"/>
      <c r="AO86" s="1"/>
      <c r="AP86" s="1"/>
      <c r="AQ86" s="1"/>
      <c r="AR86" s="1"/>
      <c r="AS86" s="1"/>
      <c r="AT86" s="1"/>
    </row>
    <row r="87" spans="1:46" x14ac:dyDescent="0.3">
      <c r="A87" s="15" t="s">
        <v>416</v>
      </c>
      <c r="B87" s="1">
        <f t="shared" si="55"/>
        <v>8</v>
      </c>
      <c r="C87" s="1">
        <f t="shared" si="56"/>
        <v>9</v>
      </c>
      <c r="D87" s="10" t="str">
        <f t="shared" si="57"/>
        <v>2</v>
      </c>
      <c r="E87" s="1">
        <f t="shared" si="58"/>
        <v>11</v>
      </c>
      <c r="F87" s="1">
        <f t="shared" si="59"/>
        <v>51</v>
      </c>
      <c r="G87" s="1">
        <f t="shared" si="60"/>
        <v>34</v>
      </c>
      <c r="H87" s="1">
        <f t="shared" si="67"/>
        <v>34</v>
      </c>
      <c r="I87" s="10" t="str">
        <f t="shared" si="61"/>
        <v>UpAE_WDR_LS_WGT_AGC_PT1</v>
      </c>
      <c r="J87" s="1">
        <f t="shared" si="68"/>
        <v>0</v>
      </c>
      <c r="K87" s="1">
        <f t="shared" si="62"/>
        <v>0</v>
      </c>
      <c r="L87" s="1" t="str">
        <f t="shared" si="63"/>
        <v>0</v>
      </c>
      <c r="M87" s="10">
        <f t="shared" si="64"/>
        <v>0</v>
      </c>
      <c r="N87" s="1">
        <f t="shared" si="65"/>
        <v>37</v>
      </c>
      <c r="O87" s="1">
        <f t="shared" si="50"/>
        <v>0</v>
      </c>
      <c r="P87" s="1">
        <f t="shared" si="66"/>
        <v>155</v>
      </c>
      <c r="Q87" s="3" t="str">
        <f t="shared" si="37"/>
        <v xml:space="preserve"> When WDR Mode, As the corresponding value decreases ,the contrast of dark areas expressed from long exposure enhance </v>
      </c>
      <c r="R87" s="11">
        <f t="shared" si="51"/>
        <v>152</v>
      </c>
      <c r="S87" s="11"/>
      <c r="T87" s="13" t="str">
        <f t="shared" si="52"/>
        <v>98</v>
      </c>
      <c r="U87" s="14" t="str">
        <f t="shared" si="38"/>
        <v>UpAE_WDR_LS_WGT_AGC_PT1</v>
      </c>
      <c r="V87" s="13" t="str">
        <f t="shared" si="39"/>
        <v>2</v>
      </c>
      <c r="W87" s="13">
        <f t="shared" si="40"/>
        <v>0</v>
      </c>
      <c r="X87" s="14" t="str">
        <f t="shared" si="41"/>
        <v xml:space="preserve"> When WDR Mode, As the corresponding value decreases ,the contrast of dark areas expressed from long exposure enhance </v>
      </c>
      <c r="Y87" s="1">
        <f t="shared" si="42"/>
        <v>1</v>
      </c>
      <c r="Z87" s="1">
        <f t="shared" si="43"/>
        <v>2</v>
      </c>
      <c r="AA87" s="1">
        <f t="shared" si="36"/>
        <v>0</v>
      </c>
      <c r="AB87" s="1">
        <f t="shared" si="44"/>
        <v>0</v>
      </c>
      <c r="AC87" s="10" t="e">
        <f t="shared" si="45"/>
        <v>#VALUE!</v>
      </c>
      <c r="AD87" s="1" t="e">
        <f t="shared" si="53"/>
        <v>#VALUE!</v>
      </c>
      <c r="AF87" s="3" t="e">
        <f t="shared" si="46"/>
        <v>#VALUE!</v>
      </c>
      <c r="AG87" s="5" t="str">
        <f t="shared" si="47"/>
        <v>UpAE_WDR_LS_WGT_AGC_PT1)/* When WDR Mode, As the corresponding value decreases ,the contrast of dark areas expressed from long exposure enhance *</v>
      </c>
      <c r="AH87" s="3">
        <f t="shared" si="48"/>
        <v>2</v>
      </c>
      <c r="AI87" s="3">
        <f t="shared" si="49"/>
        <v>0</v>
      </c>
      <c r="AJ87" s="7">
        <f t="shared" si="54"/>
        <v>1</v>
      </c>
      <c r="AK87" s="1"/>
      <c r="AL87" s="1"/>
      <c r="AM87" s="10"/>
      <c r="AN87" s="1"/>
      <c r="AO87" s="1"/>
      <c r="AP87" s="1"/>
      <c r="AQ87" s="1"/>
      <c r="AR87" s="1"/>
      <c r="AS87" s="1"/>
      <c r="AT87" s="1"/>
    </row>
    <row r="88" spans="1:46" x14ac:dyDescent="0.3">
      <c r="A88" s="15" t="s">
        <v>417</v>
      </c>
      <c r="B88" s="1">
        <f t="shared" si="55"/>
        <v>8</v>
      </c>
      <c r="C88" s="1">
        <f t="shared" si="56"/>
        <v>9</v>
      </c>
      <c r="D88" s="10" t="str">
        <f t="shared" si="57"/>
        <v>2</v>
      </c>
      <c r="E88" s="1">
        <f t="shared" si="58"/>
        <v>11</v>
      </c>
      <c r="F88" s="1">
        <f t="shared" si="59"/>
        <v>48</v>
      </c>
      <c r="G88" s="1">
        <f t="shared" si="60"/>
        <v>31</v>
      </c>
      <c r="H88" s="1">
        <f t="shared" si="67"/>
        <v>31</v>
      </c>
      <c r="I88" s="10" t="str">
        <f t="shared" si="61"/>
        <v>UpAE_WDR_LS_WGT_VAL0</v>
      </c>
      <c r="J88" s="1">
        <f t="shared" si="68"/>
        <v>0</v>
      </c>
      <c r="K88" s="1">
        <f t="shared" si="62"/>
        <v>0</v>
      </c>
      <c r="L88" s="1" t="str">
        <f t="shared" si="63"/>
        <v>0</v>
      </c>
      <c r="M88" s="10">
        <f t="shared" si="64"/>
        <v>0</v>
      </c>
      <c r="N88" s="1">
        <f t="shared" si="65"/>
        <v>34</v>
      </c>
      <c r="O88" s="1">
        <f t="shared" si="50"/>
        <v>0</v>
      </c>
      <c r="P88" s="1">
        <f t="shared" si="66"/>
        <v>152</v>
      </c>
      <c r="Q88" s="3" t="str">
        <f t="shared" si="37"/>
        <v xml:space="preserve"> When WDR Mode, As the corresponding value decreases ,the contrast of dark areas expressed from long exposure enhance </v>
      </c>
      <c r="R88" s="11">
        <f t="shared" si="51"/>
        <v>154</v>
      </c>
      <c r="S88" s="11"/>
      <c r="T88" s="13" t="str">
        <f t="shared" si="52"/>
        <v>9A</v>
      </c>
      <c r="U88" s="14" t="str">
        <f t="shared" si="38"/>
        <v>UpAE_WDR_LS_WGT_VAL0</v>
      </c>
      <c r="V88" s="13" t="str">
        <f t="shared" si="39"/>
        <v>2</v>
      </c>
      <c r="W88" s="13">
        <f t="shared" si="40"/>
        <v>0</v>
      </c>
      <c r="X88" s="14" t="str">
        <f t="shared" si="41"/>
        <v xml:space="preserve"> When WDR Mode, As the corresponding value decreases ,the contrast of dark areas expressed from long exposure enhance </v>
      </c>
      <c r="Y88" s="1">
        <f t="shared" si="42"/>
        <v>1</v>
      </c>
      <c r="Z88" s="1">
        <f t="shared" si="43"/>
        <v>2</v>
      </c>
      <c r="AA88" s="1">
        <f t="shared" si="36"/>
        <v>0</v>
      </c>
      <c r="AB88" s="1">
        <f t="shared" si="44"/>
        <v>0</v>
      </c>
      <c r="AC88" s="10" t="e">
        <f t="shared" si="45"/>
        <v>#VALUE!</v>
      </c>
      <c r="AD88" s="1" t="e">
        <f t="shared" si="53"/>
        <v>#VALUE!</v>
      </c>
      <c r="AF88" s="3" t="e">
        <f t="shared" si="46"/>
        <v>#VALUE!</v>
      </c>
      <c r="AG88" s="5" t="str">
        <f t="shared" si="47"/>
        <v>UpAE_WDR_LS_WGT_VAL0)/* When WDR Mode, As the corresponding value decreases ,the contrast of dark areas expressed from long exposure enhance *</v>
      </c>
      <c r="AH88" s="3">
        <f t="shared" si="48"/>
        <v>2</v>
      </c>
      <c r="AI88" s="3">
        <f t="shared" si="49"/>
        <v>0</v>
      </c>
      <c r="AJ88" s="7">
        <f t="shared" si="54"/>
        <v>1</v>
      </c>
      <c r="AK88" s="1"/>
      <c r="AL88" s="1"/>
      <c r="AM88" s="10"/>
      <c r="AN88" s="1"/>
      <c r="AO88" s="1"/>
      <c r="AP88" s="1"/>
      <c r="AQ88" s="1"/>
      <c r="AR88" s="1"/>
      <c r="AS88" s="1"/>
      <c r="AT88" s="1"/>
    </row>
    <row r="89" spans="1:46" x14ac:dyDescent="0.3">
      <c r="A89" s="15" t="s">
        <v>418</v>
      </c>
      <c r="B89" s="1">
        <f t="shared" si="55"/>
        <v>8</v>
      </c>
      <c r="C89" s="1">
        <f t="shared" si="56"/>
        <v>9</v>
      </c>
      <c r="D89" s="10" t="str">
        <f t="shared" si="57"/>
        <v>2</v>
      </c>
      <c r="E89" s="1">
        <f t="shared" si="58"/>
        <v>11</v>
      </c>
      <c r="F89" s="1">
        <f t="shared" si="59"/>
        <v>48</v>
      </c>
      <c r="G89" s="1">
        <f t="shared" si="60"/>
        <v>31</v>
      </c>
      <c r="H89" s="1">
        <f t="shared" si="67"/>
        <v>31</v>
      </c>
      <c r="I89" s="10" t="str">
        <f t="shared" si="61"/>
        <v>UpAE_WDR_LS_WGT_VAL1</v>
      </c>
      <c r="J89" s="1">
        <f t="shared" si="68"/>
        <v>0</v>
      </c>
      <c r="K89" s="1">
        <f t="shared" si="62"/>
        <v>0</v>
      </c>
      <c r="L89" s="1" t="str">
        <f t="shared" si="63"/>
        <v>0</v>
      </c>
      <c r="M89" s="10">
        <f t="shared" si="64"/>
        <v>0</v>
      </c>
      <c r="N89" s="1">
        <f t="shared" si="65"/>
        <v>34</v>
      </c>
      <c r="O89" s="1">
        <f t="shared" si="50"/>
        <v>0</v>
      </c>
      <c r="P89" s="1">
        <f t="shared" si="66"/>
        <v>152</v>
      </c>
      <c r="Q89" s="3" t="str">
        <f t="shared" si="37"/>
        <v xml:space="preserve"> When WDR Mode, As the corresponding value decreases ,the contrast of dark areas expressed from long exposure enhance </v>
      </c>
      <c r="R89" s="11">
        <f t="shared" si="51"/>
        <v>156</v>
      </c>
      <c r="S89" s="11"/>
      <c r="T89" s="13" t="str">
        <f t="shared" si="52"/>
        <v>9C</v>
      </c>
      <c r="U89" s="14" t="str">
        <f t="shared" si="38"/>
        <v>UpAE_WDR_LS_WGT_VAL1</v>
      </c>
      <c r="V89" s="13" t="str">
        <f t="shared" si="39"/>
        <v>2</v>
      </c>
      <c r="W89" s="13">
        <f t="shared" si="40"/>
        <v>0</v>
      </c>
      <c r="X89" s="14" t="str">
        <f t="shared" si="41"/>
        <v xml:space="preserve"> When WDR Mode, As the corresponding value decreases ,the contrast of dark areas expressed from long exposure enhance </v>
      </c>
      <c r="Y89" s="1">
        <f t="shared" si="42"/>
        <v>1</v>
      </c>
      <c r="Z89" s="1">
        <f t="shared" si="43"/>
        <v>2</v>
      </c>
      <c r="AA89" s="1">
        <f t="shared" si="36"/>
        <v>0</v>
      </c>
      <c r="AB89" s="1">
        <f t="shared" si="44"/>
        <v>0</v>
      </c>
      <c r="AC89" s="10" t="e">
        <f t="shared" si="45"/>
        <v>#VALUE!</v>
      </c>
      <c r="AD89" s="1" t="e">
        <f t="shared" si="53"/>
        <v>#VALUE!</v>
      </c>
      <c r="AF89" s="3" t="e">
        <f t="shared" si="46"/>
        <v>#VALUE!</v>
      </c>
      <c r="AG89" s="5" t="str">
        <f t="shared" si="47"/>
        <v>UpAE_WDR_LS_WGT_VAL1)/* When WDR Mode, As the corresponding value decreases ,the contrast of dark areas expressed from long exposure enhance *</v>
      </c>
      <c r="AH89" s="3">
        <f t="shared" si="48"/>
        <v>2</v>
      </c>
      <c r="AI89" s="3">
        <f t="shared" si="49"/>
        <v>0</v>
      </c>
      <c r="AJ89" s="7">
        <f t="shared" si="54"/>
        <v>1</v>
      </c>
      <c r="AK89" s="1"/>
      <c r="AL89" s="1"/>
      <c r="AM89" s="10"/>
      <c r="AN89" s="1"/>
      <c r="AO89" s="1"/>
      <c r="AP89" s="1"/>
      <c r="AQ89" s="1"/>
      <c r="AR89" s="1"/>
      <c r="AS89" s="1"/>
      <c r="AT89" s="1"/>
    </row>
    <row r="90" spans="1:46" x14ac:dyDescent="0.3">
      <c r="A90" s="15" t="s">
        <v>499</v>
      </c>
      <c r="B90" s="1">
        <f t="shared" si="55"/>
        <v>8</v>
      </c>
      <c r="C90" s="1">
        <f t="shared" si="56"/>
        <v>9</v>
      </c>
      <c r="D90" s="10" t="str">
        <f t="shared" si="57"/>
        <v>2</v>
      </c>
      <c r="E90" s="1">
        <f t="shared" si="58"/>
        <v>11</v>
      </c>
      <c r="F90" s="1">
        <f t="shared" si="59"/>
        <v>0</v>
      </c>
      <c r="G90" s="1">
        <f t="shared" si="60"/>
        <v>33</v>
      </c>
      <c r="H90" s="1">
        <f t="shared" si="67"/>
        <v>33</v>
      </c>
      <c r="I90" s="10" t="str">
        <f t="shared" si="61"/>
        <v>UpAE_WDR_LONG_TH_OFST1</v>
      </c>
      <c r="J90" s="1">
        <f t="shared" si="68"/>
        <v>0</v>
      </c>
      <c r="K90" s="1">
        <f t="shared" si="62"/>
        <v>0</v>
      </c>
      <c r="L90" s="1" t="str">
        <f t="shared" si="63"/>
        <v>0</v>
      </c>
      <c r="M90" s="10">
        <f t="shared" si="64"/>
        <v>0</v>
      </c>
      <c r="N90" s="1">
        <f t="shared" si="65"/>
        <v>36</v>
      </c>
      <c r="O90" s="1">
        <f t="shared" si="50"/>
        <v>0</v>
      </c>
      <c r="P90" s="1">
        <f t="shared" si="66"/>
        <v>37</v>
      </c>
      <c r="Q90" s="3" t="str">
        <f t="shared" si="37"/>
        <v xml:space="preserve"> </v>
      </c>
      <c r="R90" s="11">
        <f t="shared" si="51"/>
        <v>158</v>
      </c>
      <c r="S90" s="11"/>
      <c r="T90" s="13" t="str">
        <f t="shared" si="52"/>
        <v>9E</v>
      </c>
      <c r="U90" s="14" t="str">
        <f t="shared" si="38"/>
        <v>UpAE_WDR_LONG_TH_OFST1</v>
      </c>
      <c r="V90" s="13" t="str">
        <f t="shared" si="39"/>
        <v>2</v>
      </c>
      <c r="W90" s="13">
        <f t="shared" si="40"/>
        <v>0</v>
      </c>
      <c r="X90" s="14" t="str">
        <f t="shared" si="41"/>
        <v xml:space="preserve"> </v>
      </c>
      <c r="Y90" s="1">
        <f t="shared" si="42"/>
        <v>1</v>
      </c>
      <c r="Z90" s="1">
        <f t="shared" si="43"/>
        <v>2</v>
      </c>
      <c r="AA90" s="1">
        <f t="shared" si="36"/>
        <v>0</v>
      </c>
      <c r="AB90" s="1">
        <f t="shared" si="44"/>
        <v>0</v>
      </c>
      <c r="AC90" s="10" t="e">
        <f t="shared" si="45"/>
        <v>#VALUE!</v>
      </c>
      <c r="AD90" s="1" t="e">
        <f t="shared" si="53"/>
        <v>#VALUE!</v>
      </c>
      <c r="AF90" s="3" t="e">
        <f t="shared" si="46"/>
        <v>#VALUE!</v>
      </c>
      <c r="AG90" s="5" t="str">
        <f t="shared" si="47"/>
        <v>UpAE_WDR_LONG_TH_OFST1)/* *</v>
      </c>
      <c r="AH90" s="3">
        <f t="shared" si="48"/>
        <v>2</v>
      </c>
      <c r="AI90" s="3">
        <f t="shared" si="49"/>
        <v>0</v>
      </c>
      <c r="AJ90" s="7">
        <f t="shared" si="54"/>
        <v>1</v>
      </c>
      <c r="AK90" s="1"/>
      <c r="AL90" s="1"/>
      <c r="AM90" s="10"/>
      <c r="AN90" s="1"/>
      <c r="AO90" s="1"/>
      <c r="AP90" s="1"/>
      <c r="AQ90" s="1"/>
      <c r="AR90" s="1"/>
      <c r="AS90" s="1"/>
      <c r="AT90" s="1"/>
    </row>
    <row r="91" spans="1:46" x14ac:dyDescent="0.3">
      <c r="A91" s="15" t="s">
        <v>500</v>
      </c>
      <c r="B91" s="1">
        <f t="shared" si="55"/>
        <v>8</v>
      </c>
      <c r="C91" s="1">
        <f t="shared" si="56"/>
        <v>9</v>
      </c>
      <c r="D91" s="10" t="str">
        <f t="shared" si="57"/>
        <v>2</v>
      </c>
      <c r="E91" s="1">
        <f t="shared" si="58"/>
        <v>11</v>
      </c>
      <c r="F91" s="1">
        <f t="shared" si="59"/>
        <v>0</v>
      </c>
      <c r="G91" s="1">
        <f t="shared" si="60"/>
        <v>33</v>
      </c>
      <c r="H91" s="1">
        <f t="shared" si="67"/>
        <v>33</v>
      </c>
      <c r="I91" s="10" t="str">
        <f t="shared" si="61"/>
        <v>UpAE_WDR_LONG_TH_OFST2</v>
      </c>
      <c r="J91" s="1">
        <f t="shared" si="68"/>
        <v>0</v>
      </c>
      <c r="K91" s="1">
        <f t="shared" si="62"/>
        <v>0</v>
      </c>
      <c r="L91" s="1" t="str">
        <f t="shared" si="63"/>
        <v>0</v>
      </c>
      <c r="M91" s="10">
        <f t="shared" si="64"/>
        <v>0</v>
      </c>
      <c r="N91" s="1">
        <f t="shared" si="65"/>
        <v>36</v>
      </c>
      <c r="O91" s="1">
        <f t="shared" si="50"/>
        <v>0</v>
      </c>
      <c r="P91" s="1">
        <f t="shared" si="66"/>
        <v>37</v>
      </c>
      <c r="Q91" s="3" t="str">
        <f t="shared" si="37"/>
        <v xml:space="preserve"> </v>
      </c>
      <c r="R91" s="11">
        <f t="shared" si="51"/>
        <v>160</v>
      </c>
      <c r="S91" s="11"/>
      <c r="T91" s="13" t="str">
        <f t="shared" si="52"/>
        <v>A0</v>
      </c>
      <c r="U91" s="14" t="str">
        <f t="shared" si="38"/>
        <v>UpAE_WDR_LONG_TH_OFST2</v>
      </c>
      <c r="V91" s="13" t="str">
        <f t="shared" si="39"/>
        <v>2</v>
      </c>
      <c r="W91" s="13">
        <f t="shared" si="40"/>
        <v>0</v>
      </c>
      <c r="X91" s="14" t="str">
        <f t="shared" si="41"/>
        <v xml:space="preserve"> </v>
      </c>
      <c r="Y91" s="1">
        <f t="shared" si="42"/>
        <v>1</v>
      </c>
      <c r="Z91" s="1">
        <f t="shared" si="43"/>
        <v>2</v>
      </c>
      <c r="AA91" s="1">
        <f t="shared" si="36"/>
        <v>0</v>
      </c>
      <c r="AB91" s="1">
        <f t="shared" si="44"/>
        <v>0</v>
      </c>
      <c r="AC91" s="10" t="e">
        <f t="shared" si="45"/>
        <v>#VALUE!</v>
      </c>
      <c r="AD91" s="1" t="e">
        <f t="shared" si="53"/>
        <v>#VALUE!</v>
      </c>
      <c r="AF91" s="3" t="e">
        <f t="shared" si="46"/>
        <v>#VALUE!</v>
      </c>
      <c r="AG91" s="5" t="str">
        <f t="shared" si="47"/>
        <v>UpAE_WDR_LONG_TH_OFST2)/* *</v>
      </c>
      <c r="AH91" s="3">
        <f t="shared" si="48"/>
        <v>2</v>
      </c>
      <c r="AI91" s="3">
        <f t="shared" si="49"/>
        <v>0</v>
      </c>
      <c r="AJ91" s="7">
        <f t="shared" si="54"/>
        <v>1</v>
      </c>
      <c r="AK91" s="1"/>
      <c r="AL91" s="1"/>
      <c r="AM91" s="10"/>
      <c r="AN91" s="1"/>
      <c r="AO91" s="1"/>
      <c r="AP91" s="1"/>
      <c r="AQ91" s="1"/>
      <c r="AR91" s="1"/>
      <c r="AS91" s="1"/>
      <c r="AT91" s="1"/>
    </row>
    <row r="92" spans="1:46" x14ac:dyDescent="0.3">
      <c r="A92" s="15" t="s">
        <v>267</v>
      </c>
      <c r="B92" s="1">
        <f t="shared" si="55"/>
        <v>8</v>
      </c>
      <c r="C92" s="1">
        <f t="shared" si="56"/>
        <v>9</v>
      </c>
      <c r="D92" s="10" t="str">
        <f t="shared" si="57"/>
        <v>1</v>
      </c>
      <c r="E92" s="1">
        <f t="shared" si="58"/>
        <v>11</v>
      </c>
      <c r="F92" s="1">
        <f t="shared" si="59"/>
        <v>45</v>
      </c>
      <c r="G92" s="1">
        <f t="shared" si="60"/>
        <v>28</v>
      </c>
      <c r="H92" s="1">
        <f t="shared" si="67"/>
        <v>28</v>
      </c>
      <c r="I92" s="10" t="str">
        <f t="shared" si="61"/>
        <v>UpAE_WDR_LONG_MIN</v>
      </c>
      <c r="J92" s="1">
        <f t="shared" si="68"/>
        <v>0</v>
      </c>
      <c r="K92" s="1">
        <f t="shared" si="62"/>
        <v>0</v>
      </c>
      <c r="L92" s="1" t="str">
        <f t="shared" si="63"/>
        <v>0</v>
      </c>
      <c r="M92" s="10">
        <f t="shared" si="64"/>
        <v>0</v>
      </c>
      <c r="N92" s="1">
        <f t="shared" si="65"/>
        <v>31</v>
      </c>
      <c r="O92" s="1">
        <f t="shared" si="50"/>
        <v>0</v>
      </c>
      <c r="P92" s="1">
        <f t="shared" si="66"/>
        <v>77</v>
      </c>
      <c r="Q92" s="3" t="str">
        <f t="shared" si="37"/>
        <v xml:space="preserve"> When WDR Mode, Minimum Value of Long Shutter </v>
      </c>
      <c r="R92" s="11">
        <f t="shared" si="51"/>
        <v>162</v>
      </c>
      <c r="S92" s="11"/>
      <c r="T92" s="13" t="str">
        <f t="shared" si="52"/>
        <v>A2</v>
      </c>
      <c r="U92" s="14" t="str">
        <f t="shared" si="38"/>
        <v>UpAE_WDR_LONG_MIN</v>
      </c>
      <c r="V92" s="13" t="str">
        <f t="shared" si="39"/>
        <v>1</v>
      </c>
      <c r="W92" s="13">
        <f t="shared" si="40"/>
        <v>0</v>
      </c>
      <c r="X92" s="14" t="str">
        <f t="shared" si="41"/>
        <v xml:space="preserve"> When WDR Mode, Minimum Value of Long Shutter </v>
      </c>
      <c r="Y92" s="1">
        <f t="shared" si="42"/>
        <v>1</v>
      </c>
      <c r="Z92" s="1">
        <f t="shared" si="43"/>
        <v>1</v>
      </c>
      <c r="AA92" s="1">
        <f t="shared" si="36"/>
        <v>0</v>
      </c>
      <c r="AB92" s="1">
        <f t="shared" si="44"/>
        <v>0</v>
      </c>
      <c r="AC92" s="10" t="e">
        <f t="shared" si="45"/>
        <v>#VALUE!</v>
      </c>
      <c r="AD92" s="1" t="e">
        <f t="shared" si="53"/>
        <v>#VALUE!</v>
      </c>
      <c r="AF92" s="3" t="e">
        <f t="shared" si="46"/>
        <v>#VALUE!</v>
      </c>
      <c r="AG92" s="5" t="str">
        <f t="shared" si="47"/>
        <v>UpAE_WDR_LONG_MIN)/* When WDR Mode, Minimum Value of Long Shutter *</v>
      </c>
      <c r="AH92" s="3">
        <f t="shared" si="48"/>
        <v>1</v>
      </c>
      <c r="AI92" s="3">
        <f t="shared" si="49"/>
        <v>0</v>
      </c>
      <c r="AJ92" s="7">
        <f t="shared" si="54"/>
        <v>1</v>
      </c>
      <c r="AK92" s="1"/>
      <c r="AL92" s="1"/>
      <c r="AM92" s="10"/>
      <c r="AN92" s="1"/>
      <c r="AO92" s="1"/>
      <c r="AP92" s="1"/>
      <c r="AQ92" s="1"/>
      <c r="AR92" s="1"/>
      <c r="AS92" s="1"/>
      <c r="AT92" s="1"/>
    </row>
    <row r="93" spans="1:46" x14ac:dyDescent="0.3">
      <c r="A93" s="15" t="s">
        <v>268</v>
      </c>
      <c r="B93" s="1">
        <f t="shared" si="55"/>
        <v>8</v>
      </c>
      <c r="C93" s="1">
        <f t="shared" si="56"/>
        <v>9</v>
      </c>
      <c r="D93" s="10" t="str">
        <f t="shared" si="57"/>
        <v>1</v>
      </c>
      <c r="E93" s="1">
        <f t="shared" si="58"/>
        <v>11</v>
      </c>
      <c r="F93" s="1">
        <f t="shared" si="59"/>
        <v>46</v>
      </c>
      <c r="G93" s="1">
        <f t="shared" si="60"/>
        <v>29</v>
      </c>
      <c r="H93" s="1">
        <f t="shared" si="67"/>
        <v>29</v>
      </c>
      <c r="I93" s="10" t="str">
        <f t="shared" si="61"/>
        <v>UpAE_WDR_SHORT_MIN</v>
      </c>
      <c r="J93" s="1">
        <f t="shared" si="68"/>
        <v>0</v>
      </c>
      <c r="K93" s="1">
        <f t="shared" si="62"/>
        <v>0</v>
      </c>
      <c r="L93" s="1" t="str">
        <f t="shared" si="63"/>
        <v>0</v>
      </c>
      <c r="M93" s="10">
        <f t="shared" si="64"/>
        <v>0</v>
      </c>
      <c r="N93" s="1">
        <f t="shared" si="65"/>
        <v>32</v>
      </c>
      <c r="O93" s="1">
        <f t="shared" si="50"/>
        <v>0</v>
      </c>
      <c r="P93" s="1">
        <f t="shared" si="66"/>
        <v>79</v>
      </c>
      <c r="Q93" s="3" t="str">
        <f t="shared" si="37"/>
        <v xml:space="preserve"> When WDR Mode, Minimum Value of Short Shutter </v>
      </c>
      <c r="R93" s="11">
        <f t="shared" si="51"/>
        <v>163</v>
      </c>
      <c r="S93" s="11"/>
      <c r="T93" s="13" t="str">
        <f t="shared" si="52"/>
        <v>A3</v>
      </c>
      <c r="U93" s="14" t="str">
        <f t="shared" si="38"/>
        <v>UpAE_WDR_SHORT_MIN</v>
      </c>
      <c r="V93" s="13" t="str">
        <f t="shared" si="39"/>
        <v>1</v>
      </c>
      <c r="W93" s="13">
        <f t="shared" si="40"/>
        <v>0</v>
      </c>
      <c r="X93" s="14" t="str">
        <f t="shared" si="41"/>
        <v xml:space="preserve"> When WDR Mode, Minimum Value of Short Shutter </v>
      </c>
      <c r="Y93" s="1">
        <f t="shared" si="42"/>
        <v>1</v>
      </c>
      <c r="Z93" s="1">
        <f t="shared" si="43"/>
        <v>1</v>
      </c>
      <c r="AA93" s="1">
        <f t="shared" si="36"/>
        <v>0</v>
      </c>
      <c r="AB93" s="1">
        <f t="shared" si="44"/>
        <v>0</v>
      </c>
      <c r="AC93" s="10" t="e">
        <f t="shared" si="45"/>
        <v>#VALUE!</v>
      </c>
      <c r="AD93" s="1" t="e">
        <f t="shared" si="53"/>
        <v>#VALUE!</v>
      </c>
      <c r="AF93" s="3" t="e">
        <f t="shared" si="46"/>
        <v>#VALUE!</v>
      </c>
      <c r="AG93" s="5" t="str">
        <f t="shared" si="47"/>
        <v>UpAE_WDR_SHORT_MIN)/* When WDR Mode, Minimum Value of Short Shutter *</v>
      </c>
      <c r="AH93" s="3">
        <f t="shared" si="48"/>
        <v>1</v>
      </c>
      <c r="AI93" s="3">
        <f t="shared" si="49"/>
        <v>0</v>
      </c>
      <c r="AJ93" s="7">
        <f t="shared" si="54"/>
        <v>1</v>
      </c>
      <c r="AK93" s="1"/>
      <c r="AL93" s="1"/>
      <c r="AM93" s="10"/>
      <c r="AN93" s="1"/>
      <c r="AO93" s="1"/>
      <c r="AP93" s="1"/>
      <c r="AQ93" s="1"/>
      <c r="AR93" s="1"/>
      <c r="AS93" s="1"/>
      <c r="AT93" s="1"/>
    </row>
    <row r="94" spans="1:46" x14ac:dyDescent="0.3">
      <c r="A94" s="15" t="s">
        <v>497</v>
      </c>
      <c r="B94" s="1">
        <f t="shared" si="55"/>
        <v>8</v>
      </c>
      <c r="C94" s="1">
        <f t="shared" si="56"/>
        <v>9</v>
      </c>
      <c r="D94" s="10" t="str">
        <f t="shared" si="57"/>
        <v>2</v>
      </c>
      <c r="E94" s="1">
        <f t="shared" si="58"/>
        <v>11</v>
      </c>
      <c r="F94" s="1">
        <f t="shared" si="59"/>
        <v>49</v>
      </c>
      <c r="G94" s="1">
        <f t="shared" si="60"/>
        <v>32</v>
      </c>
      <c r="H94" s="1">
        <f t="shared" si="67"/>
        <v>32</v>
      </c>
      <c r="I94" s="10" t="str">
        <f t="shared" si="61"/>
        <v>UpAE_WDR_SENS_AGC_LMT</v>
      </c>
      <c r="J94" s="1">
        <f t="shared" si="68"/>
        <v>0</v>
      </c>
      <c r="K94" s="1">
        <f t="shared" si="62"/>
        <v>0</v>
      </c>
      <c r="L94" s="1" t="str">
        <f t="shared" si="63"/>
        <v>0</v>
      </c>
      <c r="M94" s="10">
        <f t="shared" si="64"/>
        <v>0</v>
      </c>
      <c r="N94" s="1">
        <f t="shared" si="65"/>
        <v>35</v>
      </c>
      <c r="O94" s="1">
        <f t="shared" si="50"/>
        <v>0</v>
      </c>
      <c r="P94" s="1">
        <f t="shared" si="66"/>
        <v>95</v>
      </c>
      <c r="Q94" s="3" t="str">
        <f t="shared" si="37"/>
        <v xml:space="preserve"> When WDR Mode, Limit the Analog Gain Value for each Sensor </v>
      </c>
      <c r="R94" s="11">
        <f t="shared" si="51"/>
        <v>164</v>
      </c>
      <c r="S94" s="11"/>
      <c r="T94" s="13" t="str">
        <f t="shared" si="52"/>
        <v>A4</v>
      </c>
      <c r="U94" s="14" t="str">
        <f t="shared" si="38"/>
        <v>UpAE_WDR_SENS_AGC_LMT</v>
      </c>
      <c r="V94" s="13" t="str">
        <f t="shared" si="39"/>
        <v>2</v>
      </c>
      <c r="W94" s="13">
        <f t="shared" si="40"/>
        <v>0</v>
      </c>
      <c r="X94" s="14" t="str">
        <f t="shared" si="41"/>
        <v xml:space="preserve"> When WDR Mode, Limit the Analog Gain Value for each Sensor </v>
      </c>
      <c r="Y94" s="1">
        <f t="shared" si="42"/>
        <v>1</v>
      </c>
      <c r="Z94" s="1">
        <f t="shared" si="43"/>
        <v>2</v>
      </c>
      <c r="AA94" s="1">
        <f t="shared" si="36"/>
        <v>0</v>
      </c>
      <c r="AB94" s="1">
        <f t="shared" si="44"/>
        <v>0</v>
      </c>
      <c r="AC94" s="10" t="e">
        <f t="shared" si="45"/>
        <v>#VALUE!</v>
      </c>
      <c r="AD94" s="1" t="e">
        <f t="shared" si="53"/>
        <v>#VALUE!</v>
      </c>
      <c r="AF94" s="3" t="e">
        <f t="shared" si="46"/>
        <v>#VALUE!</v>
      </c>
      <c r="AG94" s="5" t="str">
        <f t="shared" si="47"/>
        <v>UpAE_WDR_SENS_AGC_LMT)/* When WDR Mode, Limit the Analog Gain Value for each Sensor *</v>
      </c>
      <c r="AH94" s="3">
        <f t="shared" si="48"/>
        <v>2</v>
      </c>
      <c r="AI94" s="3">
        <f t="shared" si="49"/>
        <v>0</v>
      </c>
      <c r="AJ94" s="7">
        <f t="shared" si="54"/>
        <v>1</v>
      </c>
      <c r="AK94" s="1"/>
      <c r="AL94" s="1"/>
      <c r="AM94" s="10"/>
      <c r="AN94" s="1"/>
      <c r="AO94" s="1"/>
      <c r="AP94" s="1"/>
      <c r="AQ94" s="1"/>
      <c r="AR94" s="1"/>
      <c r="AS94" s="1"/>
      <c r="AT94" s="1"/>
    </row>
    <row r="95" spans="1:46" x14ac:dyDescent="0.3">
      <c r="A95" s="15" t="s">
        <v>498</v>
      </c>
      <c r="B95" s="1">
        <f t="shared" si="55"/>
        <v>8</v>
      </c>
      <c r="C95" s="1">
        <f t="shared" si="56"/>
        <v>9</v>
      </c>
      <c r="D95" s="10" t="str">
        <f t="shared" si="57"/>
        <v>1</v>
      </c>
      <c r="E95" s="1">
        <f t="shared" si="58"/>
        <v>11</v>
      </c>
      <c r="F95" s="1">
        <f t="shared" si="59"/>
        <v>0</v>
      </c>
      <c r="G95" s="1">
        <f t="shared" si="60"/>
        <v>27</v>
      </c>
      <c r="H95" s="1">
        <f t="shared" si="67"/>
        <v>27</v>
      </c>
      <c r="I95" s="10" t="str">
        <f t="shared" si="61"/>
        <v>UpAE_WDR_TMG_SEL</v>
      </c>
      <c r="J95" s="1">
        <f t="shared" si="68"/>
        <v>0</v>
      </c>
      <c r="K95" s="1">
        <f t="shared" si="62"/>
        <v>0</v>
      </c>
      <c r="L95" s="1" t="str">
        <f t="shared" si="63"/>
        <v>0</v>
      </c>
      <c r="M95" s="10">
        <f t="shared" si="64"/>
        <v>0</v>
      </c>
      <c r="N95" s="1">
        <f t="shared" si="65"/>
        <v>30</v>
      </c>
      <c r="O95" s="1">
        <f t="shared" si="50"/>
        <v>0</v>
      </c>
      <c r="P95" s="1">
        <f t="shared" si="66"/>
        <v>31</v>
      </c>
      <c r="Q95" s="3" t="str">
        <f t="shared" si="37"/>
        <v xml:space="preserve"> </v>
      </c>
      <c r="R95" s="11">
        <f t="shared" si="51"/>
        <v>166</v>
      </c>
      <c r="S95" s="11"/>
      <c r="T95" s="13" t="str">
        <f t="shared" si="52"/>
        <v>A6</v>
      </c>
      <c r="U95" s="14" t="str">
        <f t="shared" si="38"/>
        <v>UpAE_WDR_TMG_SEL</v>
      </c>
      <c r="V95" s="13" t="str">
        <f t="shared" si="39"/>
        <v>1</v>
      </c>
      <c r="W95" s="13">
        <f t="shared" si="40"/>
        <v>0</v>
      </c>
      <c r="X95" s="14" t="str">
        <f t="shared" si="41"/>
        <v xml:space="preserve"> </v>
      </c>
      <c r="Y95" s="1">
        <f t="shared" si="42"/>
        <v>1</v>
      </c>
      <c r="Z95" s="1">
        <f t="shared" si="43"/>
        <v>1</v>
      </c>
      <c r="AA95" s="1">
        <f t="shared" si="36"/>
        <v>0</v>
      </c>
      <c r="AB95" s="1">
        <f t="shared" si="44"/>
        <v>0</v>
      </c>
      <c r="AC95" s="10" t="e">
        <f t="shared" si="45"/>
        <v>#VALUE!</v>
      </c>
      <c r="AD95" s="1" t="e">
        <f t="shared" si="53"/>
        <v>#VALUE!</v>
      </c>
      <c r="AF95" s="3" t="e">
        <f t="shared" si="46"/>
        <v>#VALUE!</v>
      </c>
      <c r="AG95" s="5" t="str">
        <f t="shared" si="47"/>
        <v>UpAE_WDR_TMG_SEL)/* *</v>
      </c>
      <c r="AH95" s="3">
        <f t="shared" si="48"/>
        <v>1</v>
      </c>
      <c r="AI95" s="3">
        <f t="shared" si="49"/>
        <v>0</v>
      </c>
      <c r="AJ95" s="7">
        <f t="shared" si="54"/>
        <v>1</v>
      </c>
      <c r="AK95" s="1"/>
      <c r="AL95" s="1"/>
      <c r="AM95" s="10"/>
      <c r="AN95" s="1"/>
      <c r="AO95" s="1"/>
      <c r="AP95" s="1"/>
      <c r="AQ95" s="1"/>
      <c r="AR95" s="1"/>
      <c r="AS95" s="1"/>
      <c r="AT95" s="1"/>
    </row>
    <row r="96" spans="1:46" x14ac:dyDescent="0.3">
      <c r="A96" s="15" t="s">
        <v>4</v>
      </c>
      <c r="B96" s="1">
        <f t="shared" si="55"/>
        <v>0</v>
      </c>
      <c r="C96" s="1">
        <f t="shared" si="56"/>
        <v>0</v>
      </c>
      <c r="D96" s="10">
        <f t="shared" si="57"/>
        <v>0</v>
      </c>
      <c r="E96" s="1">
        <f t="shared" si="58"/>
        <v>0</v>
      </c>
      <c r="F96" s="1">
        <f t="shared" si="59"/>
        <v>0</v>
      </c>
      <c r="G96" s="1">
        <f t="shared" si="60"/>
        <v>0</v>
      </c>
      <c r="H96" s="1">
        <f t="shared" si="67"/>
        <v>0</v>
      </c>
      <c r="I96" s="10">
        <f t="shared" si="61"/>
        <v>0</v>
      </c>
      <c r="J96" s="1">
        <f t="shared" si="68"/>
        <v>0</v>
      </c>
      <c r="K96" s="1">
        <f t="shared" si="62"/>
        <v>0</v>
      </c>
      <c r="L96" s="1" t="str">
        <f t="shared" si="63"/>
        <v>0</v>
      </c>
      <c r="M96" s="10">
        <f t="shared" si="64"/>
        <v>0</v>
      </c>
      <c r="N96" s="1">
        <f t="shared" si="65"/>
        <v>3</v>
      </c>
      <c r="O96" s="1">
        <f t="shared" si="50"/>
        <v>0</v>
      </c>
      <c r="P96" s="1">
        <f t="shared" si="66"/>
        <v>38</v>
      </c>
      <c r="Q96" s="3" t="str">
        <f t="shared" si="37"/>
        <v>---------------　AWB　---------------</v>
      </c>
      <c r="R96" s="11">
        <f t="shared" si="51"/>
        <v>167</v>
      </c>
      <c r="S96" s="11"/>
      <c r="T96" s="13" t="str">
        <f t="shared" si="52"/>
        <v>*</v>
      </c>
      <c r="U96" s="14" t="str">
        <f t="shared" si="38"/>
        <v>---------------　AWB　---------------</v>
      </c>
      <c r="V96" s="13">
        <f t="shared" si="39"/>
        <v>1</v>
      </c>
      <c r="W96" s="13">
        <f t="shared" si="40"/>
        <v>0</v>
      </c>
      <c r="X96" s="14" t="str">
        <f t="shared" si="41"/>
        <v>-</v>
      </c>
      <c r="Y96" s="1">
        <f t="shared" si="42"/>
        <v>0</v>
      </c>
      <c r="Z96" s="1">
        <f t="shared" si="43"/>
        <v>1</v>
      </c>
      <c r="AA96" s="1">
        <f t="shared" si="36"/>
        <v>0</v>
      </c>
      <c r="AB96" s="1">
        <f t="shared" si="44"/>
        <v>0</v>
      </c>
      <c r="AC96" s="10" t="e">
        <f t="shared" si="45"/>
        <v>#VALUE!</v>
      </c>
      <c r="AD96" s="1" t="e">
        <f t="shared" si="53"/>
        <v>#VALUE!</v>
      </c>
      <c r="AF96" s="3" t="str">
        <f t="shared" si="46"/>
        <v>0</v>
      </c>
      <c r="AG96" s="5" t="str">
        <f t="shared" si="47"/>
        <v>---------------　AWB　---------------</v>
      </c>
      <c r="AH96" s="3" t="str">
        <f t="shared" si="48"/>
        <v>1</v>
      </c>
      <c r="AI96" s="3" t="str">
        <f t="shared" si="49"/>
        <v>0</v>
      </c>
      <c r="AJ96" s="7">
        <f t="shared" si="54"/>
        <v>1</v>
      </c>
      <c r="AK96" s="1"/>
      <c r="AL96" s="1"/>
      <c r="AM96" s="10"/>
      <c r="AN96" s="1"/>
      <c r="AO96" s="1"/>
      <c r="AP96" s="1"/>
      <c r="AQ96" s="1"/>
      <c r="AR96" s="1"/>
      <c r="AS96" s="1"/>
      <c r="AT96" s="1"/>
    </row>
    <row r="97" spans="1:36" x14ac:dyDescent="0.3">
      <c r="A97" s="15" t="s">
        <v>143</v>
      </c>
      <c r="B97" s="1">
        <f t="shared" si="55"/>
        <v>0</v>
      </c>
      <c r="C97" s="1">
        <f t="shared" si="56"/>
        <v>0</v>
      </c>
      <c r="D97" s="10">
        <f t="shared" si="57"/>
        <v>0</v>
      </c>
      <c r="E97" s="1">
        <f t="shared" si="58"/>
        <v>0</v>
      </c>
      <c r="F97" s="1">
        <f t="shared" si="59"/>
        <v>0</v>
      </c>
      <c r="G97" s="1">
        <f t="shared" si="60"/>
        <v>0</v>
      </c>
      <c r="H97" s="1">
        <f t="shared" si="67"/>
        <v>0</v>
      </c>
      <c r="I97" s="10">
        <f t="shared" si="61"/>
        <v>0</v>
      </c>
      <c r="J97" s="1">
        <f t="shared" si="68"/>
        <v>0</v>
      </c>
      <c r="K97" s="1">
        <f t="shared" si="62"/>
        <v>0</v>
      </c>
      <c r="L97" s="1" t="str">
        <f t="shared" si="63"/>
        <v>0</v>
      </c>
      <c r="M97" s="10">
        <f t="shared" si="64"/>
        <v>0</v>
      </c>
      <c r="N97" s="1">
        <f t="shared" si="65"/>
        <v>3</v>
      </c>
      <c r="O97" s="1">
        <f t="shared" si="50"/>
        <v>1</v>
      </c>
      <c r="P97" s="1">
        <f t="shared" si="66"/>
        <v>14</v>
      </c>
      <c r="Q97" s="3" t="str">
        <f t="shared" si="37"/>
        <v>AWB_WINDOW</v>
      </c>
      <c r="R97" s="11">
        <f t="shared" si="51"/>
        <v>167</v>
      </c>
      <c r="S97" s="11"/>
      <c r="T97" s="13" t="str">
        <f t="shared" si="52"/>
        <v>#</v>
      </c>
      <c r="U97" s="14" t="str">
        <f t="shared" si="38"/>
        <v>AWB_WINDOW</v>
      </c>
      <c r="V97" s="13">
        <f t="shared" si="39"/>
        <v>1</v>
      </c>
      <c r="W97" s="13">
        <f t="shared" si="40"/>
        <v>0</v>
      </c>
      <c r="X97" s="14" t="str">
        <f t="shared" si="41"/>
        <v>-</v>
      </c>
      <c r="Y97" s="1">
        <f t="shared" si="42"/>
        <v>0</v>
      </c>
      <c r="Z97" s="1">
        <f t="shared" si="43"/>
        <v>1</v>
      </c>
      <c r="AA97" s="1">
        <f t="shared" si="36"/>
        <v>0</v>
      </c>
      <c r="AB97" s="1">
        <f t="shared" si="44"/>
        <v>0</v>
      </c>
      <c r="AC97" s="10" t="e">
        <f t="shared" si="45"/>
        <v>#VALUE!</v>
      </c>
      <c r="AD97" s="1" t="e">
        <f t="shared" si="53"/>
        <v>#VALUE!</v>
      </c>
      <c r="AF97" s="3" t="str">
        <f t="shared" si="46"/>
        <v>0</v>
      </c>
      <c r="AG97" s="5" t="str">
        <f t="shared" si="47"/>
        <v>#AWB_WINDOW</v>
      </c>
      <c r="AH97" s="3" t="str">
        <f t="shared" si="48"/>
        <v>1</v>
      </c>
      <c r="AI97" s="3" t="str">
        <f t="shared" si="49"/>
        <v>0</v>
      </c>
      <c r="AJ97" s="7">
        <f t="shared" si="54"/>
        <v>1</v>
      </c>
    </row>
    <row r="98" spans="1:36" x14ac:dyDescent="0.3">
      <c r="A98" s="15" t="s">
        <v>428</v>
      </c>
      <c r="B98" s="1">
        <f t="shared" si="55"/>
        <v>8</v>
      </c>
      <c r="C98" s="1">
        <f t="shared" si="56"/>
        <v>9</v>
      </c>
      <c r="D98" s="10" t="str">
        <f t="shared" si="57"/>
        <v>2</v>
      </c>
      <c r="E98" s="1">
        <f t="shared" si="58"/>
        <v>11</v>
      </c>
      <c r="F98" s="1">
        <f t="shared" si="59"/>
        <v>20</v>
      </c>
      <c r="G98" s="1">
        <f t="shared" si="60"/>
        <v>25</v>
      </c>
      <c r="H98" s="1">
        <f t="shared" si="67"/>
        <v>20</v>
      </c>
      <c r="I98" s="10" t="str">
        <f t="shared" si="61"/>
        <v>UpAWB_HSP</v>
      </c>
      <c r="J98" s="1">
        <f t="shared" si="68"/>
        <v>22</v>
      </c>
      <c r="K98" s="1" t="str">
        <f t="shared" si="62"/>
        <v>200</v>
      </c>
      <c r="L98" s="1" t="str">
        <f t="shared" si="63"/>
        <v>C8</v>
      </c>
      <c r="M98" s="10">
        <f t="shared" si="64"/>
        <v>200</v>
      </c>
      <c r="N98" s="1">
        <f t="shared" si="65"/>
        <v>28</v>
      </c>
      <c r="O98" s="1">
        <f t="shared" si="50"/>
        <v>0</v>
      </c>
      <c r="P98" s="1">
        <f t="shared" si="66"/>
        <v>75</v>
      </c>
      <c r="Q98" s="3" t="str">
        <f t="shared" si="37"/>
        <v xml:space="preserve"> AWB detection area X start (default +- value) </v>
      </c>
      <c r="R98" s="11">
        <f t="shared" si="51"/>
        <v>200</v>
      </c>
      <c r="S98" s="11"/>
      <c r="T98" s="13" t="str">
        <f t="shared" si="52"/>
        <v>C8</v>
      </c>
      <c r="U98" s="14" t="str">
        <f t="shared" si="38"/>
        <v>UpAWB_HSP</v>
      </c>
      <c r="V98" s="13" t="str">
        <f t="shared" si="39"/>
        <v>2</v>
      </c>
      <c r="W98" s="13">
        <f t="shared" si="40"/>
        <v>0</v>
      </c>
      <c r="X98" s="14" t="str">
        <f t="shared" si="41"/>
        <v xml:space="preserve"> AWB detection area X start (default +- value) </v>
      </c>
      <c r="Y98" s="1">
        <f t="shared" si="42"/>
        <v>1</v>
      </c>
      <c r="Z98" s="1">
        <f t="shared" si="43"/>
        <v>2</v>
      </c>
      <c r="AA98" s="1">
        <f t="shared" si="36"/>
        <v>22</v>
      </c>
      <c r="AB98" s="1" t="str">
        <f t="shared" si="44"/>
        <v>200)/* AWB detection area X start (default +- value) *</v>
      </c>
      <c r="AC98" s="10" t="str">
        <f t="shared" si="45"/>
        <v>200)/* AWB detection area X start (default +- value) *</v>
      </c>
      <c r="AD98" s="1" t="e">
        <f t="shared" si="53"/>
        <v>#VALUE!</v>
      </c>
      <c r="AF98" s="3" t="e">
        <f t="shared" si="46"/>
        <v>#VALUE!</v>
      </c>
      <c r="AG98" s="5" t="str">
        <f t="shared" si="47"/>
        <v>UpAWB_HSP</v>
      </c>
      <c r="AH98" s="3">
        <f t="shared" si="48"/>
        <v>2</v>
      </c>
      <c r="AI98" s="3">
        <f t="shared" si="49"/>
        <v>0</v>
      </c>
      <c r="AJ98" s="7">
        <f t="shared" si="54"/>
        <v>1</v>
      </c>
    </row>
    <row r="99" spans="1:36" x14ac:dyDescent="0.3">
      <c r="A99" s="15" t="s">
        <v>71</v>
      </c>
      <c r="B99" s="1">
        <f t="shared" si="55"/>
        <v>8</v>
      </c>
      <c r="C99" s="1">
        <f t="shared" si="56"/>
        <v>9</v>
      </c>
      <c r="D99" s="10" t="str">
        <f t="shared" si="57"/>
        <v>2</v>
      </c>
      <c r="E99" s="1">
        <f t="shared" si="58"/>
        <v>11</v>
      </c>
      <c r="F99" s="1">
        <f t="shared" si="59"/>
        <v>0</v>
      </c>
      <c r="G99" s="1">
        <f t="shared" si="60"/>
        <v>19</v>
      </c>
      <c r="H99" s="1">
        <f t="shared" si="67"/>
        <v>19</v>
      </c>
      <c r="I99" s="10" t="str">
        <f t="shared" si="61"/>
        <v>UpAWB_HW</v>
      </c>
      <c r="J99" s="1">
        <f t="shared" si="68"/>
        <v>0</v>
      </c>
      <c r="K99" s="1">
        <f t="shared" si="62"/>
        <v>0</v>
      </c>
      <c r="L99" s="1" t="str">
        <f t="shared" si="63"/>
        <v>0</v>
      </c>
      <c r="M99" s="10">
        <f t="shared" si="64"/>
        <v>0</v>
      </c>
      <c r="N99" s="1">
        <f t="shared" si="65"/>
        <v>22</v>
      </c>
      <c r="O99" s="1">
        <f t="shared" si="50"/>
        <v>0</v>
      </c>
      <c r="P99" s="1">
        <f t="shared" si="66"/>
        <v>67</v>
      </c>
      <c r="Q99" s="3" t="str">
        <f t="shared" si="37"/>
        <v xml:space="preserve"> AWB detection area Y end (default +- value) </v>
      </c>
      <c r="R99" s="11">
        <f t="shared" si="51"/>
        <v>202</v>
      </c>
      <c r="S99" s="11"/>
      <c r="T99" s="13" t="str">
        <f t="shared" si="52"/>
        <v>CA</v>
      </c>
      <c r="U99" s="14" t="str">
        <f t="shared" si="38"/>
        <v>UpAWB_HW</v>
      </c>
      <c r="V99" s="13" t="str">
        <f t="shared" si="39"/>
        <v>2</v>
      </c>
      <c r="W99" s="13">
        <f t="shared" si="40"/>
        <v>0</v>
      </c>
      <c r="X99" s="14" t="str">
        <f t="shared" si="41"/>
        <v xml:space="preserve"> AWB detection area Y end (default +- value) </v>
      </c>
      <c r="Y99" s="1">
        <f t="shared" si="42"/>
        <v>1</v>
      </c>
      <c r="Z99" s="1">
        <f t="shared" si="43"/>
        <v>2</v>
      </c>
      <c r="AA99" s="1">
        <f t="shared" si="36"/>
        <v>0</v>
      </c>
      <c r="AB99" s="1">
        <f t="shared" si="44"/>
        <v>0</v>
      </c>
      <c r="AC99" s="10" t="e">
        <f t="shared" si="45"/>
        <v>#VALUE!</v>
      </c>
      <c r="AD99" s="1" t="e">
        <f t="shared" si="53"/>
        <v>#VALUE!</v>
      </c>
      <c r="AF99" s="3" t="e">
        <f t="shared" si="46"/>
        <v>#VALUE!</v>
      </c>
      <c r="AG99" s="5" t="str">
        <f t="shared" si="47"/>
        <v>UpAWB_HW)/* AWB detection area Y end (default +- value) *</v>
      </c>
      <c r="AH99" s="3">
        <f t="shared" si="48"/>
        <v>2</v>
      </c>
      <c r="AI99" s="3">
        <f t="shared" si="49"/>
        <v>0</v>
      </c>
      <c r="AJ99" s="7">
        <f t="shared" si="54"/>
        <v>1</v>
      </c>
    </row>
    <row r="100" spans="1:36" x14ac:dyDescent="0.3">
      <c r="A100" s="15" t="s">
        <v>72</v>
      </c>
      <c r="B100" s="1">
        <f t="shared" si="55"/>
        <v>8</v>
      </c>
      <c r="C100" s="1">
        <f t="shared" si="56"/>
        <v>9</v>
      </c>
      <c r="D100" s="10" t="str">
        <f t="shared" si="57"/>
        <v>2</v>
      </c>
      <c r="E100" s="1">
        <f t="shared" si="58"/>
        <v>11</v>
      </c>
      <c r="F100" s="1">
        <f t="shared" si="59"/>
        <v>0</v>
      </c>
      <c r="G100" s="1">
        <f t="shared" si="60"/>
        <v>20</v>
      </c>
      <c r="H100" s="1">
        <f t="shared" si="67"/>
        <v>20</v>
      </c>
      <c r="I100" s="10" t="str">
        <f t="shared" si="61"/>
        <v>UpAWB_VSP</v>
      </c>
      <c r="J100" s="1">
        <f t="shared" si="68"/>
        <v>0</v>
      </c>
      <c r="K100" s="1">
        <f t="shared" si="62"/>
        <v>0</v>
      </c>
      <c r="L100" s="1" t="str">
        <f t="shared" si="63"/>
        <v>0</v>
      </c>
      <c r="M100" s="10">
        <f t="shared" si="64"/>
        <v>0</v>
      </c>
      <c r="N100" s="1">
        <f t="shared" si="65"/>
        <v>23</v>
      </c>
      <c r="O100" s="1">
        <f t="shared" si="50"/>
        <v>0</v>
      </c>
      <c r="P100" s="1">
        <f t="shared" si="66"/>
        <v>70</v>
      </c>
      <c r="Q100" s="3" t="str">
        <f t="shared" si="37"/>
        <v xml:space="preserve"> AWB detection area Y start (default +- value) </v>
      </c>
      <c r="R100" s="11">
        <f t="shared" si="51"/>
        <v>204</v>
      </c>
      <c r="S100" s="11"/>
      <c r="T100" s="13" t="str">
        <f t="shared" si="52"/>
        <v>CC</v>
      </c>
      <c r="U100" s="14" t="str">
        <f t="shared" si="38"/>
        <v>UpAWB_VSP</v>
      </c>
      <c r="V100" s="13" t="str">
        <f t="shared" si="39"/>
        <v>2</v>
      </c>
      <c r="W100" s="13">
        <f t="shared" si="40"/>
        <v>0</v>
      </c>
      <c r="X100" s="14" t="str">
        <f t="shared" si="41"/>
        <v xml:space="preserve"> AWB detection area Y start (default +- value) </v>
      </c>
      <c r="Y100" s="1">
        <f t="shared" si="42"/>
        <v>1</v>
      </c>
      <c r="Z100" s="1">
        <f t="shared" si="43"/>
        <v>2</v>
      </c>
      <c r="AA100" s="1">
        <f t="shared" ref="AA100:AA163" si="69">IFERROR(FIND("=",A100)+1,0)</f>
        <v>0</v>
      </c>
      <c r="AB100" s="1">
        <f t="shared" si="44"/>
        <v>0</v>
      </c>
      <c r="AC100" s="10" t="e">
        <f t="shared" si="45"/>
        <v>#VALUE!</v>
      </c>
      <c r="AD100" s="1" t="e">
        <f t="shared" si="53"/>
        <v>#VALUE!</v>
      </c>
      <c r="AF100" s="3" t="e">
        <f t="shared" si="46"/>
        <v>#VALUE!</v>
      </c>
      <c r="AG100" s="5" t="str">
        <f t="shared" si="47"/>
        <v>UpAWB_VSP)/* AWB detection area Y start (default +- value) *</v>
      </c>
      <c r="AH100" s="3">
        <f t="shared" si="48"/>
        <v>2</v>
      </c>
      <c r="AI100" s="3">
        <f t="shared" si="49"/>
        <v>0</v>
      </c>
      <c r="AJ100" s="7">
        <f t="shared" si="54"/>
        <v>1</v>
      </c>
    </row>
    <row r="101" spans="1:36" x14ac:dyDescent="0.3">
      <c r="A101" s="15" t="s">
        <v>73</v>
      </c>
      <c r="B101" s="1">
        <f t="shared" si="55"/>
        <v>8</v>
      </c>
      <c r="C101" s="1">
        <f t="shared" si="56"/>
        <v>9</v>
      </c>
      <c r="D101" s="10" t="str">
        <f t="shared" si="57"/>
        <v>2</v>
      </c>
      <c r="E101" s="1">
        <f t="shared" si="58"/>
        <v>11</v>
      </c>
      <c r="F101" s="1">
        <f t="shared" si="59"/>
        <v>0</v>
      </c>
      <c r="G101" s="1">
        <f t="shared" si="60"/>
        <v>19</v>
      </c>
      <c r="H101" s="1">
        <f t="shared" si="67"/>
        <v>19</v>
      </c>
      <c r="I101" s="10" t="str">
        <f t="shared" si="61"/>
        <v>UpAWB_VW</v>
      </c>
      <c r="J101" s="1">
        <f t="shared" si="68"/>
        <v>0</v>
      </c>
      <c r="K101" s="1">
        <f t="shared" si="62"/>
        <v>0</v>
      </c>
      <c r="L101" s="1" t="str">
        <f t="shared" si="63"/>
        <v>0</v>
      </c>
      <c r="M101" s="10">
        <f t="shared" si="64"/>
        <v>0</v>
      </c>
      <c r="N101" s="1">
        <f t="shared" si="65"/>
        <v>22</v>
      </c>
      <c r="O101" s="1">
        <f t="shared" si="50"/>
        <v>0</v>
      </c>
      <c r="P101" s="1">
        <f t="shared" si="66"/>
        <v>67</v>
      </c>
      <c r="Q101" s="3" t="str">
        <f t="shared" si="37"/>
        <v xml:space="preserve"> AWB detection area Y end (default +- value) </v>
      </c>
      <c r="R101" s="11">
        <f t="shared" si="51"/>
        <v>206</v>
      </c>
      <c r="S101" s="11"/>
      <c r="T101" s="13" t="str">
        <f t="shared" si="52"/>
        <v>CE</v>
      </c>
      <c r="U101" s="14" t="str">
        <f t="shared" si="38"/>
        <v>UpAWB_VW</v>
      </c>
      <c r="V101" s="13" t="str">
        <f t="shared" si="39"/>
        <v>2</v>
      </c>
      <c r="W101" s="13">
        <f t="shared" si="40"/>
        <v>0</v>
      </c>
      <c r="X101" s="14" t="str">
        <f t="shared" si="41"/>
        <v xml:space="preserve"> AWB detection area Y end (default +- value) </v>
      </c>
      <c r="Y101" s="1">
        <f t="shared" si="42"/>
        <v>1</v>
      </c>
      <c r="Z101" s="1">
        <f t="shared" si="43"/>
        <v>2</v>
      </c>
      <c r="AA101" s="1">
        <f t="shared" si="69"/>
        <v>0</v>
      </c>
      <c r="AB101" s="1">
        <f t="shared" si="44"/>
        <v>0</v>
      </c>
      <c r="AC101" s="10" t="e">
        <f t="shared" si="45"/>
        <v>#VALUE!</v>
      </c>
      <c r="AD101" s="1" t="e">
        <f t="shared" si="53"/>
        <v>#VALUE!</v>
      </c>
      <c r="AF101" s="3" t="e">
        <f t="shared" si="46"/>
        <v>#VALUE!</v>
      </c>
      <c r="AG101" s="5" t="str">
        <f t="shared" si="47"/>
        <v>UpAWB_VW)/* AWB detection area Y end (default +- value) *</v>
      </c>
      <c r="AH101" s="3">
        <f t="shared" si="48"/>
        <v>2</v>
      </c>
      <c r="AI101" s="3">
        <f t="shared" si="49"/>
        <v>0</v>
      </c>
      <c r="AJ101" s="7">
        <f t="shared" si="54"/>
        <v>1</v>
      </c>
    </row>
    <row r="102" spans="1:36" x14ac:dyDescent="0.3">
      <c r="A102" s="15" t="s">
        <v>144</v>
      </c>
      <c r="B102" s="1">
        <f t="shared" si="55"/>
        <v>0</v>
      </c>
      <c r="C102" s="1">
        <f t="shared" si="56"/>
        <v>0</v>
      </c>
      <c r="D102" s="10">
        <f t="shared" si="57"/>
        <v>0</v>
      </c>
      <c r="E102" s="1">
        <f t="shared" si="58"/>
        <v>0</v>
      </c>
      <c r="F102" s="1">
        <f t="shared" si="59"/>
        <v>0</v>
      </c>
      <c r="G102" s="1">
        <f t="shared" si="60"/>
        <v>0</v>
      </c>
      <c r="H102" s="1">
        <f t="shared" si="67"/>
        <v>0</v>
      </c>
      <c r="I102" s="10">
        <f t="shared" si="61"/>
        <v>0</v>
      </c>
      <c r="J102" s="1">
        <f t="shared" si="68"/>
        <v>0</v>
      </c>
      <c r="K102" s="1">
        <f t="shared" si="62"/>
        <v>0</v>
      </c>
      <c r="L102" s="1" t="str">
        <f t="shared" si="63"/>
        <v>0</v>
      </c>
      <c r="M102" s="10">
        <f t="shared" si="64"/>
        <v>0</v>
      </c>
      <c r="N102" s="1">
        <f t="shared" si="65"/>
        <v>3</v>
      </c>
      <c r="O102" s="1">
        <f t="shared" si="50"/>
        <v>1</v>
      </c>
      <c r="P102" s="1">
        <f t="shared" si="66"/>
        <v>11</v>
      </c>
      <c r="Q102" s="3" t="str">
        <f t="shared" si="37"/>
        <v>AWB_PAR</v>
      </c>
      <c r="R102" s="11">
        <f t="shared" si="51"/>
        <v>208</v>
      </c>
      <c r="S102" s="11"/>
      <c r="T102" s="13" t="str">
        <f t="shared" si="52"/>
        <v>#</v>
      </c>
      <c r="U102" s="14" t="str">
        <f t="shared" si="38"/>
        <v>AWB_PAR</v>
      </c>
      <c r="V102" s="13">
        <f t="shared" si="39"/>
        <v>1</v>
      </c>
      <c r="W102" s="13">
        <f t="shared" si="40"/>
        <v>0</v>
      </c>
      <c r="X102" s="14" t="str">
        <f t="shared" si="41"/>
        <v>-</v>
      </c>
      <c r="Y102" s="1">
        <f t="shared" si="42"/>
        <v>0</v>
      </c>
      <c r="Z102" s="1">
        <f t="shared" si="43"/>
        <v>2</v>
      </c>
      <c r="AA102" s="1">
        <f t="shared" si="69"/>
        <v>0</v>
      </c>
      <c r="AB102" s="1">
        <f t="shared" si="44"/>
        <v>0</v>
      </c>
      <c r="AC102" s="10" t="e">
        <f t="shared" si="45"/>
        <v>#VALUE!</v>
      </c>
      <c r="AD102" s="1" t="e">
        <f t="shared" si="53"/>
        <v>#VALUE!</v>
      </c>
      <c r="AF102" s="3" t="str">
        <f t="shared" si="46"/>
        <v>0</v>
      </c>
      <c r="AG102" s="5" t="str">
        <f t="shared" si="47"/>
        <v>#AWB_PAR</v>
      </c>
      <c r="AH102" s="3" t="str">
        <f t="shared" si="48"/>
        <v>1</v>
      </c>
      <c r="AI102" s="3" t="str">
        <f t="shared" si="49"/>
        <v>0</v>
      </c>
      <c r="AJ102" s="7">
        <f t="shared" si="54"/>
        <v>1</v>
      </c>
    </row>
    <row r="103" spans="1:36" x14ac:dyDescent="0.3">
      <c r="A103" s="15" t="s">
        <v>55</v>
      </c>
      <c r="B103" s="1">
        <f t="shared" si="55"/>
        <v>8</v>
      </c>
      <c r="C103" s="1">
        <f t="shared" si="56"/>
        <v>9</v>
      </c>
      <c r="D103" s="10" t="str">
        <f t="shared" si="57"/>
        <v>2</v>
      </c>
      <c r="E103" s="1">
        <f t="shared" si="58"/>
        <v>11</v>
      </c>
      <c r="F103" s="1">
        <f t="shared" si="59"/>
        <v>0</v>
      </c>
      <c r="G103" s="1">
        <f t="shared" si="60"/>
        <v>25</v>
      </c>
      <c r="H103" s="1">
        <f t="shared" si="67"/>
        <v>25</v>
      </c>
      <c r="I103" s="10" t="str">
        <f t="shared" si="61"/>
        <v>UpAWB_TCNT_LMT</v>
      </c>
      <c r="J103" s="1">
        <f t="shared" si="68"/>
        <v>0</v>
      </c>
      <c r="K103" s="1">
        <f t="shared" si="62"/>
        <v>0</v>
      </c>
      <c r="L103" s="1" t="str">
        <f t="shared" si="63"/>
        <v>0</v>
      </c>
      <c r="M103" s="10">
        <f t="shared" si="64"/>
        <v>0</v>
      </c>
      <c r="N103" s="1">
        <f t="shared" si="65"/>
        <v>28</v>
      </c>
      <c r="O103" s="1">
        <f t="shared" si="50"/>
        <v>0</v>
      </c>
      <c r="P103" s="1">
        <f t="shared" si="66"/>
        <v>78</v>
      </c>
      <c r="Q103" s="3" t="str">
        <f t="shared" si="37"/>
        <v xml:space="preserve"> White pixel cnt limit to minimum (under 0x10000) </v>
      </c>
      <c r="R103" s="11">
        <f t="shared" si="51"/>
        <v>208</v>
      </c>
      <c r="S103" s="11"/>
      <c r="T103" s="13" t="str">
        <f t="shared" si="52"/>
        <v>D0</v>
      </c>
      <c r="U103" s="14" t="str">
        <f t="shared" si="38"/>
        <v>UpAWB_TCNT_LMT</v>
      </c>
      <c r="V103" s="13" t="str">
        <f t="shared" si="39"/>
        <v>2</v>
      </c>
      <c r="W103" s="13">
        <f t="shared" si="40"/>
        <v>0</v>
      </c>
      <c r="X103" s="14" t="str">
        <f t="shared" si="41"/>
        <v xml:space="preserve"> White pixel cnt limit to minimum (under 0x10000) </v>
      </c>
      <c r="Y103" s="1">
        <f t="shared" si="42"/>
        <v>1</v>
      </c>
      <c r="Z103" s="1">
        <f t="shared" si="43"/>
        <v>2</v>
      </c>
      <c r="AA103" s="1">
        <f t="shared" si="69"/>
        <v>0</v>
      </c>
      <c r="AB103" s="1">
        <f t="shared" si="44"/>
        <v>0</v>
      </c>
      <c r="AC103" s="10" t="e">
        <f t="shared" si="45"/>
        <v>#VALUE!</v>
      </c>
      <c r="AD103" s="1" t="e">
        <f t="shared" si="53"/>
        <v>#VALUE!</v>
      </c>
      <c r="AF103" s="3" t="e">
        <f t="shared" si="46"/>
        <v>#VALUE!</v>
      </c>
      <c r="AG103" s="5" t="str">
        <f t="shared" si="47"/>
        <v>UpAWB_TCNT_LMT)/* White pixel cnt limit to minimum (under 0x10000) *</v>
      </c>
      <c r="AH103" s="3">
        <f t="shared" si="48"/>
        <v>2</v>
      </c>
      <c r="AI103" s="3">
        <f t="shared" si="49"/>
        <v>0</v>
      </c>
      <c r="AJ103" s="7">
        <f t="shared" si="54"/>
        <v>1</v>
      </c>
    </row>
    <row r="104" spans="1:36" x14ac:dyDescent="0.3">
      <c r="A104" s="15" t="s">
        <v>269</v>
      </c>
      <c r="B104" s="1">
        <f t="shared" si="55"/>
        <v>8</v>
      </c>
      <c r="C104" s="1">
        <f t="shared" si="56"/>
        <v>9</v>
      </c>
      <c r="D104" s="10" t="str">
        <f t="shared" si="57"/>
        <v>2</v>
      </c>
      <c r="E104" s="1">
        <f t="shared" si="58"/>
        <v>11</v>
      </c>
      <c r="F104" s="1">
        <f t="shared" si="59"/>
        <v>0</v>
      </c>
      <c r="G104" s="1">
        <f t="shared" si="60"/>
        <v>25</v>
      </c>
      <c r="H104" s="1">
        <f t="shared" si="67"/>
        <v>25</v>
      </c>
      <c r="I104" s="10" t="str">
        <f t="shared" si="61"/>
        <v>UpAWB_DBOFFSET</v>
      </c>
      <c r="J104" s="1">
        <f t="shared" si="68"/>
        <v>0</v>
      </c>
      <c r="K104" s="1">
        <f t="shared" si="62"/>
        <v>0</v>
      </c>
      <c r="L104" s="1" t="str">
        <f t="shared" si="63"/>
        <v>0</v>
      </c>
      <c r="M104" s="10">
        <f t="shared" si="64"/>
        <v>0</v>
      </c>
      <c r="N104" s="1">
        <f t="shared" si="65"/>
        <v>28</v>
      </c>
      <c r="O104" s="1">
        <f t="shared" si="50"/>
        <v>0</v>
      </c>
      <c r="P104" s="1">
        <f t="shared" si="66"/>
        <v>78</v>
      </c>
      <c r="Q104" s="3" t="str">
        <f t="shared" si="37"/>
        <v xml:space="preserve"> Color map coordinate x offset (default +- value) </v>
      </c>
      <c r="R104" s="11">
        <f t="shared" si="51"/>
        <v>210</v>
      </c>
      <c r="S104" s="11"/>
      <c r="T104" s="13" t="str">
        <f t="shared" si="52"/>
        <v>D2</v>
      </c>
      <c r="U104" s="14" t="str">
        <f t="shared" si="38"/>
        <v>UpAWB_DBOFFSET</v>
      </c>
      <c r="V104" s="13" t="str">
        <f t="shared" si="39"/>
        <v>2</v>
      </c>
      <c r="W104" s="13">
        <f t="shared" si="40"/>
        <v>0</v>
      </c>
      <c r="X104" s="14" t="str">
        <f t="shared" si="41"/>
        <v xml:space="preserve"> Color map coordinate x offset (default +- value) </v>
      </c>
      <c r="Y104" s="1">
        <f t="shared" si="42"/>
        <v>1</v>
      </c>
      <c r="Z104" s="1">
        <f t="shared" si="43"/>
        <v>2</v>
      </c>
      <c r="AA104" s="1">
        <f t="shared" si="69"/>
        <v>0</v>
      </c>
      <c r="AB104" s="1">
        <f t="shared" si="44"/>
        <v>0</v>
      </c>
      <c r="AC104" s="10" t="e">
        <f t="shared" si="45"/>
        <v>#VALUE!</v>
      </c>
      <c r="AD104" s="1" t="e">
        <f t="shared" si="53"/>
        <v>#VALUE!</v>
      </c>
      <c r="AF104" s="3" t="e">
        <f t="shared" si="46"/>
        <v>#VALUE!</v>
      </c>
      <c r="AG104" s="5" t="str">
        <f t="shared" si="47"/>
        <v>UpAWB_DBOFFSET)/* Color map coordinate x offset (default +- value) *</v>
      </c>
      <c r="AH104" s="3">
        <f t="shared" si="48"/>
        <v>2</v>
      </c>
      <c r="AI104" s="3">
        <f t="shared" si="49"/>
        <v>0</v>
      </c>
      <c r="AJ104" s="7">
        <f t="shared" si="54"/>
        <v>1</v>
      </c>
    </row>
    <row r="105" spans="1:36" x14ac:dyDescent="0.3">
      <c r="A105" s="15" t="s">
        <v>270</v>
      </c>
      <c r="B105" s="1">
        <f t="shared" si="55"/>
        <v>8</v>
      </c>
      <c r="C105" s="1">
        <f t="shared" si="56"/>
        <v>9</v>
      </c>
      <c r="D105" s="10" t="str">
        <f t="shared" si="57"/>
        <v>2</v>
      </c>
      <c r="E105" s="1">
        <f t="shared" si="58"/>
        <v>11</v>
      </c>
      <c r="F105" s="1">
        <f t="shared" si="59"/>
        <v>0</v>
      </c>
      <c r="G105" s="1">
        <f t="shared" si="60"/>
        <v>25</v>
      </c>
      <c r="H105" s="1">
        <f t="shared" si="67"/>
        <v>25</v>
      </c>
      <c r="I105" s="10" t="str">
        <f t="shared" si="61"/>
        <v>UpAWB_DROFFSET</v>
      </c>
      <c r="J105" s="1">
        <f t="shared" si="68"/>
        <v>0</v>
      </c>
      <c r="K105" s="1">
        <f t="shared" si="62"/>
        <v>0</v>
      </c>
      <c r="L105" s="1" t="str">
        <f t="shared" si="63"/>
        <v>0</v>
      </c>
      <c r="M105" s="10">
        <f t="shared" si="64"/>
        <v>0</v>
      </c>
      <c r="N105" s="1">
        <f t="shared" si="65"/>
        <v>28</v>
      </c>
      <c r="O105" s="1">
        <f t="shared" si="50"/>
        <v>0</v>
      </c>
      <c r="P105" s="1">
        <f t="shared" si="66"/>
        <v>78</v>
      </c>
      <c r="Q105" s="3" t="str">
        <f t="shared" si="37"/>
        <v xml:space="preserve"> Color map coordinate y offset (default +- value) </v>
      </c>
      <c r="R105" s="11">
        <f t="shared" si="51"/>
        <v>212</v>
      </c>
      <c r="S105" s="11"/>
      <c r="T105" s="13" t="str">
        <f t="shared" si="52"/>
        <v>D4</v>
      </c>
      <c r="U105" s="14" t="str">
        <f t="shared" si="38"/>
        <v>UpAWB_DROFFSET</v>
      </c>
      <c r="V105" s="13" t="str">
        <f t="shared" si="39"/>
        <v>2</v>
      </c>
      <c r="W105" s="13">
        <f t="shared" si="40"/>
        <v>0</v>
      </c>
      <c r="X105" s="14" t="str">
        <f t="shared" si="41"/>
        <v xml:space="preserve"> Color map coordinate y offset (default +- value) </v>
      </c>
      <c r="Y105" s="1">
        <f t="shared" si="42"/>
        <v>1</v>
      </c>
      <c r="Z105" s="1">
        <f t="shared" si="43"/>
        <v>2</v>
      </c>
      <c r="AA105" s="1">
        <f t="shared" si="69"/>
        <v>0</v>
      </c>
      <c r="AB105" s="1">
        <f t="shared" si="44"/>
        <v>0</v>
      </c>
      <c r="AC105" s="10" t="e">
        <f t="shared" si="45"/>
        <v>#VALUE!</v>
      </c>
      <c r="AD105" s="1" t="e">
        <f t="shared" si="53"/>
        <v>#VALUE!</v>
      </c>
      <c r="AF105" s="3" t="e">
        <f t="shared" si="46"/>
        <v>#VALUE!</v>
      </c>
      <c r="AG105" s="5" t="str">
        <f t="shared" si="47"/>
        <v>UpAWB_DROFFSET)/* Color map coordinate y offset (default +- value) *</v>
      </c>
      <c r="AH105" s="3">
        <f t="shared" si="48"/>
        <v>2</v>
      </c>
      <c r="AI105" s="3">
        <f t="shared" si="49"/>
        <v>0</v>
      </c>
      <c r="AJ105" s="7">
        <f t="shared" si="54"/>
        <v>1</v>
      </c>
    </row>
    <row r="106" spans="1:36" x14ac:dyDescent="0.3">
      <c r="A106" s="15" t="s">
        <v>56</v>
      </c>
      <c r="B106" s="1">
        <f t="shared" si="55"/>
        <v>8</v>
      </c>
      <c r="C106" s="1">
        <f t="shared" si="56"/>
        <v>9</v>
      </c>
      <c r="D106" s="10" t="str">
        <f t="shared" si="57"/>
        <v>2</v>
      </c>
      <c r="E106" s="1">
        <f t="shared" si="58"/>
        <v>11</v>
      </c>
      <c r="F106" s="1">
        <f t="shared" si="59"/>
        <v>0</v>
      </c>
      <c r="G106" s="1">
        <f t="shared" si="60"/>
        <v>24</v>
      </c>
      <c r="H106" s="1">
        <f t="shared" si="67"/>
        <v>24</v>
      </c>
      <c r="I106" s="10" t="str">
        <f t="shared" si="61"/>
        <v>UpAWB_AGC_MIN</v>
      </c>
      <c r="J106" s="1">
        <f t="shared" si="68"/>
        <v>0</v>
      </c>
      <c r="K106" s="1">
        <f t="shared" si="62"/>
        <v>0</v>
      </c>
      <c r="L106" s="1" t="str">
        <f t="shared" si="63"/>
        <v>0</v>
      </c>
      <c r="M106" s="10">
        <f t="shared" si="64"/>
        <v>0</v>
      </c>
      <c r="N106" s="1">
        <f t="shared" si="65"/>
        <v>27</v>
      </c>
      <c r="O106" s="1">
        <f t="shared" si="50"/>
        <v>0</v>
      </c>
      <c r="P106" s="1">
        <f t="shared" si="66"/>
        <v>86</v>
      </c>
      <c r="Q106" s="3" t="str">
        <f t="shared" si="37"/>
        <v xml:space="preserve"> Chroma AGC position for maximum weight (default +- value) </v>
      </c>
      <c r="R106" s="11">
        <f t="shared" si="51"/>
        <v>214</v>
      </c>
      <c r="S106" s="11"/>
      <c r="T106" s="13" t="str">
        <f t="shared" si="52"/>
        <v>D6</v>
      </c>
      <c r="U106" s="14" t="str">
        <f t="shared" si="38"/>
        <v>UpAWB_AGC_MIN</v>
      </c>
      <c r="V106" s="13" t="str">
        <f t="shared" si="39"/>
        <v>2</v>
      </c>
      <c r="W106" s="13">
        <f t="shared" si="40"/>
        <v>0</v>
      </c>
      <c r="X106" s="14" t="str">
        <f t="shared" si="41"/>
        <v xml:space="preserve"> Chroma AGC position for maximum weight (default +- value) </v>
      </c>
      <c r="Y106" s="1">
        <f t="shared" si="42"/>
        <v>1</v>
      </c>
      <c r="Z106" s="1">
        <f t="shared" si="43"/>
        <v>2</v>
      </c>
      <c r="AA106" s="1">
        <f t="shared" si="69"/>
        <v>0</v>
      </c>
      <c r="AB106" s="1">
        <f t="shared" si="44"/>
        <v>0</v>
      </c>
      <c r="AC106" s="10" t="e">
        <f t="shared" si="45"/>
        <v>#VALUE!</v>
      </c>
      <c r="AD106" s="1" t="e">
        <f t="shared" si="53"/>
        <v>#VALUE!</v>
      </c>
      <c r="AF106" s="3" t="e">
        <f t="shared" si="46"/>
        <v>#VALUE!</v>
      </c>
      <c r="AG106" s="5" t="str">
        <f t="shared" si="47"/>
        <v>UpAWB_AGC_MIN)/* Chroma AGC position for maximum weight (default +- value) *</v>
      </c>
      <c r="AH106" s="3">
        <f t="shared" si="48"/>
        <v>2</v>
      </c>
      <c r="AI106" s="3">
        <f t="shared" si="49"/>
        <v>0</v>
      </c>
      <c r="AJ106" s="7">
        <f t="shared" si="54"/>
        <v>1</v>
      </c>
    </row>
    <row r="107" spans="1:36" x14ac:dyDescent="0.3">
      <c r="A107" s="15" t="s">
        <v>113</v>
      </c>
      <c r="B107" s="1">
        <f t="shared" si="55"/>
        <v>8</v>
      </c>
      <c r="C107" s="1">
        <f t="shared" si="56"/>
        <v>9</v>
      </c>
      <c r="D107" s="10" t="str">
        <f t="shared" si="57"/>
        <v>2</v>
      </c>
      <c r="E107" s="1">
        <f t="shared" si="58"/>
        <v>11</v>
      </c>
      <c r="F107" s="1">
        <f t="shared" si="59"/>
        <v>0</v>
      </c>
      <c r="G107" s="1">
        <f t="shared" si="60"/>
        <v>24</v>
      </c>
      <c r="H107" s="1">
        <f t="shared" si="67"/>
        <v>24</v>
      </c>
      <c r="I107" s="10" t="str">
        <f t="shared" si="61"/>
        <v>UpAWB_AGC_MAX</v>
      </c>
      <c r="J107" s="1">
        <f t="shared" si="68"/>
        <v>0</v>
      </c>
      <c r="K107" s="1">
        <f t="shared" si="62"/>
        <v>0</v>
      </c>
      <c r="L107" s="1" t="str">
        <f t="shared" si="63"/>
        <v>0</v>
      </c>
      <c r="M107" s="10">
        <f t="shared" si="64"/>
        <v>0</v>
      </c>
      <c r="N107" s="1">
        <f t="shared" si="65"/>
        <v>27</v>
      </c>
      <c r="O107" s="1">
        <f t="shared" si="50"/>
        <v>0</v>
      </c>
      <c r="P107" s="1">
        <f t="shared" si="66"/>
        <v>86</v>
      </c>
      <c r="Q107" s="3" t="str">
        <f t="shared" si="37"/>
        <v xml:space="preserve"> Chroma AGC position for minimum weight (default +- value) </v>
      </c>
      <c r="R107" s="11">
        <f t="shared" si="51"/>
        <v>216</v>
      </c>
      <c r="S107" s="11"/>
      <c r="T107" s="13" t="str">
        <f t="shared" si="52"/>
        <v>D8</v>
      </c>
      <c r="U107" s="14" t="str">
        <f t="shared" si="38"/>
        <v>UpAWB_AGC_MAX</v>
      </c>
      <c r="V107" s="13" t="str">
        <f t="shared" si="39"/>
        <v>2</v>
      </c>
      <c r="W107" s="13">
        <f t="shared" si="40"/>
        <v>0</v>
      </c>
      <c r="X107" s="14" t="str">
        <f t="shared" si="41"/>
        <v xml:space="preserve"> Chroma AGC position for minimum weight (default +- value) </v>
      </c>
      <c r="Y107" s="1">
        <f t="shared" si="42"/>
        <v>1</v>
      </c>
      <c r="Z107" s="1">
        <f t="shared" si="43"/>
        <v>2</v>
      </c>
      <c r="AA107" s="1">
        <f t="shared" si="69"/>
        <v>0</v>
      </c>
      <c r="AB107" s="1">
        <f t="shared" si="44"/>
        <v>0</v>
      </c>
      <c r="AC107" s="10" t="e">
        <f t="shared" si="45"/>
        <v>#VALUE!</v>
      </c>
      <c r="AD107" s="1" t="e">
        <f t="shared" si="53"/>
        <v>#VALUE!</v>
      </c>
      <c r="AF107" s="3" t="e">
        <f t="shared" si="46"/>
        <v>#VALUE!</v>
      </c>
      <c r="AG107" s="5" t="str">
        <f t="shared" si="47"/>
        <v>UpAWB_AGC_MAX)/* Chroma AGC position for minimum weight (default +- value) *</v>
      </c>
      <c r="AH107" s="3">
        <f t="shared" si="48"/>
        <v>2</v>
      </c>
      <c r="AI107" s="3">
        <f t="shared" si="49"/>
        <v>0</v>
      </c>
      <c r="AJ107" s="7">
        <f t="shared" si="54"/>
        <v>1</v>
      </c>
    </row>
    <row r="108" spans="1:36" x14ac:dyDescent="0.3">
      <c r="A108" s="15" t="s">
        <v>271</v>
      </c>
      <c r="B108" s="1">
        <f t="shared" si="55"/>
        <v>8</v>
      </c>
      <c r="C108" s="1">
        <f t="shared" si="56"/>
        <v>9</v>
      </c>
      <c r="D108" s="10" t="str">
        <f t="shared" si="57"/>
        <v>2</v>
      </c>
      <c r="E108" s="1">
        <f t="shared" si="58"/>
        <v>11</v>
      </c>
      <c r="F108" s="1">
        <f t="shared" si="59"/>
        <v>45</v>
      </c>
      <c r="G108" s="1">
        <f t="shared" si="60"/>
        <v>28</v>
      </c>
      <c r="H108" s="1">
        <f t="shared" si="67"/>
        <v>28</v>
      </c>
      <c r="I108" s="10" t="str">
        <f t="shared" si="61"/>
        <v>UpAWB_WDR_AGC_MIN</v>
      </c>
      <c r="J108" s="1">
        <f t="shared" si="68"/>
        <v>0</v>
      </c>
      <c r="K108" s="1">
        <f t="shared" si="62"/>
        <v>0</v>
      </c>
      <c r="L108" s="1" t="str">
        <f t="shared" si="63"/>
        <v>0</v>
      </c>
      <c r="M108" s="10">
        <f t="shared" si="64"/>
        <v>0</v>
      </c>
      <c r="N108" s="1">
        <f t="shared" si="65"/>
        <v>31</v>
      </c>
      <c r="O108" s="1">
        <f t="shared" si="50"/>
        <v>0</v>
      </c>
      <c r="P108" s="1">
        <f t="shared" si="66"/>
        <v>105</v>
      </c>
      <c r="Q108" s="3" t="str">
        <f t="shared" si="37"/>
        <v xml:space="preserve"> When WDR Mode, Chroma AGC position for maximum weight (default +- value) </v>
      </c>
      <c r="R108" s="11">
        <f t="shared" si="51"/>
        <v>218</v>
      </c>
      <c r="S108" s="11"/>
      <c r="T108" s="13" t="str">
        <f t="shared" si="52"/>
        <v>DA</v>
      </c>
      <c r="U108" s="14" t="str">
        <f t="shared" si="38"/>
        <v>UpAWB_WDR_AGC_MIN</v>
      </c>
      <c r="V108" s="13" t="str">
        <f t="shared" si="39"/>
        <v>2</v>
      </c>
      <c r="W108" s="13">
        <f t="shared" si="40"/>
        <v>0</v>
      </c>
      <c r="X108" s="14" t="str">
        <f t="shared" si="41"/>
        <v xml:space="preserve"> When WDR Mode, Chroma AGC position for maximum weight (default +- value) </v>
      </c>
      <c r="Y108" s="1">
        <f t="shared" si="42"/>
        <v>1</v>
      </c>
      <c r="Z108" s="1">
        <f t="shared" si="43"/>
        <v>2</v>
      </c>
      <c r="AA108" s="1">
        <f t="shared" si="69"/>
        <v>0</v>
      </c>
      <c r="AB108" s="1">
        <f t="shared" si="44"/>
        <v>0</v>
      </c>
      <c r="AC108" s="10" t="e">
        <f t="shared" si="45"/>
        <v>#VALUE!</v>
      </c>
      <c r="AD108" s="1" t="e">
        <f t="shared" si="53"/>
        <v>#VALUE!</v>
      </c>
      <c r="AF108" s="3" t="e">
        <f t="shared" si="46"/>
        <v>#VALUE!</v>
      </c>
      <c r="AG108" s="5" t="str">
        <f t="shared" si="47"/>
        <v>UpAWB_WDR_AGC_MIN)/* When WDR Mode, Chroma AGC position for maximum weight (default +- value) *</v>
      </c>
      <c r="AH108" s="3">
        <f t="shared" si="48"/>
        <v>2</v>
      </c>
      <c r="AI108" s="3">
        <f t="shared" si="49"/>
        <v>0</v>
      </c>
      <c r="AJ108" s="7">
        <f t="shared" si="54"/>
        <v>1</v>
      </c>
    </row>
    <row r="109" spans="1:36" x14ac:dyDescent="0.3">
      <c r="A109" s="15" t="s">
        <v>272</v>
      </c>
      <c r="B109" s="1">
        <f t="shared" si="55"/>
        <v>8</v>
      </c>
      <c r="C109" s="1">
        <f t="shared" si="56"/>
        <v>9</v>
      </c>
      <c r="D109" s="10" t="str">
        <f t="shared" si="57"/>
        <v>2</v>
      </c>
      <c r="E109" s="1">
        <f t="shared" si="58"/>
        <v>11</v>
      </c>
      <c r="F109" s="1">
        <f t="shared" si="59"/>
        <v>45</v>
      </c>
      <c r="G109" s="1">
        <f t="shared" si="60"/>
        <v>28</v>
      </c>
      <c r="H109" s="1">
        <f t="shared" si="67"/>
        <v>28</v>
      </c>
      <c r="I109" s="10" t="str">
        <f t="shared" si="61"/>
        <v>UpAWB_WDR_AGC_MAX</v>
      </c>
      <c r="J109" s="1">
        <f t="shared" si="68"/>
        <v>0</v>
      </c>
      <c r="K109" s="1">
        <f t="shared" si="62"/>
        <v>0</v>
      </c>
      <c r="L109" s="1" t="str">
        <f t="shared" si="63"/>
        <v>0</v>
      </c>
      <c r="M109" s="10">
        <f t="shared" si="64"/>
        <v>0</v>
      </c>
      <c r="N109" s="1">
        <f t="shared" si="65"/>
        <v>31</v>
      </c>
      <c r="O109" s="1">
        <f t="shared" si="50"/>
        <v>0</v>
      </c>
      <c r="P109" s="1">
        <f t="shared" si="66"/>
        <v>105</v>
      </c>
      <c r="Q109" s="3" t="str">
        <f t="shared" si="37"/>
        <v xml:space="preserve"> When WDR Mode, Chroma AGC position for minimum weight (default +- value) </v>
      </c>
      <c r="R109" s="11">
        <f t="shared" si="51"/>
        <v>220</v>
      </c>
      <c r="S109" s="11"/>
      <c r="T109" s="13" t="str">
        <f t="shared" si="52"/>
        <v>DC</v>
      </c>
      <c r="U109" s="14" t="str">
        <f t="shared" si="38"/>
        <v>UpAWB_WDR_AGC_MAX</v>
      </c>
      <c r="V109" s="13" t="str">
        <f t="shared" si="39"/>
        <v>2</v>
      </c>
      <c r="W109" s="13">
        <f t="shared" si="40"/>
        <v>0</v>
      </c>
      <c r="X109" s="14" t="str">
        <f t="shared" si="41"/>
        <v xml:space="preserve"> When WDR Mode, Chroma AGC position for minimum weight (default +- value) </v>
      </c>
      <c r="Y109" s="1">
        <f t="shared" si="42"/>
        <v>1</v>
      </c>
      <c r="Z109" s="1">
        <f t="shared" si="43"/>
        <v>2</v>
      </c>
      <c r="AA109" s="1">
        <f t="shared" si="69"/>
        <v>0</v>
      </c>
      <c r="AB109" s="1">
        <f t="shared" si="44"/>
        <v>0</v>
      </c>
      <c r="AC109" s="10" t="e">
        <f t="shared" si="45"/>
        <v>#VALUE!</v>
      </c>
      <c r="AD109" s="1" t="e">
        <f t="shared" si="53"/>
        <v>#VALUE!</v>
      </c>
      <c r="AF109" s="3" t="e">
        <f t="shared" si="46"/>
        <v>#VALUE!</v>
      </c>
      <c r="AG109" s="5" t="str">
        <f t="shared" si="47"/>
        <v>UpAWB_WDR_AGC_MAX)/* When WDR Mode, Chroma AGC position for minimum weight (default +- value) *</v>
      </c>
      <c r="AH109" s="3">
        <f t="shared" si="48"/>
        <v>2</v>
      </c>
      <c r="AI109" s="3">
        <f t="shared" si="49"/>
        <v>0</v>
      </c>
      <c r="AJ109" s="7">
        <f t="shared" si="54"/>
        <v>1</v>
      </c>
    </row>
    <row r="110" spans="1:36" x14ac:dyDescent="0.3">
      <c r="A110" s="15" t="s">
        <v>57</v>
      </c>
      <c r="B110" s="1">
        <f t="shared" si="55"/>
        <v>8</v>
      </c>
      <c r="C110" s="1">
        <f t="shared" si="56"/>
        <v>9</v>
      </c>
      <c r="D110" s="10" t="str">
        <f t="shared" si="57"/>
        <v>1</v>
      </c>
      <c r="E110" s="1">
        <f t="shared" si="58"/>
        <v>11</v>
      </c>
      <c r="F110" s="1">
        <f t="shared" si="59"/>
        <v>0</v>
      </c>
      <c r="G110" s="1">
        <f t="shared" si="60"/>
        <v>28</v>
      </c>
      <c r="H110" s="1">
        <f t="shared" si="67"/>
        <v>28</v>
      </c>
      <c r="I110" s="10" t="str">
        <f t="shared" si="61"/>
        <v>UpAWB_AGC_WGT_MIN</v>
      </c>
      <c r="J110" s="1">
        <f t="shared" si="68"/>
        <v>0</v>
      </c>
      <c r="K110" s="1">
        <f t="shared" si="62"/>
        <v>0</v>
      </c>
      <c r="L110" s="1" t="str">
        <f t="shared" si="63"/>
        <v>0</v>
      </c>
      <c r="M110" s="10">
        <f t="shared" si="64"/>
        <v>0</v>
      </c>
      <c r="N110" s="1">
        <f t="shared" si="65"/>
        <v>31</v>
      </c>
      <c r="O110" s="1">
        <f t="shared" si="50"/>
        <v>0</v>
      </c>
      <c r="P110" s="1">
        <f t="shared" si="66"/>
        <v>74</v>
      </c>
      <c r="Q110" s="3" t="str">
        <f t="shared" si="37"/>
        <v xml:space="preserve"> Chroma minimum weight (under 0x100(100%)) </v>
      </c>
      <c r="R110" s="11">
        <f t="shared" si="51"/>
        <v>222</v>
      </c>
      <c r="S110" s="11"/>
      <c r="T110" s="13" t="str">
        <f t="shared" si="52"/>
        <v>DE</v>
      </c>
      <c r="U110" s="14" t="str">
        <f t="shared" si="38"/>
        <v>UpAWB_AGC_WGT_MIN</v>
      </c>
      <c r="V110" s="13" t="str">
        <f t="shared" si="39"/>
        <v>1</v>
      </c>
      <c r="W110" s="13">
        <f t="shared" si="40"/>
        <v>0</v>
      </c>
      <c r="X110" s="14" t="str">
        <f t="shared" si="41"/>
        <v xml:space="preserve"> Chroma minimum weight (under 0x100(100%)) </v>
      </c>
      <c r="Y110" s="1">
        <f t="shared" si="42"/>
        <v>1</v>
      </c>
      <c r="Z110" s="1">
        <f t="shared" si="43"/>
        <v>1</v>
      </c>
      <c r="AA110" s="1">
        <f t="shared" si="69"/>
        <v>0</v>
      </c>
      <c r="AB110" s="1">
        <f t="shared" si="44"/>
        <v>0</v>
      </c>
      <c r="AC110" s="10" t="e">
        <f t="shared" si="45"/>
        <v>#VALUE!</v>
      </c>
      <c r="AD110" s="1" t="e">
        <f t="shared" si="53"/>
        <v>#VALUE!</v>
      </c>
      <c r="AF110" s="3" t="e">
        <f t="shared" si="46"/>
        <v>#VALUE!</v>
      </c>
      <c r="AG110" s="5" t="str">
        <f t="shared" si="47"/>
        <v>UpAWB_AGC_WGT_MIN)/* Chroma minimum weight (under 0x100(100%)) *</v>
      </c>
      <c r="AH110" s="3">
        <f t="shared" si="48"/>
        <v>1</v>
      </c>
      <c r="AI110" s="3">
        <f t="shared" si="49"/>
        <v>0</v>
      </c>
      <c r="AJ110" s="7">
        <f t="shared" si="54"/>
        <v>1</v>
      </c>
    </row>
    <row r="111" spans="1:36" x14ac:dyDescent="0.3">
      <c r="A111" s="15" t="s">
        <v>52</v>
      </c>
      <c r="B111" s="1">
        <f t="shared" si="55"/>
        <v>8</v>
      </c>
      <c r="C111" s="1">
        <f t="shared" si="56"/>
        <v>9</v>
      </c>
      <c r="D111" s="10" t="str">
        <f t="shared" si="57"/>
        <v>1</v>
      </c>
      <c r="E111" s="1">
        <f t="shared" si="58"/>
        <v>11</v>
      </c>
      <c r="F111" s="1">
        <f t="shared" si="59"/>
        <v>71</v>
      </c>
      <c r="G111" s="1">
        <f t="shared" si="60"/>
        <v>27</v>
      </c>
      <c r="H111" s="1">
        <f t="shared" si="67"/>
        <v>27</v>
      </c>
      <c r="I111" s="10" t="str">
        <f t="shared" si="61"/>
        <v>UpAWB_SPEED_MTRX</v>
      </c>
      <c r="J111" s="1">
        <f t="shared" si="68"/>
        <v>0</v>
      </c>
      <c r="K111" s="1">
        <f t="shared" si="62"/>
        <v>0</v>
      </c>
      <c r="L111" s="1" t="str">
        <f t="shared" si="63"/>
        <v>0</v>
      </c>
      <c r="M111" s="10">
        <f t="shared" si="64"/>
        <v>0</v>
      </c>
      <c r="N111" s="1">
        <f t="shared" si="65"/>
        <v>30</v>
      </c>
      <c r="O111" s="1">
        <f t="shared" si="50"/>
        <v>0</v>
      </c>
      <c r="P111" s="1">
        <f t="shared" si="66"/>
        <v>83</v>
      </c>
      <c r="Q111" s="3" t="str">
        <f t="shared" si="37"/>
        <v xml:space="preserve"> Matrix tracking speed (Low is high speed, max=0xff) </v>
      </c>
      <c r="R111" s="11">
        <f t="shared" si="51"/>
        <v>223</v>
      </c>
      <c r="S111" s="11"/>
      <c r="T111" s="13" t="str">
        <f t="shared" si="52"/>
        <v>DF</v>
      </c>
      <c r="U111" s="14" t="str">
        <f t="shared" si="38"/>
        <v>UpAWB_SPEED_MTRX</v>
      </c>
      <c r="V111" s="13" t="str">
        <f t="shared" si="39"/>
        <v>1</v>
      </c>
      <c r="W111" s="13">
        <f t="shared" si="40"/>
        <v>0</v>
      </c>
      <c r="X111" s="14" t="str">
        <f t="shared" si="41"/>
        <v xml:space="preserve"> Matrix tracking speed (Low is high speed, max=0xff) </v>
      </c>
      <c r="Y111" s="1">
        <f t="shared" si="42"/>
        <v>1</v>
      </c>
      <c r="Z111" s="1">
        <f t="shared" si="43"/>
        <v>1</v>
      </c>
      <c r="AA111" s="1">
        <f t="shared" si="69"/>
        <v>77</v>
      </c>
      <c r="AB111" s="1" t="str">
        <f t="shared" si="44"/>
        <v>0xff) *</v>
      </c>
      <c r="AC111" s="10" t="str">
        <f t="shared" si="45"/>
        <v>0xff) *</v>
      </c>
      <c r="AD111" s="1" t="e">
        <f t="shared" si="53"/>
        <v>#VALUE!</v>
      </c>
      <c r="AF111" s="3" t="e">
        <f t="shared" si="46"/>
        <v>#VALUE!</v>
      </c>
      <c r="AG111" s="5" t="str">
        <f t="shared" si="47"/>
        <v>UpAWB_SPEED_MTRX)/* Matrix tracking speed (Low is high speed, ma</v>
      </c>
      <c r="AH111" s="3">
        <f t="shared" si="48"/>
        <v>1</v>
      </c>
      <c r="AI111" s="3">
        <f t="shared" si="49"/>
        <v>0</v>
      </c>
      <c r="AJ111" s="7">
        <f t="shared" si="54"/>
        <v>1</v>
      </c>
    </row>
    <row r="112" spans="1:36" x14ac:dyDescent="0.3">
      <c r="A112" s="15" t="s">
        <v>273</v>
      </c>
      <c r="B112" s="1">
        <f t="shared" si="55"/>
        <v>8</v>
      </c>
      <c r="C112" s="1">
        <f t="shared" si="56"/>
        <v>9</v>
      </c>
      <c r="D112" s="10" t="str">
        <f t="shared" si="57"/>
        <v>2</v>
      </c>
      <c r="E112" s="1">
        <f t="shared" si="58"/>
        <v>11</v>
      </c>
      <c r="F112" s="1">
        <f t="shared" si="59"/>
        <v>0</v>
      </c>
      <c r="G112" s="1">
        <f t="shared" si="60"/>
        <v>23</v>
      </c>
      <c r="H112" s="1">
        <f t="shared" si="67"/>
        <v>23</v>
      </c>
      <c r="I112" s="10" t="str">
        <f t="shared" si="61"/>
        <v>UpAWB_YSLICE</v>
      </c>
      <c r="J112" s="1">
        <f t="shared" si="68"/>
        <v>0</v>
      </c>
      <c r="K112" s="1">
        <f t="shared" si="62"/>
        <v>0</v>
      </c>
      <c r="L112" s="1" t="str">
        <f t="shared" si="63"/>
        <v>0</v>
      </c>
      <c r="M112" s="10">
        <f t="shared" si="64"/>
        <v>0</v>
      </c>
      <c r="N112" s="1">
        <f t="shared" si="65"/>
        <v>26</v>
      </c>
      <c r="O112" s="1">
        <f t="shared" si="50"/>
        <v>0</v>
      </c>
      <c r="P112" s="1">
        <f t="shared" si="66"/>
        <v>55</v>
      </c>
      <c r="Q112" s="3" t="str">
        <f t="shared" si="37"/>
        <v xml:space="preserve"> White Y slice (under 0x3ff) </v>
      </c>
      <c r="R112" s="11">
        <f t="shared" si="51"/>
        <v>224</v>
      </c>
      <c r="S112" s="11"/>
      <c r="T112" s="13" t="str">
        <f t="shared" si="52"/>
        <v>E0</v>
      </c>
      <c r="U112" s="14" t="str">
        <f t="shared" si="38"/>
        <v>UpAWB_YSLICE</v>
      </c>
      <c r="V112" s="13" t="str">
        <f t="shared" si="39"/>
        <v>2</v>
      </c>
      <c r="W112" s="13">
        <f t="shared" si="40"/>
        <v>0</v>
      </c>
      <c r="X112" s="14" t="str">
        <f t="shared" si="41"/>
        <v xml:space="preserve"> White Y slice (under 0x3ff) </v>
      </c>
      <c r="Y112" s="1">
        <f t="shared" si="42"/>
        <v>1</v>
      </c>
      <c r="Z112" s="1">
        <f t="shared" si="43"/>
        <v>2</v>
      </c>
      <c r="AA112" s="1">
        <f t="shared" si="69"/>
        <v>0</v>
      </c>
      <c r="AB112" s="1">
        <f t="shared" si="44"/>
        <v>0</v>
      </c>
      <c r="AC112" s="10" t="e">
        <f t="shared" si="45"/>
        <v>#VALUE!</v>
      </c>
      <c r="AD112" s="1" t="e">
        <f t="shared" si="53"/>
        <v>#VALUE!</v>
      </c>
      <c r="AF112" s="3" t="e">
        <f t="shared" si="46"/>
        <v>#VALUE!</v>
      </c>
      <c r="AG112" s="5" t="str">
        <f t="shared" si="47"/>
        <v>UpAWB_YSLICE)/* White Y slice (under 0x3ff) *</v>
      </c>
      <c r="AH112" s="3">
        <f t="shared" si="48"/>
        <v>2</v>
      </c>
      <c r="AI112" s="3">
        <f t="shared" si="49"/>
        <v>0</v>
      </c>
      <c r="AJ112" s="7">
        <f t="shared" si="54"/>
        <v>1</v>
      </c>
    </row>
    <row r="113" spans="1:36" x14ac:dyDescent="0.3">
      <c r="A113" s="15" t="s">
        <v>274</v>
      </c>
      <c r="B113" s="1">
        <f t="shared" si="55"/>
        <v>8</v>
      </c>
      <c r="C113" s="1">
        <f t="shared" si="56"/>
        <v>9</v>
      </c>
      <c r="D113" s="10" t="str">
        <f t="shared" si="57"/>
        <v>2</v>
      </c>
      <c r="E113" s="1">
        <f t="shared" si="58"/>
        <v>11</v>
      </c>
      <c r="F113" s="1">
        <f t="shared" si="59"/>
        <v>51</v>
      </c>
      <c r="G113" s="1">
        <f t="shared" si="60"/>
        <v>22</v>
      </c>
      <c r="H113" s="1">
        <f t="shared" si="67"/>
        <v>22</v>
      </c>
      <c r="I113" s="10" t="str">
        <f t="shared" si="61"/>
        <v>UpAWB_YCLIP</v>
      </c>
      <c r="J113" s="1">
        <f t="shared" si="68"/>
        <v>0</v>
      </c>
      <c r="K113" s="1">
        <f t="shared" si="62"/>
        <v>0</v>
      </c>
      <c r="L113" s="1" t="str">
        <f t="shared" si="63"/>
        <v>0</v>
      </c>
      <c r="M113" s="10">
        <f t="shared" si="64"/>
        <v>0</v>
      </c>
      <c r="N113" s="1">
        <f t="shared" si="65"/>
        <v>25</v>
      </c>
      <c r="O113" s="1">
        <f t="shared" si="50"/>
        <v>0</v>
      </c>
      <c r="P113" s="1">
        <f t="shared" si="66"/>
        <v>77</v>
      </c>
      <c r="Q113" s="3" t="str">
        <f t="shared" si="37"/>
        <v xml:space="preserve"> White Y clip (under 0x3ff, more than UpAWB_YSLICE) </v>
      </c>
      <c r="R113" s="11">
        <f t="shared" si="51"/>
        <v>226</v>
      </c>
      <c r="S113" s="11"/>
      <c r="T113" s="13" t="str">
        <f t="shared" si="52"/>
        <v>E2</v>
      </c>
      <c r="U113" s="14" t="str">
        <f t="shared" si="38"/>
        <v>UpAWB_YCLIP</v>
      </c>
      <c r="V113" s="13" t="str">
        <f t="shared" si="39"/>
        <v>2</v>
      </c>
      <c r="W113" s="13">
        <f t="shared" si="40"/>
        <v>0</v>
      </c>
      <c r="X113" s="14" t="str">
        <f t="shared" si="41"/>
        <v xml:space="preserve"> White Y clip (under 0x3ff, more than UpAWB_YSLICE) </v>
      </c>
      <c r="Y113" s="1">
        <f t="shared" si="42"/>
        <v>1</v>
      </c>
      <c r="Z113" s="1">
        <f t="shared" si="43"/>
        <v>2</v>
      </c>
      <c r="AA113" s="1">
        <f t="shared" si="69"/>
        <v>0</v>
      </c>
      <c r="AB113" s="1">
        <f t="shared" si="44"/>
        <v>0</v>
      </c>
      <c r="AC113" s="10" t="e">
        <f t="shared" si="45"/>
        <v>#VALUE!</v>
      </c>
      <c r="AD113" s="1" t="e">
        <f t="shared" si="53"/>
        <v>#VALUE!</v>
      </c>
      <c r="AF113" s="3" t="e">
        <f t="shared" si="46"/>
        <v>#VALUE!</v>
      </c>
      <c r="AG113" s="5" t="str">
        <f t="shared" si="47"/>
        <v>UpAWB_YCLIP)/* White Y clip (under 0x3ff, more than UpAWB_YSLICE) *</v>
      </c>
      <c r="AH113" s="3">
        <f t="shared" si="48"/>
        <v>2</v>
      </c>
      <c r="AI113" s="3">
        <f t="shared" si="49"/>
        <v>0</v>
      </c>
      <c r="AJ113" s="7">
        <f t="shared" si="54"/>
        <v>1</v>
      </c>
    </row>
    <row r="114" spans="1:36" x14ac:dyDescent="0.3">
      <c r="A114" s="15" t="s">
        <v>58</v>
      </c>
      <c r="B114" s="1">
        <f t="shared" si="55"/>
        <v>8</v>
      </c>
      <c r="C114" s="1">
        <f t="shared" si="56"/>
        <v>9</v>
      </c>
      <c r="D114" s="10" t="str">
        <f t="shared" si="57"/>
        <v>1</v>
      </c>
      <c r="E114" s="1">
        <f t="shared" si="58"/>
        <v>11</v>
      </c>
      <c r="F114" s="1">
        <f t="shared" si="59"/>
        <v>54</v>
      </c>
      <c r="G114" s="1">
        <f t="shared" si="60"/>
        <v>27</v>
      </c>
      <c r="H114" s="1">
        <f t="shared" si="67"/>
        <v>27</v>
      </c>
      <c r="I114" s="10" t="str">
        <f t="shared" si="61"/>
        <v>UpAWB_GAIN_TIMES</v>
      </c>
      <c r="J114" s="1">
        <f t="shared" si="68"/>
        <v>0</v>
      </c>
      <c r="K114" s="1">
        <f t="shared" si="62"/>
        <v>0</v>
      </c>
      <c r="L114" s="1" t="str">
        <f t="shared" si="63"/>
        <v>0</v>
      </c>
      <c r="M114" s="10">
        <f t="shared" si="64"/>
        <v>0</v>
      </c>
      <c r="N114" s="1">
        <f t="shared" si="65"/>
        <v>30</v>
      </c>
      <c r="O114" s="1">
        <f t="shared" si="50"/>
        <v>0</v>
      </c>
      <c r="P114" s="1">
        <f t="shared" si="66"/>
        <v>65</v>
      </c>
      <c r="Q114" s="3" t="str">
        <f t="shared" si="37"/>
        <v xml:space="preserve"> RGB Gain limit (X times, under 4) </v>
      </c>
      <c r="R114" s="11">
        <f t="shared" si="51"/>
        <v>228</v>
      </c>
      <c r="S114" s="11"/>
      <c r="T114" s="13" t="str">
        <f t="shared" si="52"/>
        <v>E4</v>
      </c>
      <c r="U114" s="14" t="str">
        <f t="shared" si="38"/>
        <v>UpAWB_GAIN_TIMES</v>
      </c>
      <c r="V114" s="13" t="str">
        <f t="shared" si="39"/>
        <v>1</v>
      </c>
      <c r="W114" s="13">
        <f t="shared" si="40"/>
        <v>0</v>
      </c>
      <c r="X114" s="14" t="str">
        <f t="shared" si="41"/>
        <v xml:space="preserve"> RGB Gain limit (X times, under 4) </v>
      </c>
      <c r="Y114" s="1">
        <f t="shared" si="42"/>
        <v>1</v>
      </c>
      <c r="Z114" s="1">
        <f t="shared" si="43"/>
        <v>1</v>
      </c>
      <c r="AA114" s="1">
        <f t="shared" si="69"/>
        <v>0</v>
      </c>
      <c r="AB114" s="1">
        <f t="shared" si="44"/>
        <v>0</v>
      </c>
      <c r="AC114" s="10" t="e">
        <f t="shared" si="45"/>
        <v>#VALUE!</v>
      </c>
      <c r="AD114" s="1" t="e">
        <f t="shared" si="53"/>
        <v>#VALUE!</v>
      </c>
      <c r="AF114" s="3" t="e">
        <f t="shared" si="46"/>
        <v>#VALUE!</v>
      </c>
      <c r="AG114" s="5" t="str">
        <f t="shared" si="47"/>
        <v>UpAWB_GAIN_TIMES)/* RGB Gain limit (X times, under 4) *</v>
      </c>
      <c r="AH114" s="3">
        <f t="shared" si="48"/>
        <v>1</v>
      </c>
      <c r="AI114" s="3">
        <f t="shared" si="49"/>
        <v>0</v>
      </c>
      <c r="AJ114" s="7">
        <f t="shared" si="54"/>
        <v>1</v>
      </c>
    </row>
    <row r="115" spans="1:36" x14ac:dyDescent="0.3">
      <c r="A115" s="15" t="s">
        <v>430</v>
      </c>
      <c r="B115" s="1">
        <f t="shared" si="55"/>
        <v>0</v>
      </c>
      <c r="C115" s="1">
        <f t="shared" si="56"/>
        <v>0</v>
      </c>
      <c r="D115" s="10">
        <f t="shared" si="57"/>
        <v>0</v>
      </c>
      <c r="E115" s="1">
        <f t="shared" si="58"/>
        <v>0</v>
      </c>
      <c r="F115" s="1">
        <f t="shared" si="59"/>
        <v>0</v>
      </c>
      <c r="G115" s="1">
        <f t="shared" si="60"/>
        <v>0</v>
      </c>
      <c r="H115" s="1">
        <f t="shared" si="67"/>
        <v>0</v>
      </c>
      <c r="I115" s="10">
        <f t="shared" si="61"/>
        <v>0</v>
      </c>
      <c r="J115" s="1">
        <f t="shared" si="68"/>
        <v>0</v>
      </c>
      <c r="K115" s="1">
        <f t="shared" si="62"/>
        <v>0</v>
      </c>
      <c r="L115" s="1" t="str">
        <f t="shared" si="63"/>
        <v>0</v>
      </c>
      <c r="M115" s="10">
        <f t="shared" si="64"/>
        <v>0</v>
      </c>
      <c r="N115" s="1">
        <f t="shared" si="65"/>
        <v>3</v>
      </c>
      <c r="O115" s="1">
        <f t="shared" si="50"/>
        <v>1</v>
      </c>
      <c r="P115" s="1">
        <f t="shared" si="66"/>
        <v>14</v>
      </c>
      <c r="Q115" s="3" t="str">
        <f t="shared" si="37"/>
        <v>C_TEMP_PAR</v>
      </c>
      <c r="R115" s="11">
        <f t="shared" si="51"/>
        <v>229</v>
      </c>
      <c r="S115" s="11"/>
      <c r="T115" s="13" t="str">
        <f t="shared" si="52"/>
        <v>#</v>
      </c>
      <c r="U115" s="14" t="str">
        <f t="shared" si="38"/>
        <v>C_TEMP_PAR</v>
      </c>
      <c r="V115" s="13">
        <f t="shared" si="39"/>
        <v>1</v>
      </c>
      <c r="W115" s="13">
        <f t="shared" si="40"/>
        <v>0</v>
      </c>
      <c r="X115" s="14" t="str">
        <f t="shared" si="41"/>
        <v>-</v>
      </c>
      <c r="Y115" s="1">
        <f t="shared" si="42"/>
        <v>0</v>
      </c>
      <c r="Z115" s="1">
        <f t="shared" si="43"/>
        <v>1</v>
      </c>
      <c r="AA115" s="1">
        <f t="shared" si="69"/>
        <v>0</v>
      </c>
      <c r="AB115" s="1">
        <f t="shared" si="44"/>
        <v>0</v>
      </c>
      <c r="AC115" s="10" t="e">
        <f t="shared" si="45"/>
        <v>#VALUE!</v>
      </c>
      <c r="AD115" s="1" t="e">
        <f t="shared" si="53"/>
        <v>#VALUE!</v>
      </c>
      <c r="AF115" s="3" t="str">
        <f t="shared" si="46"/>
        <v>0</v>
      </c>
      <c r="AG115" s="5" t="str">
        <f t="shared" si="47"/>
        <v>#C_TEMP_PAR</v>
      </c>
      <c r="AH115" s="3" t="str">
        <f t="shared" si="48"/>
        <v>1</v>
      </c>
      <c r="AI115" s="3" t="str">
        <f t="shared" si="49"/>
        <v>0</v>
      </c>
      <c r="AJ115" s="7">
        <f t="shared" si="54"/>
        <v>1</v>
      </c>
    </row>
    <row r="116" spans="1:36" x14ac:dyDescent="0.3">
      <c r="A116" s="15" t="s">
        <v>431</v>
      </c>
      <c r="B116" s="1">
        <f t="shared" si="55"/>
        <v>8</v>
      </c>
      <c r="C116" s="1">
        <f t="shared" si="56"/>
        <v>9</v>
      </c>
      <c r="D116" s="10" t="str">
        <f t="shared" si="57"/>
        <v>2</v>
      </c>
      <c r="E116" s="1">
        <f t="shared" si="58"/>
        <v>11</v>
      </c>
      <c r="F116" s="1">
        <f t="shared" si="59"/>
        <v>0</v>
      </c>
      <c r="G116" s="1">
        <f t="shared" si="60"/>
        <v>26</v>
      </c>
      <c r="H116" s="1">
        <f t="shared" si="67"/>
        <v>26</v>
      </c>
      <c r="I116" s="10" t="str">
        <f t="shared" si="61"/>
        <v>UpAWB_TEMP_DR_L</v>
      </c>
      <c r="J116" s="1">
        <f t="shared" si="68"/>
        <v>0</v>
      </c>
      <c r="K116" s="1">
        <f t="shared" si="62"/>
        <v>0</v>
      </c>
      <c r="L116" s="1" t="str">
        <f t="shared" si="63"/>
        <v>0</v>
      </c>
      <c r="M116" s="10">
        <f t="shared" si="64"/>
        <v>0</v>
      </c>
      <c r="N116" s="1">
        <f t="shared" si="65"/>
        <v>29</v>
      </c>
      <c r="O116" s="1">
        <f t="shared" si="50"/>
        <v>0</v>
      </c>
      <c r="P116" s="1">
        <f t="shared" si="66"/>
        <v>30</v>
      </c>
      <c r="Q116" s="3" t="str">
        <f t="shared" si="37"/>
        <v xml:space="preserve"> </v>
      </c>
      <c r="R116" s="11">
        <f t="shared" si="51"/>
        <v>229</v>
      </c>
      <c r="S116" s="11"/>
      <c r="T116" s="13" t="str">
        <f t="shared" si="52"/>
        <v>E5</v>
      </c>
      <c r="U116" s="14" t="str">
        <f t="shared" si="38"/>
        <v>UpAWB_TEMP_DR_L</v>
      </c>
      <c r="V116" s="13" t="str">
        <f t="shared" si="39"/>
        <v>2</v>
      </c>
      <c r="W116" s="13">
        <f t="shared" si="40"/>
        <v>0</v>
      </c>
      <c r="X116" s="14" t="str">
        <f t="shared" si="41"/>
        <v xml:space="preserve"> </v>
      </c>
      <c r="Y116" s="1">
        <f t="shared" si="42"/>
        <v>1</v>
      </c>
      <c r="Z116" s="1">
        <f t="shared" si="43"/>
        <v>2</v>
      </c>
      <c r="AA116" s="1">
        <f t="shared" si="69"/>
        <v>0</v>
      </c>
      <c r="AB116" s="1">
        <f t="shared" si="44"/>
        <v>0</v>
      </c>
      <c r="AC116" s="10" t="e">
        <f t="shared" si="45"/>
        <v>#VALUE!</v>
      </c>
      <c r="AD116" s="1" t="e">
        <f t="shared" si="53"/>
        <v>#VALUE!</v>
      </c>
      <c r="AF116" s="3" t="e">
        <f t="shared" si="46"/>
        <v>#VALUE!</v>
      </c>
      <c r="AG116" s="5" t="str">
        <f t="shared" si="47"/>
        <v>UpAWB_TEMP_DR_L)/* *</v>
      </c>
      <c r="AH116" s="3">
        <f t="shared" si="48"/>
        <v>2</v>
      </c>
      <c r="AI116" s="3">
        <f t="shared" si="49"/>
        <v>0</v>
      </c>
      <c r="AJ116" s="7">
        <f t="shared" si="54"/>
        <v>1</v>
      </c>
    </row>
    <row r="117" spans="1:36" x14ac:dyDescent="0.3">
      <c r="A117" s="15" t="s">
        <v>432</v>
      </c>
      <c r="B117" s="1">
        <f t="shared" si="55"/>
        <v>8</v>
      </c>
      <c r="C117" s="1">
        <f t="shared" si="56"/>
        <v>9</v>
      </c>
      <c r="D117" s="10" t="str">
        <f t="shared" si="57"/>
        <v>2</v>
      </c>
      <c r="E117" s="1">
        <f t="shared" si="58"/>
        <v>11</v>
      </c>
      <c r="F117" s="1">
        <f t="shared" si="59"/>
        <v>0</v>
      </c>
      <c r="G117" s="1">
        <f t="shared" si="60"/>
        <v>26</v>
      </c>
      <c r="H117" s="1">
        <f t="shared" si="67"/>
        <v>26</v>
      </c>
      <c r="I117" s="10" t="str">
        <f t="shared" si="61"/>
        <v>UpAWB_TEMP_DR_M</v>
      </c>
      <c r="J117" s="1">
        <f t="shared" si="68"/>
        <v>0</v>
      </c>
      <c r="K117" s="1">
        <f t="shared" si="62"/>
        <v>0</v>
      </c>
      <c r="L117" s="1" t="str">
        <f t="shared" si="63"/>
        <v>0</v>
      </c>
      <c r="M117" s="10">
        <f t="shared" si="64"/>
        <v>0</v>
      </c>
      <c r="N117" s="1">
        <f t="shared" si="65"/>
        <v>29</v>
      </c>
      <c r="O117" s="1">
        <f t="shared" si="50"/>
        <v>0</v>
      </c>
      <c r="P117" s="1">
        <f t="shared" si="66"/>
        <v>30</v>
      </c>
      <c r="Q117" s="3" t="str">
        <f t="shared" si="37"/>
        <v xml:space="preserve"> </v>
      </c>
      <c r="R117" s="11">
        <f t="shared" si="51"/>
        <v>231</v>
      </c>
      <c r="S117" s="11"/>
      <c r="T117" s="13" t="str">
        <f t="shared" si="52"/>
        <v>E7</v>
      </c>
      <c r="U117" s="14" t="str">
        <f t="shared" si="38"/>
        <v>UpAWB_TEMP_DR_M</v>
      </c>
      <c r="V117" s="13" t="str">
        <f t="shared" si="39"/>
        <v>2</v>
      </c>
      <c r="W117" s="13">
        <f t="shared" si="40"/>
        <v>0</v>
      </c>
      <c r="X117" s="14" t="str">
        <f t="shared" si="41"/>
        <v xml:space="preserve"> </v>
      </c>
      <c r="Y117" s="1">
        <f t="shared" si="42"/>
        <v>1</v>
      </c>
      <c r="Z117" s="1">
        <f t="shared" si="43"/>
        <v>2</v>
      </c>
      <c r="AA117" s="1">
        <f t="shared" si="69"/>
        <v>0</v>
      </c>
      <c r="AB117" s="1">
        <f t="shared" si="44"/>
        <v>0</v>
      </c>
      <c r="AC117" s="10" t="e">
        <f t="shared" si="45"/>
        <v>#VALUE!</v>
      </c>
      <c r="AD117" s="1" t="e">
        <f t="shared" si="53"/>
        <v>#VALUE!</v>
      </c>
      <c r="AF117" s="3" t="e">
        <f t="shared" si="46"/>
        <v>#VALUE!</v>
      </c>
      <c r="AG117" s="5" t="str">
        <f t="shared" si="47"/>
        <v>UpAWB_TEMP_DR_M)/* *</v>
      </c>
      <c r="AH117" s="3">
        <f t="shared" si="48"/>
        <v>2</v>
      </c>
      <c r="AI117" s="3">
        <f t="shared" si="49"/>
        <v>0</v>
      </c>
      <c r="AJ117" s="7">
        <f t="shared" si="54"/>
        <v>1</v>
      </c>
    </row>
    <row r="118" spans="1:36" x14ac:dyDescent="0.3">
      <c r="A118" s="15" t="s">
        <v>433</v>
      </c>
      <c r="B118" s="1">
        <f t="shared" si="55"/>
        <v>8</v>
      </c>
      <c r="C118" s="1">
        <f t="shared" si="56"/>
        <v>9</v>
      </c>
      <c r="D118" s="10" t="str">
        <f t="shared" si="57"/>
        <v>2</v>
      </c>
      <c r="E118" s="1">
        <f t="shared" si="58"/>
        <v>11</v>
      </c>
      <c r="F118" s="1">
        <f t="shared" si="59"/>
        <v>0</v>
      </c>
      <c r="G118" s="1">
        <f t="shared" si="60"/>
        <v>26</v>
      </c>
      <c r="H118" s="1">
        <f t="shared" si="67"/>
        <v>26</v>
      </c>
      <c r="I118" s="10" t="str">
        <f t="shared" si="61"/>
        <v>UpAWB_TEMP_DR_H</v>
      </c>
      <c r="J118" s="1">
        <f t="shared" si="68"/>
        <v>0</v>
      </c>
      <c r="K118" s="1">
        <f t="shared" si="62"/>
        <v>0</v>
      </c>
      <c r="L118" s="1" t="str">
        <f t="shared" si="63"/>
        <v>0</v>
      </c>
      <c r="M118" s="10">
        <f t="shared" si="64"/>
        <v>0</v>
      </c>
      <c r="N118" s="1">
        <f t="shared" si="65"/>
        <v>29</v>
      </c>
      <c r="O118" s="1">
        <f t="shared" si="50"/>
        <v>0</v>
      </c>
      <c r="P118" s="1">
        <f t="shared" si="66"/>
        <v>30</v>
      </c>
      <c r="Q118" s="3" t="str">
        <f t="shared" si="37"/>
        <v xml:space="preserve"> </v>
      </c>
      <c r="R118" s="11">
        <f t="shared" si="51"/>
        <v>233</v>
      </c>
      <c r="S118" s="11"/>
      <c r="T118" s="13" t="str">
        <f t="shared" si="52"/>
        <v>E9</v>
      </c>
      <c r="U118" s="14" t="str">
        <f t="shared" si="38"/>
        <v>UpAWB_TEMP_DR_H</v>
      </c>
      <c r="V118" s="13" t="str">
        <f t="shared" si="39"/>
        <v>2</v>
      </c>
      <c r="W118" s="13">
        <f t="shared" si="40"/>
        <v>0</v>
      </c>
      <c r="X118" s="14" t="str">
        <f t="shared" si="41"/>
        <v xml:space="preserve"> </v>
      </c>
      <c r="Y118" s="1">
        <f t="shared" si="42"/>
        <v>1</v>
      </c>
      <c r="Z118" s="1">
        <f t="shared" si="43"/>
        <v>2</v>
      </c>
      <c r="AA118" s="1">
        <f t="shared" si="69"/>
        <v>0</v>
      </c>
      <c r="AB118" s="1">
        <f t="shared" si="44"/>
        <v>0</v>
      </c>
      <c r="AC118" s="10" t="e">
        <f t="shared" si="45"/>
        <v>#VALUE!</v>
      </c>
      <c r="AD118" s="1" t="e">
        <f t="shared" si="53"/>
        <v>#VALUE!</v>
      </c>
      <c r="AF118" s="3" t="e">
        <f t="shared" si="46"/>
        <v>#VALUE!</v>
      </c>
      <c r="AG118" s="5" t="str">
        <f t="shared" si="47"/>
        <v>UpAWB_TEMP_DR_H)/* *</v>
      </c>
      <c r="AH118" s="3">
        <f t="shared" si="48"/>
        <v>2</v>
      </c>
      <c r="AI118" s="3">
        <f t="shared" si="49"/>
        <v>0</v>
      </c>
      <c r="AJ118" s="7">
        <f t="shared" si="54"/>
        <v>1</v>
      </c>
    </row>
    <row r="119" spans="1:36" x14ac:dyDescent="0.3">
      <c r="A119" s="15" t="s">
        <v>434</v>
      </c>
      <c r="B119" s="1">
        <f t="shared" si="55"/>
        <v>8</v>
      </c>
      <c r="C119" s="1">
        <f t="shared" si="56"/>
        <v>9</v>
      </c>
      <c r="D119" s="10" t="str">
        <f t="shared" si="57"/>
        <v>2</v>
      </c>
      <c r="E119" s="1">
        <f t="shared" si="58"/>
        <v>11</v>
      </c>
      <c r="F119" s="1">
        <f t="shared" si="59"/>
        <v>0</v>
      </c>
      <c r="G119" s="1">
        <f t="shared" si="60"/>
        <v>27</v>
      </c>
      <c r="H119" s="1">
        <f t="shared" si="67"/>
        <v>27</v>
      </c>
      <c r="I119" s="10" t="str">
        <f t="shared" si="61"/>
        <v>UpAWB_TEMP_VAL_L</v>
      </c>
      <c r="J119" s="1">
        <f t="shared" si="68"/>
        <v>0</v>
      </c>
      <c r="K119" s="1">
        <f t="shared" si="62"/>
        <v>0</v>
      </c>
      <c r="L119" s="1" t="str">
        <f t="shared" si="63"/>
        <v>0</v>
      </c>
      <c r="M119" s="10">
        <f t="shared" si="64"/>
        <v>0</v>
      </c>
      <c r="N119" s="1">
        <f t="shared" si="65"/>
        <v>30</v>
      </c>
      <c r="O119" s="1">
        <f t="shared" si="50"/>
        <v>0</v>
      </c>
      <c r="P119" s="1">
        <f t="shared" si="66"/>
        <v>31</v>
      </c>
      <c r="Q119" s="3" t="str">
        <f t="shared" si="37"/>
        <v xml:space="preserve"> </v>
      </c>
      <c r="R119" s="11">
        <f t="shared" si="51"/>
        <v>235</v>
      </c>
      <c r="S119" s="11"/>
      <c r="T119" s="13" t="str">
        <f t="shared" si="52"/>
        <v>EB</v>
      </c>
      <c r="U119" s="14" t="str">
        <f t="shared" si="38"/>
        <v>UpAWB_TEMP_VAL_L</v>
      </c>
      <c r="V119" s="13" t="str">
        <f t="shared" si="39"/>
        <v>2</v>
      </c>
      <c r="W119" s="13">
        <f t="shared" si="40"/>
        <v>0</v>
      </c>
      <c r="X119" s="14" t="str">
        <f t="shared" si="41"/>
        <v xml:space="preserve"> </v>
      </c>
      <c r="Y119" s="1">
        <f t="shared" si="42"/>
        <v>1</v>
      </c>
      <c r="Z119" s="1">
        <f t="shared" si="43"/>
        <v>2</v>
      </c>
      <c r="AA119" s="1">
        <f t="shared" si="69"/>
        <v>0</v>
      </c>
      <c r="AB119" s="1">
        <f t="shared" si="44"/>
        <v>0</v>
      </c>
      <c r="AC119" s="10" t="e">
        <f t="shared" si="45"/>
        <v>#VALUE!</v>
      </c>
      <c r="AD119" s="1" t="e">
        <f t="shared" si="53"/>
        <v>#VALUE!</v>
      </c>
      <c r="AF119" s="3" t="e">
        <f t="shared" si="46"/>
        <v>#VALUE!</v>
      </c>
      <c r="AG119" s="5" t="str">
        <f t="shared" si="47"/>
        <v>UpAWB_TEMP_VAL_L)/* *</v>
      </c>
      <c r="AH119" s="3">
        <f t="shared" si="48"/>
        <v>2</v>
      </c>
      <c r="AI119" s="3">
        <f t="shared" si="49"/>
        <v>0</v>
      </c>
      <c r="AJ119" s="7">
        <f t="shared" si="54"/>
        <v>1</v>
      </c>
    </row>
    <row r="120" spans="1:36" x14ac:dyDescent="0.3">
      <c r="A120" s="15" t="s">
        <v>435</v>
      </c>
      <c r="B120" s="1">
        <f t="shared" si="55"/>
        <v>8</v>
      </c>
      <c r="C120" s="1">
        <f t="shared" si="56"/>
        <v>9</v>
      </c>
      <c r="D120" s="10" t="str">
        <f t="shared" si="57"/>
        <v>2</v>
      </c>
      <c r="E120" s="1">
        <f t="shared" si="58"/>
        <v>11</v>
      </c>
      <c r="F120" s="1">
        <f t="shared" si="59"/>
        <v>0</v>
      </c>
      <c r="G120" s="1">
        <f t="shared" si="60"/>
        <v>27</v>
      </c>
      <c r="H120" s="1">
        <f t="shared" si="67"/>
        <v>27</v>
      </c>
      <c r="I120" s="10" t="str">
        <f t="shared" si="61"/>
        <v>UpAWB_TEMP_VAL_M</v>
      </c>
      <c r="J120" s="1">
        <f t="shared" si="68"/>
        <v>0</v>
      </c>
      <c r="K120" s="1">
        <f t="shared" si="62"/>
        <v>0</v>
      </c>
      <c r="L120" s="1" t="str">
        <f t="shared" si="63"/>
        <v>0</v>
      </c>
      <c r="M120" s="10">
        <f t="shared" si="64"/>
        <v>0</v>
      </c>
      <c r="N120" s="1">
        <f t="shared" si="65"/>
        <v>30</v>
      </c>
      <c r="O120" s="1">
        <f t="shared" si="50"/>
        <v>0</v>
      </c>
      <c r="P120" s="1">
        <f t="shared" si="66"/>
        <v>31</v>
      </c>
      <c r="Q120" s="3" t="str">
        <f t="shared" si="37"/>
        <v xml:space="preserve"> </v>
      </c>
      <c r="R120" s="11">
        <f t="shared" si="51"/>
        <v>237</v>
      </c>
      <c r="S120" s="11"/>
      <c r="T120" s="13" t="str">
        <f t="shared" si="52"/>
        <v>ED</v>
      </c>
      <c r="U120" s="14" t="str">
        <f t="shared" si="38"/>
        <v>UpAWB_TEMP_VAL_M</v>
      </c>
      <c r="V120" s="13" t="str">
        <f t="shared" si="39"/>
        <v>2</v>
      </c>
      <c r="W120" s="13">
        <f t="shared" si="40"/>
        <v>0</v>
      </c>
      <c r="X120" s="14" t="str">
        <f t="shared" si="41"/>
        <v xml:space="preserve"> </v>
      </c>
      <c r="Y120" s="1">
        <f t="shared" si="42"/>
        <v>1</v>
      </c>
      <c r="Z120" s="1">
        <f t="shared" si="43"/>
        <v>2</v>
      </c>
      <c r="AA120" s="1">
        <f t="shared" si="69"/>
        <v>0</v>
      </c>
      <c r="AB120" s="1">
        <f t="shared" si="44"/>
        <v>0</v>
      </c>
      <c r="AC120" s="10" t="e">
        <f t="shared" si="45"/>
        <v>#VALUE!</v>
      </c>
      <c r="AD120" s="1" t="e">
        <f t="shared" si="53"/>
        <v>#VALUE!</v>
      </c>
      <c r="AF120" s="3" t="e">
        <f t="shared" si="46"/>
        <v>#VALUE!</v>
      </c>
      <c r="AG120" s="5" t="str">
        <f t="shared" si="47"/>
        <v>UpAWB_TEMP_VAL_M)/* *</v>
      </c>
      <c r="AH120" s="3">
        <f t="shared" si="48"/>
        <v>2</v>
      </c>
      <c r="AI120" s="3">
        <f t="shared" si="49"/>
        <v>0</v>
      </c>
      <c r="AJ120" s="7">
        <f t="shared" si="54"/>
        <v>1</v>
      </c>
    </row>
    <row r="121" spans="1:36" x14ac:dyDescent="0.3">
      <c r="A121" s="15" t="s">
        <v>436</v>
      </c>
      <c r="B121" s="1">
        <f t="shared" si="55"/>
        <v>8</v>
      </c>
      <c r="C121" s="1">
        <f t="shared" si="56"/>
        <v>9</v>
      </c>
      <c r="D121" s="10" t="str">
        <f t="shared" si="57"/>
        <v>2</v>
      </c>
      <c r="E121" s="1">
        <f t="shared" si="58"/>
        <v>11</v>
      </c>
      <c r="F121" s="1">
        <f t="shared" si="59"/>
        <v>0</v>
      </c>
      <c r="G121" s="1">
        <f t="shared" si="60"/>
        <v>27</v>
      </c>
      <c r="H121" s="1">
        <f t="shared" si="67"/>
        <v>27</v>
      </c>
      <c r="I121" s="10" t="str">
        <f t="shared" si="61"/>
        <v>UpAWB_TEMP_VAL_H</v>
      </c>
      <c r="J121" s="1">
        <f t="shared" si="68"/>
        <v>0</v>
      </c>
      <c r="K121" s="1">
        <f t="shared" si="62"/>
        <v>0</v>
      </c>
      <c r="L121" s="1" t="str">
        <f t="shared" si="63"/>
        <v>0</v>
      </c>
      <c r="M121" s="10">
        <f t="shared" si="64"/>
        <v>0</v>
      </c>
      <c r="N121" s="1">
        <f t="shared" si="65"/>
        <v>30</v>
      </c>
      <c r="O121" s="1">
        <f t="shared" si="50"/>
        <v>0</v>
      </c>
      <c r="P121" s="1">
        <f t="shared" si="66"/>
        <v>31</v>
      </c>
      <c r="Q121" s="3" t="str">
        <f t="shared" si="37"/>
        <v xml:space="preserve"> </v>
      </c>
      <c r="R121" s="11">
        <f t="shared" si="51"/>
        <v>239</v>
      </c>
      <c r="S121" s="11"/>
      <c r="T121" s="13" t="str">
        <f t="shared" si="52"/>
        <v>EF</v>
      </c>
      <c r="U121" s="14" t="str">
        <f t="shared" si="38"/>
        <v>UpAWB_TEMP_VAL_H</v>
      </c>
      <c r="V121" s="13" t="str">
        <f t="shared" si="39"/>
        <v>2</v>
      </c>
      <c r="W121" s="13">
        <f t="shared" si="40"/>
        <v>0</v>
      </c>
      <c r="X121" s="14" t="str">
        <f t="shared" si="41"/>
        <v xml:space="preserve"> </v>
      </c>
      <c r="Y121" s="1">
        <f t="shared" si="42"/>
        <v>1</v>
      </c>
      <c r="Z121" s="1">
        <f t="shared" si="43"/>
        <v>2</v>
      </c>
      <c r="AA121" s="1">
        <f t="shared" si="69"/>
        <v>0</v>
      </c>
      <c r="AB121" s="1">
        <f t="shared" si="44"/>
        <v>0</v>
      </c>
      <c r="AC121" s="10" t="e">
        <f t="shared" si="45"/>
        <v>#VALUE!</v>
      </c>
      <c r="AD121" s="1" t="e">
        <f t="shared" si="53"/>
        <v>#VALUE!</v>
      </c>
      <c r="AF121" s="3" t="e">
        <f t="shared" si="46"/>
        <v>#VALUE!</v>
      </c>
      <c r="AG121" s="5" t="str">
        <f t="shared" si="47"/>
        <v>UpAWB_TEMP_VAL_H)/* *</v>
      </c>
      <c r="AH121" s="3">
        <f t="shared" si="48"/>
        <v>2</v>
      </c>
      <c r="AI121" s="3">
        <f t="shared" si="49"/>
        <v>0</v>
      </c>
      <c r="AJ121" s="7">
        <f t="shared" si="54"/>
        <v>1</v>
      </c>
    </row>
    <row r="122" spans="1:36" x14ac:dyDescent="0.3">
      <c r="A122" s="15" t="s">
        <v>275</v>
      </c>
      <c r="B122" s="1">
        <f t="shared" si="55"/>
        <v>8</v>
      </c>
      <c r="C122" s="1">
        <f t="shared" si="56"/>
        <v>9</v>
      </c>
      <c r="D122" s="10" t="str">
        <f t="shared" si="57"/>
        <v>2</v>
      </c>
      <c r="E122" s="1">
        <f t="shared" si="58"/>
        <v>11</v>
      </c>
      <c r="F122" s="1">
        <f t="shared" si="59"/>
        <v>0</v>
      </c>
      <c r="G122" s="1">
        <f t="shared" si="60"/>
        <v>22</v>
      </c>
      <c r="H122" s="1">
        <f t="shared" si="67"/>
        <v>22</v>
      </c>
      <c r="I122" s="10" t="str">
        <f t="shared" si="61"/>
        <v>UpAWB_R_WGT</v>
      </c>
      <c r="J122" s="1">
        <f t="shared" si="68"/>
        <v>0</v>
      </c>
      <c r="K122" s="1">
        <f t="shared" si="62"/>
        <v>0</v>
      </c>
      <c r="L122" s="1" t="str">
        <f t="shared" si="63"/>
        <v>0</v>
      </c>
      <c r="M122" s="10">
        <f t="shared" si="64"/>
        <v>0</v>
      </c>
      <c r="N122" s="1">
        <f t="shared" si="65"/>
        <v>25</v>
      </c>
      <c r="O122" s="1">
        <f t="shared" si="50"/>
        <v>0</v>
      </c>
      <c r="P122" s="1">
        <f t="shared" si="66"/>
        <v>64</v>
      </c>
      <c r="Q122" s="3" t="str">
        <f t="shared" si="37"/>
        <v xml:space="preserve"> Red weight for AWB in Low temperature </v>
      </c>
      <c r="R122" s="11">
        <f t="shared" si="51"/>
        <v>241</v>
      </c>
      <c r="S122" s="11"/>
      <c r="T122" s="13" t="str">
        <f t="shared" si="52"/>
        <v>F1</v>
      </c>
      <c r="U122" s="14" t="str">
        <f t="shared" si="38"/>
        <v>UpAWB_R_WGT</v>
      </c>
      <c r="V122" s="13" t="str">
        <f t="shared" si="39"/>
        <v>2</v>
      </c>
      <c r="W122" s="13">
        <f t="shared" si="40"/>
        <v>0</v>
      </c>
      <c r="X122" s="14" t="str">
        <f t="shared" si="41"/>
        <v xml:space="preserve"> Red weight for AWB in Low temperature </v>
      </c>
      <c r="Y122" s="1">
        <f t="shared" si="42"/>
        <v>1</v>
      </c>
      <c r="Z122" s="1">
        <f t="shared" si="43"/>
        <v>2</v>
      </c>
      <c r="AA122" s="1">
        <f t="shared" si="69"/>
        <v>0</v>
      </c>
      <c r="AB122" s="1">
        <f t="shared" si="44"/>
        <v>0</v>
      </c>
      <c r="AC122" s="10" t="e">
        <f t="shared" si="45"/>
        <v>#VALUE!</v>
      </c>
      <c r="AD122" s="1" t="e">
        <f t="shared" si="53"/>
        <v>#VALUE!</v>
      </c>
      <c r="AF122" s="3" t="e">
        <f t="shared" si="46"/>
        <v>#VALUE!</v>
      </c>
      <c r="AG122" s="5" t="str">
        <f t="shared" si="47"/>
        <v>UpAWB_R_WGT)/* Red weight for AWB in Low temperature *</v>
      </c>
      <c r="AH122" s="3">
        <f t="shared" si="48"/>
        <v>2</v>
      </c>
      <c r="AI122" s="3">
        <f t="shared" si="49"/>
        <v>0</v>
      </c>
      <c r="AJ122" s="7">
        <f t="shared" si="54"/>
        <v>1</v>
      </c>
    </row>
    <row r="123" spans="1:36" x14ac:dyDescent="0.3">
      <c r="A123" s="15" t="s">
        <v>276</v>
      </c>
      <c r="B123" s="1">
        <f t="shared" si="55"/>
        <v>8</v>
      </c>
      <c r="C123" s="1">
        <f t="shared" si="56"/>
        <v>9</v>
      </c>
      <c r="D123" s="10" t="str">
        <f t="shared" si="57"/>
        <v>2</v>
      </c>
      <c r="E123" s="1">
        <f t="shared" si="58"/>
        <v>11</v>
      </c>
      <c r="F123" s="1">
        <f t="shared" si="59"/>
        <v>0</v>
      </c>
      <c r="G123" s="1">
        <f t="shared" si="60"/>
        <v>22</v>
      </c>
      <c r="H123" s="1">
        <f t="shared" si="67"/>
        <v>22</v>
      </c>
      <c r="I123" s="10" t="str">
        <f t="shared" si="61"/>
        <v>UpAWB_G_WGT</v>
      </c>
      <c r="J123" s="1">
        <f t="shared" si="68"/>
        <v>0</v>
      </c>
      <c r="K123" s="1">
        <f t="shared" si="62"/>
        <v>0</v>
      </c>
      <c r="L123" s="1" t="str">
        <f t="shared" si="63"/>
        <v>0</v>
      </c>
      <c r="M123" s="10">
        <f t="shared" si="64"/>
        <v>0</v>
      </c>
      <c r="N123" s="1">
        <f t="shared" si="65"/>
        <v>25</v>
      </c>
      <c r="O123" s="1">
        <f t="shared" si="50"/>
        <v>0</v>
      </c>
      <c r="P123" s="1">
        <f t="shared" si="66"/>
        <v>66</v>
      </c>
      <c r="Q123" s="3" t="str">
        <f t="shared" si="37"/>
        <v xml:space="preserve"> Green weight for AWB in Low temperature </v>
      </c>
      <c r="R123" s="11">
        <f t="shared" si="51"/>
        <v>243</v>
      </c>
      <c r="S123" s="11"/>
      <c r="T123" s="13" t="str">
        <f t="shared" si="52"/>
        <v>F3</v>
      </c>
      <c r="U123" s="14" t="str">
        <f t="shared" si="38"/>
        <v>UpAWB_G_WGT</v>
      </c>
      <c r="V123" s="13" t="str">
        <f t="shared" si="39"/>
        <v>2</v>
      </c>
      <c r="W123" s="13">
        <f t="shared" si="40"/>
        <v>0</v>
      </c>
      <c r="X123" s="14" t="str">
        <f t="shared" si="41"/>
        <v xml:space="preserve"> Green weight for AWB in Low temperature </v>
      </c>
      <c r="Y123" s="1">
        <f t="shared" si="42"/>
        <v>1</v>
      </c>
      <c r="Z123" s="1">
        <f t="shared" si="43"/>
        <v>2</v>
      </c>
      <c r="AA123" s="1">
        <f t="shared" si="69"/>
        <v>0</v>
      </c>
      <c r="AB123" s="1">
        <f t="shared" si="44"/>
        <v>0</v>
      </c>
      <c r="AC123" s="10" t="e">
        <f t="shared" si="45"/>
        <v>#VALUE!</v>
      </c>
      <c r="AD123" s="1" t="e">
        <f t="shared" si="53"/>
        <v>#VALUE!</v>
      </c>
      <c r="AF123" s="3" t="e">
        <f t="shared" si="46"/>
        <v>#VALUE!</v>
      </c>
      <c r="AG123" s="5" t="str">
        <f t="shared" si="47"/>
        <v>UpAWB_G_WGT)/* Green weight for AWB in Low temperature *</v>
      </c>
      <c r="AH123" s="3">
        <f t="shared" si="48"/>
        <v>2</v>
      </c>
      <c r="AI123" s="3">
        <f t="shared" si="49"/>
        <v>0</v>
      </c>
      <c r="AJ123" s="7">
        <f t="shared" si="54"/>
        <v>1</v>
      </c>
    </row>
    <row r="124" spans="1:36" x14ac:dyDescent="0.3">
      <c r="A124" s="15" t="s">
        <v>277</v>
      </c>
      <c r="B124" s="1">
        <f t="shared" si="55"/>
        <v>8</v>
      </c>
      <c r="C124" s="1">
        <f t="shared" si="56"/>
        <v>9</v>
      </c>
      <c r="D124" s="10" t="str">
        <f t="shared" si="57"/>
        <v>2</v>
      </c>
      <c r="E124" s="1">
        <f t="shared" si="58"/>
        <v>11</v>
      </c>
      <c r="F124" s="1">
        <f t="shared" si="59"/>
        <v>0</v>
      </c>
      <c r="G124" s="1">
        <f t="shared" si="60"/>
        <v>22</v>
      </c>
      <c r="H124" s="1">
        <f t="shared" si="67"/>
        <v>22</v>
      </c>
      <c r="I124" s="10" t="str">
        <f t="shared" si="61"/>
        <v>UpAWB_B_WGT</v>
      </c>
      <c r="J124" s="1">
        <f t="shared" si="68"/>
        <v>0</v>
      </c>
      <c r="K124" s="1">
        <f t="shared" si="62"/>
        <v>0</v>
      </c>
      <c r="L124" s="1" t="str">
        <f t="shared" si="63"/>
        <v>0</v>
      </c>
      <c r="M124" s="10">
        <f t="shared" si="64"/>
        <v>0</v>
      </c>
      <c r="N124" s="1">
        <f t="shared" si="65"/>
        <v>25</v>
      </c>
      <c r="O124" s="1">
        <f t="shared" si="50"/>
        <v>0</v>
      </c>
      <c r="P124" s="1">
        <f t="shared" si="66"/>
        <v>65</v>
      </c>
      <c r="Q124" s="3" t="str">
        <f t="shared" si="37"/>
        <v xml:space="preserve"> Blue weight for AWB in Low temperature </v>
      </c>
      <c r="R124" s="11">
        <f t="shared" si="51"/>
        <v>245</v>
      </c>
      <c r="S124" s="11"/>
      <c r="T124" s="13" t="str">
        <f t="shared" si="52"/>
        <v>F5</v>
      </c>
      <c r="U124" s="14" t="str">
        <f t="shared" si="38"/>
        <v>UpAWB_B_WGT</v>
      </c>
      <c r="V124" s="13" t="str">
        <f t="shared" si="39"/>
        <v>2</v>
      </c>
      <c r="W124" s="13">
        <f t="shared" si="40"/>
        <v>0</v>
      </c>
      <c r="X124" s="14" t="str">
        <f t="shared" si="41"/>
        <v xml:space="preserve"> Blue weight for AWB in Low temperature </v>
      </c>
      <c r="Y124" s="1">
        <f t="shared" si="42"/>
        <v>1</v>
      </c>
      <c r="Z124" s="1">
        <f t="shared" si="43"/>
        <v>2</v>
      </c>
      <c r="AA124" s="1">
        <f t="shared" si="69"/>
        <v>0</v>
      </c>
      <c r="AB124" s="1">
        <f t="shared" si="44"/>
        <v>0</v>
      </c>
      <c r="AC124" s="10" t="e">
        <f t="shared" si="45"/>
        <v>#VALUE!</v>
      </c>
      <c r="AD124" s="1" t="e">
        <f t="shared" si="53"/>
        <v>#VALUE!</v>
      </c>
      <c r="AF124" s="3" t="e">
        <f t="shared" si="46"/>
        <v>#VALUE!</v>
      </c>
      <c r="AG124" s="5" t="str">
        <f t="shared" si="47"/>
        <v>UpAWB_B_WGT)/* Blue weight for AWB in Low temperature *</v>
      </c>
      <c r="AH124" s="3">
        <f t="shared" si="48"/>
        <v>2</v>
      </c>
      <c r="AI124" s="3">
        <f t="shared" si="49"/>
        <v>0</v>
      </c>
      <c r="AJ124" s="7">
        <f t="shared" si="54"/>
        <v>1</v>
      </c>
    </row>
    <row r="125" spans="1:36" x14ac:dyDescent="0.3">
      <c r="A125" s="15" t="s">
        <v>414</v>
      </c>
      <c r="B125" s="1">
        <f t="shared" si="55"/>
        <v>8</v>
      </c>
      <c r="C125" s="1">
        <f t="shared" si="56"/>
        <v>9</v>
      </c>
      <c r="D125" s="10" t="str">
        <f t="shared" si="57"/>
        <v>2</v>
      </c>
      <c r="E125" s="1">
        <f t="shared" si="58"/>
        <v>11</v>
      </c>
      <c r="F125" s="1">
        <f t="shared" si="59"/>
        <v>0</v>
      </c>
      <c r="G125" s="1">
        <f t="shared" si="60"/>
        <v>29</v>
      </c>
      <c r="H125" s="1">
        <f t="shared" si="67"/>
        <v>29</v>
      </c>
      <c r="I125" s="10" t="str">
        <f t="shared" si="61"/>
        <v>UpAWB_5000K_AGC_TH</v>
      </c>
      <c r="J125" s="1">
        <f t="shared" si="68"/>
        <v>0</v>
      </c>
      <c r="K125" s="1">
        <f t="shared" si="62"/>
        <v>0</v>
      </c>
      <c r="L125" s="1" t="str">
        <f t="shared" si="63"/>
        <v>0</v>
      </c>
      <c r="M125" s="10">
        <f t="shared" si="64"/>
        <v>0</v>
      </c>
      <c r="N125" s="1">
        <f t="shared" si="65"/>
        <v>32</v>
      </c>
      <c r="O125" s="1">
        <f t="shared" si="50"/>
        <v>0</v>
      </c>
      <c r="P125" s="1">
        <f t="shared" si="66"/>
        <v>33</v>
      </c>
      <c r="Q125" s="3" t="str">
        <f t="shared" si="37"/>
        <v xml:space="preserve"> </v>
      </c>
      <c r="R125" s="11">
        <f t="shared" si="51"/>
        <v>247</v>
      </c>
      <c r="S125" s="11"/>
      <c r="T125" s="13" t="str">
        <f t="shared" si="52"/>
        <v>F7</v>
      </c>
      <c r="U125" s="14" t="str">
        <f t="shared" si="38"/>
        <v>UpAWB_5000K_AGC_TH</v>
      </c>
      <c r="V125" s="13" t="str">
        <f t="shared" si="39"/>
        <v>2</v>
      </c>
      <c r="W125" s="13">
        <f t="shared" si="40"/>
        <v>0</v>
      </c>
      <c r="X125" s="14" t="str">
        <f t="shared" si="41"/>
        <v xml:space="preserve"> </v>
      </c>
      <c r="Y125" s="1">
        <f t="shared" si="42"/>
        <v>1</v>
      </c>
      <c r="Z125" s="1">
        <f t="shared" si="43"/>
        <v>2</v>
      </c>
      <c r="AA125" s="1">
        <f t="shared" si="69"/>
        <v>0</v>
      </c>
      <c r="AB125" s="1">
        <f t="shared" si="44"/>
        <v>0</v>
      </c>
      <c r="AC125" s="10" t="e">
        <f t="shared" si="45"/>
        <v>#VALUE!</v>
      </c>
      <c r="AD125" s="1" t="e">
        <f t="shared" si="53"/>
        <v>#VALUE!</v>
      </c>
      <c r="AF125" s="3" t="e">
        <f t="shared" si="46"/>
        <v>#VALUE!</v>
      </c>
      <c r="AG125" s="5" t="str">
        <f t="shared" si="47"/>
        <v>UpAWB_5000K_AGC_TH)/* *</v>
      </c>
      <c r="AH125" s="3">
        <f t="shared" si="48"/>
        <v>2</v>
      </c>
      <c r="AI125" s="3">
        <f t="shared" si="49"/>
        <v>0</v>
      </c>
      <c r="AJ125" s="7">
        <f t="shared" si="54"/>
        <v>1</v>
      </c>
    </row>
    <row r="126" spans="1:36" x14ac:dyDescent="0.3">
      <c r="A126" s="15" t="s">
        <v>429</v>
      </c>
      <c r="B126" s="1">
        <f t="shared" si="55"/>
        <v>0</v>
      </c>
      <c r="C126" s="1">
        <f t="shared" si="56"/>
        <v>0</v>
      </c>
      <c r="D126" s="10">
        <f t="shared" si="57"/>
        <v>0</v>
      </c>
      <c r="E126" s="1">
        <f t="shared" si="58"/>
        <v>0</v>
      </c>
      <c r="F126" s="1">
        <f t="shared" si="59"/>
        <v>0</v>
      </c>
      <c r="G126" s="1">
        <f t="shared" si="60"/>
        <v>0</v>
      </c>
      <c r="H126" s="1">
        <f t="shared" si="67"/>
        <v>0</v>
      </c>
      <c r="I126" s="10">
        <f t="shared" si="61"/>
        <v>0</v>
      </c>
      <c r="J126" s="1">
        <f t="shared" si="68"/>
        <v>0</v>
      </c>
      <c r="K126" s="1">
        <f t="shared" si="62"/>
        <v>0</v>
      </c>
      <c r="L126" s="1" t="str">
        <f t="shared" si="63"/>
        <v>0</v>
      </c>
      <c r="M126" s="10">
        <f t="shared" si="64"/>
        <v>0</v>
      </c>
      <c r="N126" s="1">
        <f t="shared" si="65"/>
        <v>3</v>
      </c>
      <c r="O126" s="1">
        <f t="shared" si="50"/>
        <v>1</v>
      </c>
      <c r="P126" s="1">
        <f t="shared" si="66"/>
        <v>16</v>
      </c>
      <c r="Q126" s="3" t="str">
        <f t="shared" si="37"/>
        <v>AWB_POST_CCM</v>
      </c>
      <c r="R126" s="11">
        <f t="shared" si="51"/>
        <v>249</v>
      </c>
      <c r="S126" s="11"/>
      <c r="T126" s="13" t="str">
        <f t="shared" si="52"/>
        <v>#</v>
      </c>
      <c r="U126" s="14" t="str">
        <f t="shared" si="38"/>
        <v>AWB_POST_CCM</v>
      </c>
      <c r="V126" s="13">
        <f t="shared" si="39"/>
        <v>1</v>
      </c>
      <c r="W126" s="13">
        <f t="shared" si="40"/>
        <v>0</v>
      </c>
      <c r="X126" s="14" t="str">
        <f t="shared" si="41"/>
        <v>-</v>
      </c>
      <c r="Y126" s="1">
        <f t="shared" si="42"/>
        <v>0</v>
      </c>
      <c r="Z126" s="1">
        <f t="shared" si="43"/>
        <v>2</v>
      </c>
      <c r="AA126" s="1">
        <f t="shared" si="69"/>
        <v>0</v>
      </c>
      <c r="AB126" s="1">
        <f t="shared" si="44"/>
        <v>0</v>
      </c>
      <c r="AC126" s="10" t="e">
        <f t="shared" si="45"/>
        <v>#VALUE!</v>
      </c>
      <c r="AD126" s="1" t="e">
        <f t="shared" si="53"/>
        <v>#VALUE!</v>
      </c>
      <c r="AF126" s="3" t="str">
        <f t="shared" si="46"/>
        <v>0</v>
      </c>
      <c r="AG126" s="5" t="str">
        <f t="shared" si="47"/>
        <v>#AWB_POST_CCM</v>
      </c>
      <c r="AH126" s="3" t="str">
        <f t="shared" si="48"/>
        <v>1</v>
      </c>
      <c r="AI126" s="3" t="str">
        <f t="shared" si="49"/>
        <v>0</v>
      </c>
      <c r="AJ126" s="7">
        <f t="shared" si="54"/>
        <v>1</v>
      </c>
    </row>
    <row r="127" spans="1:36" x14ac:dyDescent="0.3">
      <c r="A127" s="15" t="s">
        <v>437</v>
      </c>
      <c r="B127" s="1">
        <f t="shared" si="55"/>
        <v>8</v>
      </c>
      <c r="C127" s="1">
        <f t="shared" si="56"/>
        <v>9</v>
      </c>
      <c r="D127" s="10" t="str">
        <f t="shared" si="57"/>
        <v>2</v>
      </c>
      <c r="E127" s="1">
        <f t="shared" si="58"/>
        <v>11</v>
      </c>
      <c r="F127" s="1">
        <f t="shared" si="59"/>
        <v>0</v>
      </c>
      <c r="G127" s="1">
        <f t="shared" si="60"/>
        <v>23</v>
      </c>
      <c r="H127" s="1">
        <f t="shared" si="67"/>
        <v>23</v>
      </c>
      <c r="I127" s="10" t="str">
        <f t="shared" si="61"/>
        <v>UpCCM_TEMP_L</v>
      </c>
      <c r="J127" s="1">
        <f t="shared" si="68"/>
        <v>0</v>
      </c>
      <c r="K127" s="1">
        <f t="shared" si="62"/>
        <v>0</v>
      </c>
      <c r="L127" s="1" t="str">
        <f t="shared" si="63"/>
        <v>0</v>
      </c>
      <c r="M127" s="10">
        <f t="shared" si="64"/>
        <v>0</v>
      </c>
      <c r="N127" s="1">
        <f t="shared" si="65"/>
        <v>26</v>
      </c>
      <c r="O127" s="1">
        <f t="shared" si="50"/>
        <v>0</v>
      </c>
      <c r="P127" s="1">
        <f t="shared" si="66"/>
        <v>27</v>
      </c>
      <c r="Q127" s="3" t="str">
        <f t="shared" si="37"/>
        <v xml:space="preserve"> </v>
      </c>
      <c r="R127" s="11">
        <f t="shared" si="51"/>
        <v>249</v>
      </c>
      <c r="S127" s="11"/>
      <c r="T127" s="13" t="str">
        <f t="shared" si="52"/>
        <v>F9</v>
      </c>
      <c r="U127" s="14" t="str">
        <f t="shared" si="38"/>
        <v>UpCCM_TEMP_L</v>
      </c>
      <c r="V127" s="13" t="str">
        <f t="shared" si="39"/>
        <v>2</v>
      </c>
      <c r="W127" s="13">
        <f t="shared" si="40"/>
        <v>0</v>
      </c>
      <c r="X127" s="14" t="str">
        <f t="shared" si="41"/>
        <v xml:space="preserve"> </v>
      </c>
      <c r="Y127" s="1">
        <f t="shared" si="42"/>
        <v>1</v>
      </c>
      <c r="Z127" s="1">
        <f t="shared" si="43"/>
        <v>2</v>
      </c>
      <c r="AA127" s="1">
        <f t="shared" si="69"/>
        <v>0</v>
      </c>
      <c r="AB127" s="1">
        <f t="shared" si="44"/>
        <v>0</v>
      </c>
      <c r="AC127" s="10" t="e">
        <f t="shared" si="45"/>
        <v>#VALUE!</v>
      </c>
      <c r="AD127" s="1" t="e">
        <f t="shared" si="53"/>
        <v>#VALUE!</v>
      </c>
      <c r="AF127" s="3" t="e">
        <f t="shared" si="46"/>
        <v>#VALUE!</v>
      </c>
      <c r="AG127" s="5" t="str">
        <f t="shared" si="47"/>
        <v>UpCCM_TEMP_L)/* *</v>
      </c>
      <c r="AH127" s="3">
        <f t="shared" si="48"/>
        <v>2</v>
      </c>
      <c r="AI127" s="3">
        <f t="shared" si="49"/>
        <v>0</v>
      </c>
      <c r="AJ127" s="7">
        <f t="shared" si="54"/>
        <v>1</v>
      </c>
    </row>
    <row r="128" spans="1:36" x14ac:dyDescent="0.3">
      <c r="A128" s="15" t="s">
        <v>438</v>
      </c>
      <c r="B128" s="1">
        <f t="shared" si="55"/>
        <v>8</v>
      </c>
      <c r="C128" s="1">
        <f t="shared" si="56"/>
        <v>9</v>
      </c>
      <c r="D128" s="10" t="str">
        <f t="shared" si="57"/>
        <v>2</v>
      </c>
      <c r="E128" s="1">
        <f t="shared" si="58"/>
        <v>11</v>
      </c>
      <c r="F128" s="1">
        <f t="shared" si="59"/>
        <v>0</v>
      </c>
      <c r="G128" s="1">
        <f t="shared" si="60"/>
        <v>23</v>
      </c>
      <c r="H128" s="1">
        <f t="shared" si="67"/>
        <v>23</v>
      </c>
      <c r="I128" s="10" t="str">
        <f t="shared" si="61"/>
        <v>UpCCM_TEMP_M</v>
      </c>
      <c r="J128" s="1">
        <f t="shared" si="68"/>
        <v>0</v>
      </c>
      <c r="K128" s="1">
        <f t="shared" si="62"/>
        <v>0</v>
      </c>
      <c r="L128" s="1" t="str">
        <f t="shared" si="63"/>
        <v>0</v>
      </c>
      <c r="M128" s="10">
        <f t="shared" si="64"/>
        <v>0</v>
      </c>
      <c r="N128" s="1">
        <f t="shared" si="65"/>
        <v>26</v>
      </c>
      <c r="O128" s="1">
        <f t="shared" si="50"/>
        <v>0</v>
      </c>
      <c r="P128" s="1">
        <f t="shared" si="66"/>
        <v>27</v>
      </c>
      <c r="Q128" s="3" t="str">
        <f t="shared" si="37"/>
        <v xml:space="preserve"> </v>
      </c>
      <c r="R128" s="11">
        <f t="shared" si="51"/>
        <v>251</v>
      </c>
      <c r="S128" s="11"/>
      <c r="T128" s="13" t="str">
        <f t="shared" si="52"/>
        <v>FB</v>
      </c>
      <c r="U128" s="14" t="str">
        <f t="shared" si="38"/>
        <v>UpCCM_TEMP_M</v>
      </c>
      <c r="V128" s="13" t="str">
        <f t="shared" si="39"/>
        <v>2</v>
      </c>
      <c r="W128" s="13">
        <f t="shared" si="40"/>
        <v>0</v>
      </c>
      <c r="X128" s="14" t="str">
        <f t="shared" si="41"/>
        <v xml:space="preserve"> </v>
      </c>
      <c r="Y128" s="1">
        <f t="shared" si="42"/>
        <v>1</v>
      </c>
      <c r="Z128" s="1">
        <f t="shared" si="43"/>
        <v>2</v>
      </c>
      <c r="AA128" s="1">
        <f t="shared" si="69"/>
        <v>0</v>
      </c>
      <c r="AB128" s="1">
        <f t="shared" si="44"/>
        <v>0</v>
      </c>
      <c r="AC128" s="10" t="e">
        <f t="shared" si="45"/>
        <v>#VALUE!</v>
      </c>
      <c r="AD128" s="1" t="e">
        <f t="shared" si="53"/>
        <v>#VALUE!</v>
      </c>
      <c r="AF128" s="3" t="e">
        <f t="shared" si="46"/>
        <v>#VALUE!</v>
      </c>
      <c r="AG128" s="5" t="str">
        <f t="shared" si="47"/>
        <v>UpCCM_TEMP_M)/* *</v>
      </c>
      <c r="AH128" s="3">
        <f t="shared" si="48"/>
        <v>2</v>
      </c>
      <c r="AI128" s="3">
        <f t="shared" si="49"/>
        <v>0</v>
      </c>
      <c r="AJ128" s="7">
        <f t="shared" si="54"/>
        <v>1</v>
      </c>
    </row>
    <row r="129" spans="1:36" x14ac:dyDescent="0.3">
      <c r="A129" s="15" t="s">
        <v>439</v>
      </c>
      <c r="B129" s="1">
        <f t="shared" si="55"/>
        <v>8</v>
      </c>
      <c r="C129" s="1">
        <f t="shared" si="56"/>
        <v>9</v>
      </c>
      <c r="D129" s="10" t="str">
        <f t="shared" si="57"/>
        <v>2</v>
      </c>
      <c r="E129" s="1">
        <f t="shared" si="58"/>
        <v>11</v>
      </c>
      <c r="F129" s="1">
        <f t="shared" si="59"/>
        <v>0</v>
      </c>
      <c r="G129" s="1">
        <f t="shared" si="60"/>
        <v>23</v>
      </c>
      <c r="H129" s="1">
        <f t="shared" si="67"/>
        <v>23</v>
      </c>
      <c r="I129" s="10" t="str">
        <f t="shared" si="61"/>
        <v>UpCCM_TEMP_H</v>
      </c>
      <c r="J129" s="1">
        <f t="shared" si="68"/>
        <v>0</v>
      </c>
      <c r="K129" s="1">
        <f t="shared" si="62"/>
        <v>0</v>
      </c>
      <c r="L129" s="1" t="str">
        <f t="shared" si="63"/>
        <v>0</v>
      </c>
      <c r="M129" s="10">
        <f t="shared" si="64"/>
        <v>0</v>
      </c>
      <c r="N129" s="1">
        <f t="shared" si="65"/>
        <v>26</v>
      </c>
      <c r="O129" s="1">
        <f t="shared" si="50"/>
        <v>0</v>
      </c>
      <c r="P129" s="1">
        <f t="shared" si="66"/>
        <v>27</v>
      </c>
      <c r="Q129" s="3" t="str">
        <f t="shared" si="37"/>
        <v xml:space="preserve"> </v>
      </c>
      <c r="R129" s="11">
        <f t="shared" si="51"/>
        <v>253</v>
      </c>
      <c r="S129" s="11"/>
      <c r="T129" s="13" t="str">
        <f t="shared" si="52"/>
        <v>FD</v>
      </c>
      <c r="U129" s="14" t="str">
        <f t="shared" si="38"/>
        <v>UpCCM_TEMP_H</v>
      </c>
      <c r="V129" s="13" t="str">
        <f t="shared" si="39"/>
        <v>2</v>
      </c>
      <c r="W129" s="13">
        <f t="shared" si="40"/>
        <v>0</v>
      </c>
      <c r="X129" s="14" t="str">
        <f t="shared" si="41"/>
        <v xml:space="preserve"> </v>
      </c>
      <c r="Y129" s="1">
        <f t="shared" si="42"/>
        <v>1</v>
      </c>
      <c r="Z129" s="1">
        <f t="shared" si="43"/>
        <v>2</v>
      </c>
      <c r="AA129" s="1">
        <f t="shared" si="69"/>
        <v>0</v>
      </c>
      <c r="AB129" s="1">
        <f t="shared" si="44"/>
        <v>0</v>
      </c>
      <c r="AC129" s="10" t="e">
        <f t="shared" si="45"/>
        <v>#VALUE!</v>
      </c>
      <c r="AD129" s="1" t="e">
        <f t="shared" si="53"/>
        <v>#VALUE!</v>
      </c>
      <c r="AF129" s="3" t="e">
        <f t="shared" si="46"/>
        <v>#VALUE!</v>
      </c>
      <c r="AG129" s="5" t="str">
        <f t="shared" si="47"/>
        <v>UpCCM_TEMP_H)/* *</v>
      </c>
      <c r="AH129" s="3">
        <f t="shared" si="48"/>
        <v>2</v>
      </c>
      <c r="AI129" s="3">
        <f t="shared" si="49"/>
        <v>0</v>
      </c>
      <c r="AJ129" s="7">
        <f t="shared" si="54"/>
        <v>1</v>
      </c>
    </row>
    <row r="130" spans="1:36" x14ac:dyDescent="0.3">
      <c r="A130" s="15" t="s">
        <v>440</v>
      </c>
      <c r="B130" s="1">
        <f t="shared" si="55"/>
        <v>8</v>
      </c>
      <c r="C130" s="1">
        <f t="shared" si="56"/>
        <v>9</v>
      </c>
      <c r="D130" s="10" t="str">
        <f t="shared" si="57"/>
        <v>2</v>
      </c>
      <c r="E130" s="1">
        <f t="shared" si="58"/>
        <v>11</v>
      </c>
      <c r="F130" s="1">
        <f t="shared" si="59"/>
        <v>0</v>
      </c>
      <c r="G130" s="1">
        <f t="shared" si="60"/>
        <v>26</v>
      </c>
      <c r="H130" s="1">
        <f t="shared" si="67"/>
        <v>26</v>
      </c>
      <c r="I130" s="10" t="str">
        <f t="shared" si="61"/>
        <v>UpCCM_RR_TEMP_L</v>
      </c>
      <c r="J130" s="1">
        <f t="shared" si="68"/>
        <v>0</v>
      </c>
      <c r="K130" s="1">
        <f t="shared" si="62"/>
        <v>0</v>
      </c>
      <c r="L130" s="1" t="str">
        <f t="shared" si="63"/>
        <v>0</v>
      </c>
      <c r="M130" s="10">
        <f t="shared" si="64"/>
        <v>0</v>
      </c>
      <c r="N130" s="1">
        <f t="shared" si="65"/>
        <v>29</v>
      </c>
      <c r="O130" s="1">
        <f t="shared" si="50"/>
        <v>0</v>
      </c>
      <c r="P130" s="1">
        <f t="shared" si="66"/>
        <v>30</v>
      </c>
      <c r="Q130" s="3" t="str">
        <f t="shared" si="37"/>
        <v xml:space="preserve"> </v>
      </c>
      <c r="R130" s="11">
        <f t="shared" si="51"/>
        <v>255</v>
      </c>
      <c r="S130" s="11"/>
      <c r="T130" s="13" t="str">
        <f t="shared" si="52"/>
        <v>FF</v>
      </c>
      <c r="U130" s="14" t="str">
        <f t="shared" si="38"/>
        <v>UpCCM_RR_TEMP_L</v>
      </c>
      <c r="V130" s="13" t="str">
        <f t="shared" si="39"/>
        <v>2</v>
      </c>
      <c r="W130" s="13">
        <f t="shared" si="40"/>
        <v>0</v>
      </c>
      <c r="X130" s="14" t="str">
        <f t="shared" si="41"/>
        <v xml:space="preserve"> </v>
      </c>
      <c r="Y130" s="1">
        <f t="shared" si="42"/>
        <v>1</v>
      </c>
      <c r="Z130" s="1">
        <f t="shared" si="43"/>
        <v>2</v>
      </c>
      <c r="AA130" s="1">
        <f t="shared" si="69"/>
        <v>0</v>
      </c>
      <c r="AB130" s="1">
        <f t="shared" si="44"/>
        <v>0</v>
      </c>
      <c r="AC130" s="10" t="e">
        <f t="shared" si="45"/>
        <v>#VALUE!</v>
      </c>
      <c r="AD130" s="1" t="e">
        <f t="shared" si="53"/>
        <v>#VALUE!</v>
      </c>
      <c r="AF130" s="3" t="e">
        <f t="shared" si="46"/>
        <v>#VALUE!</v>
      </c>
      <c r="AG130" s="5" t="str">
        <f t="shared" si="47"/>
        <v>UpCCM_RR_TEMP_L)/* *</v>
      </c>
      <c r="AH130" s="3">
        <f t="shared" si="48"/>
        <v>2</v>
      </c>
      <c r="AI130" s="3">
        <f t="shared" si="49"/>
        <v>0</v>
      </c>
      <c r="AJ130" s="7">
        <f t="shared" si="54"/>
        <v>1</v>
      </c>
    </row>
    <row r="131" spans="1:36" x14ac:dyDescent="0.3">
      <c r="A131" s="15" t="s">
        <v>441</v>
      </c>
      <c r="B131" s="1">
        <f t="shared" si="55"/>
        <v>8</v>
      </c>
      <c r="C131" s="1">
        <f t="shared" si="56"/>
        <v>9</v>
      </c>
      <c r="D131" s="10" t="str">
        <f t="shared" si="57"/>
        <v>2</v>
      </c>
      <c r="E131" s="1">
        <f t="shared" si="58"/>
        <v>11</v>
      </c>
      <c r="F131" s="1">
        <f t="shared" si="59"/>
        <v>0</v>
      </c>
      <c r="G131" s="1">
        <f t="shared" si="60"/>
        <v>26</v>
      </c>
      <c r="H131" s="1">
        <f t="shared" si="67"/>
        <v>26</v>
      </c>
      <c r="I131" s="10" t="str">
        <f t="shared" si="61"/>
        <v>UpCCM_RG_TEMP_L</v>
      </c>
      <c r="J131" s="1">
        <f t="shared" si="68"/>
        <v>0</v>
      </c>
      <c r="K131" s="1">
        <f t="shared" si="62"/>
        <v>0</v>
      </c>
      <c r="L131" s="1" t="str">
        <f t="shared" si="63"/>
        <v>0</v>
      </c>
      <c r="M131" s="10">
        <f t="shared" si="64"/>
        <v>0</v>
      </c>
      <c r="N131" s="1">
        <f t="shared" si="65"/>
        <v>29</v>
      </c>
      <c r="O131" s="1">
        <f t="shared" si="50"/>
        <v>0</v>
      </c>
      <c r="P131" s="1">
        <f t="shared" si="66"/>
        <v>30</v>
      </c>
      <c r="Q131" s="3" t="str">
        <f t="shared" si="37"/>
        <v xml:space="preserve"> </v>
      </c>
      <c r="R131" s="11">
        <f t="shared" si="51"/>
        <v>257</v>
      </c>
      <c r="S131" s="11"/>
      <c r="T131" s="13" t="str">
        <f t="shared" si="52"/>
        <v>101</v>
      </c>
      <c r="U131" s="14" t="str">
        <f t="shared" si="38"/>
        <v>UpCCM_RG_TEMP_L</v>
      </c>
      <c r="V131" s="13" t="str">
        <f t="shared" si="39"/>
        <v>2</v>
      </c>
      <c r="W131" s="13">
        <f t="shared" si="40"/>
        <v>0</v>
      </c>
      <c r="X131" s="14" t="str">
        <f t="shared" si="41"/>
        <v xml:space="preserve"> </v>
      </c>
      <c r="Y131" s="1">
        <f t="shared" si="42"/>
        <v>1</v>
      </c>
      <c r="Z131" s="1">
        <f t="shared" si="43"/>
        <v>2</v>
      </c>
      <c r="AA131" s="1">
        <f t="shared" si="69"/>
        <v>0</v>
      </c>
      <c r="AB131" s="1">
        <f t="shared" si="44"/>
        <v>0</v>
      </c>
      <c r="AC131" s="10" t="e">
        <f t="shared" si="45"/>
        <v>#VALUE!</v>
      </c>
      <c r="AD131" s="1" t="e">
        <f t="shared" si="53"/>
        <v>#VALUE!</v>
      </c>
      <c r="AF131" s="3" t="e">
        <f t="shared" si="46"/>
        <v>#VALUE!</v>
      </c>
      <c r="AG131" s="5" t="str">
        <f t="shared" si="47"/>
        <v>UpCCM_RG_TEMP_L)/* *</v>
      </c>
      <c r="AH131" s="3">
        <f t="shared" si="48"/>
        <v>2</v>
      </c>
      <c r="AI131" s="3">
        <f t="shared" si="49"/>
        <v>0</v>
      </c>
      <c r="AJ131" s="7">
        <f t="shared" si="54"/>
        <v>1</v>
      </c>
    </row>
    <row r="132" spans="1:36" x14ac:dyDescent="0.3">
      <c r="A132" s="15" t="s">
        <v>442</v>
      </c>
      <c r="B132" s="1">
        <f t="shared" si="55"/>
        <v>8</v>
      </c>
      <c r="C132" s="1">
        <f t="shared" si="56"/>
        <v>9</v>
      </c>
      <c r="D132" s="10" t="str">
        <f t="shared" si="57"/>
        <v>2</v>
      </c>
      <c r="E132" s="1">
        <f t="shared" si="58"/>
        <v>11</v>
      </c>
      <c r="F132" s="1">
        <f t="shared" si="59"/>
        <v>0</v>
      </c>
      <c r="G132" s="1">
        <f t="shared" si="60"/>
        <v>26</v>
      </c>
      <c r="H132" s="1">
        <f t="shared" si="67"/>
        <v>26</v>
      </c>
      <c r="I132" s="10" t="str">
        <f t="shared" si="61"/>
        <v>UpCCM_RB_TEMP_L</v>
      </c>
      <c r="J132" s="1">
        <f t="shared" si="68"/>
        <v>0</v>
      </c>
      <c r="K132" s="1">
        <f t="shared" si="62"/>
        <v>0</v>
      </c>
      <c r="L132" s="1" t="str">
        <f t="shared" si="63"/>
        <v>0</v>
      </c>
      <c r="M132" s="10">
        <f t="shared" si="64"/>
        <v>0</v>
      </c>
      <c r="N132" s="1">
        <f t="shared" si="65"/>
        <v>29</v>
      </c>
      <c r="O132" s="1">
        <f t="shared" si="50"/>
        <v>0</v>
      </c>
      <c r="P132" s="1">
        <f t="shared" si="66"/>
        <v>30</v>
      </c>
      <c r="Q132" s="3" t="str">
        <f t="shared" ref="Q132:Q195" si="70">IF($N132&gt;0,MID($A132,($N132+$O132),$P132-($N132+$O132)),"")</f>
        <v xml:space="preserve"> </v>
      </c>
      <c r="R132" s="11">
        <f t="shared" si="51"/>
        <v>259</v>
      </c>
      <c r="S132" s="11"/>
      <c r="T132" s="13" t="str">
        <f t="shared" si="52"/>
        <v>103</v>
      </c>
      <c r="U132" s="14" t="str">
        <f t="shared" ref="U132:U195" si="71">IF(A132="",IF(A131="","",$U$1),  IF(B132=0,Q132,I132)  )</f>
        <v>UpCCM_RB_TEMP_L</v>
      </c>
      <c r="V132" s="13" t="str">
        <f t="shared" ref="V132:V195" si="72">IF(U132=$U$1,"",IF(A132="",IF(A131="","",1),  IF(B132=0,1,D132)  ))</f>
        <v>2</v>
      </c>
      <c r="W132" s="13">
        <f t="shared" ref="W132:W195" si="73">IF(U132=$U$1,"",IF(A132="",IF(A131="","",0),  IF(C132=0,0,0)  ))</f>
        <v>0</v>
      </c>
      <c r="X132" s="14" t="str">
        <f t="shared" ref="X132:X186" si="74">IF(U132=$U$1,"",IF(U132="","",IF(B132&gt;0,IF(Q132&lt;&gt;"",Q132,"No description"),"-")))</f>
        <v xml:space="preserve"> </v>
      </c>
      <c r="Y132" s="1">
        <f t="shared" ref="Y132:Y195" si="75">IFERROR(SEARCH("UP_SET",A132),0)</f>
        <v>1</v>
      </c>
      <c r="Z132" s="1">
        <f t="shared" ref="Z132:Z195" si="76">IF(Y132=0,Z131,INT(MID(A132,8,1)))</f>
        <v>2</v>
      </c>
      <c r="AA132" s="1">
        <f t="shared" si="69"/>
        <v>0</v>
      </c>
      <c r="AB132" s="1">
        <f t="shared" ref="AB132:AB195" si="77">IF(AA132=0,0,MID(A132,AA132,LEN(A132)-AA132-1))</f>
        <v>0</v>
      </c>
      <c r="AC132" s="10" t="e">
        <f t="shared" ref="AC132:AC195" si="78">IF(AB132=0,IF(Y132=0,AC131,Z131+AC131),AB132)</f>
        <v>#VALUE!</v>
      </c>
      <c r="AD132" s="1" t="e">
        <f t="shared" si="53"/>
        <v>#VALUE!</v>
      </c>
      <c r="AF132" s="3" t="e">
        <f t="shared" ref="AF132:AF195" si="79">IF(A132="",IF(A131="","",$T$1),IF(Y132=0,"0",AD132))</f>
        <v>#VALUE!</v>
      </c>
      <c r="AG132" s="5" t="str">
        <f t="shared" ref="AG132:AG195" si="80">IF(A132="",IF(A131="","",$U$1),IFERROR(IF(Y132=0,MID(A132,3,LEN(A132)-5),MID(A132,11,IF(AA132=0,LEN(A132)-1-11,AA132-11-2))),"-"))</f>
        <v>UpCCM_RB_TEMP_L)/* *</v>
      </c>
      <c r="AH132" s="3">
        <f t="shared" ref="AH132:AH195" si="81">IF(Y132=0,"1",Z132)</f>
        <v>2</v>
      </c>
      <c r="AI132" s="3">
        <f t="shared" ref="AI132:AI195" si="82">IF(Y132=0,"0",0)</f>
        <v>0</v>
      </c>
      <c r="AJ132" s="7">
        <f t="shared" si="54"/>
        <v>1</v>
      </c>
    </row>
    <row r="133" spans="1:36" x14ac:dyDescent="0.3">
      <c r="A133" s="15" t="s">
        <v>443</v>
      </c>
      <c r="B133" s="1">
        <f t="shared" si="55"/>
        <v>8</v>
      </c>
      <c r="C133" s="1">
        <f t="shared" si="56"/>
        <v>9</v>
      </c>
      <c r="D133" s="10" t="str">
        <f t="shared" si="57"/>
        <v>2</v>
      </c>
      <c r="E133" s="1">
        <f t="shared" si="58"/>
        <v>11</v>
      </c>
      <c r="F133" s="1">
        <f t="shared" si="59"/>
        <v>0</v>
      </c>
      <c r="G133" s="1">
        <f t="shared" si="60"/>
        <v>26</v>
      </c>
      <c r="H133" s="1">
        <f t="shared" si="67"/>
        <v>26</v>
      </c>
      <c r="I133" s="10" t="str">
        <f t="shared" si="61"/>
        <v>UpCCM_GR_TEMP_L</v>
      </c>
      <c r="J133" s="1">
        <f t="shared" si="68"/>
        <v>0</v>
      </c>
      <c r="K133" s="1">
        <f t="shared" si="62"/>
        <v>0</v>
      </c>
      <c r="L133" s="1" t="str">
        <f t="shared" si="63"/>
        <v>0</v>
      </c>
      <c r="M133" s="10">
        <f t="shared" si="64"/>
        <v>0</v>
      </c>
      <c r="N133" s="1">
        <f t="shared" si="65"/>
        <v>29</v>
      </c>
      <c r="O133" s="1">
        <f t="shared" ref="O133:O196" si="83">IFERROR(FIND("#",$A133)+1-N133,0)</f>
        <v>0</v>
      </c>
      <c r="P133" s="1">
        <f t="shared" si="66"/>
        <v>30</v>
      </c>
      <c r="Q133" s="3" t="str">
        <f t="shared" si="70"/>
        <v xml:space="preserve"> </v>
      </c>
      <c r="R133" s="11">
        <f t="shared" ref="R133:R196" si="84">IF(M133&gt;0,M133,D132+R132)</f>
        <v>261</v>
      </c>
      <c r="S133" s="11"/>
      <c r="T133" s="13" t="str">
        <f t="shared" ref="T133:T196" si="85">IF(A133="",IF(A132="","",$T$1),IF(O133=1,"#",IF(B133=0,"*",DEC2HEX(R133))))</f>
        <v>105</v>
      </c>
      <c r="U133" s="14" t="str">
        <f t="shared" si="71"/>
        <v>UpCCM_GR_TEMP_L</v>
      </c>
      <c r="V133" s="13" t="str">
        <f t="shared" si="72"/>
        <v>2</v>
      </c>
      <c r="W133" s="13">
        <f t="shared" si="73"/>
        <v>0</v>
      </c>
      <c r="X133" s="14" t="str">
        <f t="shared" si="74"/>
        <v xml:space="preserve"> </v>
      </c>
      <c r="Y133" s="1">
        <f t="shared" si="75"/>
        <v>1</v>
      </c>
      <c r="Z133" s="1">
        <f t="shared" si="76"/>
        <v>2</v>
      </c>
      <c r="AA133" s="1">
        <f t="shared" si="69"/>
        <v>0</v>
      </c>
      <c r="AB133" s="1">
        <f t="shared" si="77"/>
        <v>0</v>
      </c>
      <c r="AC133" s="10" t="e">
        <f t="shared" si="78"/>
        <v>#VALUE!</v>
      </c>
      <c r="AD133" s="1" t="e">
        <f t="shared" ref="AD133:AD196" si="86">DEC2HEX(AC133)</f>
        <v>#VALUE!</v>
      </c>
      <c r="AF133" s="3" t="e">
        <f t="shared" si="79"/>
        <v>#VALUE!</v>
      </c>
      <c r="AG133" s="5" t="str">
        <f t="shared" si="80"/>
        <v>UpCCM_GR_TEMP_L)/* *</v>
      </c>
      <c r="AH133" s="3">
        <f t="shared" si="81"/>
        <v>2</v>
      </c>
      <c r="AI133" s="3">
        <f t="shared" si="82"/>
        <v>0</v>
      </c>
      <c r="AJ133" s="7">
        <f t="shared" ref="AJ133:AJ196" si="87">IF(LEN(U133)=0,0,IF(U133="END_ID",0,1))</f>
        <v>1</v>
      </c>
    </row>
    <row r="134" spans="1:36" x14ac:dyDescent="0.3">
      <c r="A134" s="15" t="s">
        <v>444</v>
      </c>
      <c r="B134" s="1">
        <f t="shared" si="55"/>
        <v>8</v>
      </c>
      <c r="C134" s="1">
        <f t="shared" si="56"/>
        <v>9</v>
      </c>
      <c r="D134" s="10" t="str">
        <f t="shared" si="57"/>
        <v>2</v>
      </c>
      <c r="E134" s="1">
        <f t="shared" si="58"/>
        <v>11</v>
      </c>
      <c r="F134" s="1">
        <f t="shared" si="59"/>
        <v>0</v>
      </c>
      <c r="G134" s="1">
        <f t="shared" si="60"/>
        <v>26</v>
      </c>
      <c r="H134" s="1">
        <f t="shared" si="67"/>
        <v>26</v>
      </c>
      <c r="I134" s="10" t="str">
        <f t="shared" si="61"/>
        <v>UpCCM_GG_TEMP_L</v>
      </c>
      <c r="J134" s="1">
        <f t="shared" si="68"/>
        <v>0</v>
      </c>
      <c r="K134" s="1">
        <f t="shared" si="62"/>
        <v>0</v>
      </c>
      <c r="L134" s="1" t="str">
        <f t="shared" si="63"/>
        <v>0</v>
      </c>
      <c r="M134" s="10">
        <f t="shared" si="64"/>
        <v>0</v>
      </c>
      <c r="N134" s="1">
        <f t="shared" si="65"/>
        <v>29</v>
      </c>
      <c r="O134" s="1">
        <f t="shared" si="83"/>
        <v>0</v>
      </c>
      <c r="P134" s="1">
        <f t="shared" si="66"/>
        <v>30</v>
      </c>
      <c r="Q134" s="3" t="str">
        <f t="shared" si="70"/>
        <v xml:space="preserve"> </v>
      </c>
      <c r="R134" s="11">
        <f t="shared" si="84"/>
        <v>263</v>
      </c>
      <c r="S134" s="11"/>
      <c r="T134" s="13" t="str">
        <f t="shared" si="85"/>
        <v>107</v>
      </c>
      <c r="U134" s="14" t="str">
        <f t="shared" si="71"/>
        <v>UpCCM_GG_TEMP_L</v>
      </c>
      <c r="V134" s="13" t="str">
        <f t="shared" si="72"/>
        <v>2</v>
      </c>
      <c r="W134" s="13">
        <f t="shared" si="73"/>
        <v>0</v>
      </c>
      <c r="X134" s="14" t="str">
        <f t="shared" si="74"/>
        <v xml:space="preserve"> </v>
      </c>
      <c r="Y134" s="1">
        <f t="shared" si="75"/>
        <v>1</v>
      </c>
      <c r="Z134" s="1">
        <f t="shared" si="76"/>
        <v>2</v>
      </c>
      <c r="AA134" s="1">
        <f t="shared" si="69"/>
        <v>0</v>
      </c>
      <c r="AB134" s="1">
        <f t="shared" si="77"/>
        <v>0</v>
      </c>
      <c r="AC134" s="10" t="e">
        <f t="shared" si="78"/>
        <v>#VALUE!</v>
      </c>
      <c r="AD134" s="1" t="e">
        <f t="shared" si="86"/>
        <v>#VALUE!</v>
      </c>
      <c r="AF134" s="3" t="e">
        <f t="shared" si="79"/>
        <v>#VALUE!</v>
      </c>
      <c r="AG134" s="5" t="str">
        <f t="shared" si="80"/>
        <v>UpCCM_GG_TEMP_L)/* *</v>
      </c>
      <c r="AH134" s="3">
        <f t="shared" si="81"/>
        <v>2</v>
      </c>
      <c r="AI134" s="3">
        <f t="shared" si="82"/>
        <v>0</v>
      </c>
      <c r="AJ134" s="7">
        <f t="shared" si="87"/>
        <v>1</v>
      </c>
    </row>
    <row r="135" spans="1:36" x14ac:dyDescent="0.3">
      <c r="A135" s="15" t="s">
        <v>445</v>
      </c>
      <c r="B135" s="1">
        <f t="shared" ref="B135:B198" si="88">IFERROR(FIND("UP_SET(",$A135)+7,0)</f>
        <v>8</v>
      </c>
      <c r="C135" s="1">
        <f t="shared" ref="C135:C198" si="89">IF($B135&gt;0,FIND(",",$A135,$B135),0)</f>
        <v>9</v>
      </c>
      <c r="D135" s="10" t="str">
        <f t="shared" ref="D135:D198" si="90">IF($B135&gt;0,MID($A135,$B135,$C135-$B135),0)</f>
        <v>2</v>
      </c>
      <c r="E135" s="1">
        <f t="shared" ref="E135:E198" si="91">IF($B135&gt;0,FIND("Up",$A135,$C135),0)</f>
        <v>11</v>
      </c>
      <c r="F135" s="1">
        <f t="shared" ref="F135:F198" si="92">IF($B135&gt;0,IFERROR(FIND(",",$A135,$E135),0),0)</f>
        <v>0</v>
      </c>
      <c r="G135" s="1">
        <f t="shared" ref="G135:G198" si="93">IF($B135&gt;0,FIND(")",$A135,$B135),0)</f>
        <v>26</v>
      </c>
      <c r="H135" s="1">
        <f t="shared" si="67"/>
        <v>26</v>
      </c>
      <c r="I135" s="10" t="str">
        <f t="shared" ref="I135:I198" si="94">IF($B135&gt;0,MID($A135,$E135,$H135-$E135),0)</f>
        <v>UpCCM_GB_TEMP_L</v>
      </c>
      <c r="J135" s="1">
        <f t="shared" si="68"/>
        <v>0</v>
      </c>
      <c r="K135" s="1">
        <f t="shared" ref="K135:K198" si="95">IF(J135&gt;0,MID(A135,J135,G135-J135),0)</f>
        <v>0</v>
      </c>
      <c r="L135" s="1" t="str">
        <f t="shared" ref="L135:L198" si="96">IFERROR(RIGHT(K135,LEN(K135)-FIND("0x",K135)-1),DEC2HEX(K135))</f>
        <v>0</v>
      </c>
      <c r="M135" s="10">
        <f t="shared" ref="M135:M198" si="97">HEX2DEC(L135)</f>
        <v>0</v>
      </c>
      <c r="N135" s="1">
        <f t="shared" ref="N135:N198" si="98">IFERROR(FIND("/*",$A135)+2,0)</f>
        <v>29</v>
      </c>
      <c r="O135" s="1">
        <f t="shared" si="83"/>
        <v>0</v>
      </c>
      <c r="P135" s="1">
        <f t="shared" ref="P135:P198" si="99">IFERROR(FIND("*/",$A135,N135+1),0)</f>
        <v>30</v>
      </c>
      <c r="Q135" s="3" t="str">
        <f t="shared" si="70"/>
        <v xml:space="preserve"> </v>
      </c>
      <c r="R135" s="11">
        <f t="shared" si="84"/>
        <v>265</v>
      </c>
      <c r="S135" s="11"/>
      <c r="T135" s="13" t="str">
        <f t="shared" si="85"/>
        <v>109</v>
      </c>
      <c r="U135" s="14" t="str">
        <f t="shared" si="71"/>
        <v>UpCCM_GB_TEMP_L</v>
      </c>
      <c r="V135" s="13" t="str">
        <f t="shared" si="72"/>
        <v>2</v>
      </c>
      <c r="W135" s="13">
        <f t="shared" si="73"/>
        <v>0</v>
      </c>
      <c r="X135" s="14" t="str">
        <f t="shared" si="74"/>
        <v xml:space="preserve"> </v>
      </c>
      <c r="Y135" s="1">
        <f t="shared" si="75"/>
        <v>1</v>
      </c>
      <c r="Z135" s="1">
        <f t="shared" si="76"/>
        <v>2</v>
      </c>
      <c r="AA135" s="1">
        <f t="shared" si="69"/>
        <v>0</v>
      </c>
      <c r="AB135" s="1">
        <f t="shared" si="77"/>
        <v>0</v>
      </c>
      <c r="AC135" s="10" t="e">
        <f t="shared" si="78"/>
        <v>#VALUE!</v>
      </c>
      <c r="AD135" s="1" t="e">
        <f t="shared" si="86"/>
        <v>#VALUE!</v>
      </c>
      <c r="AF135" s="3" t="e">
        <f t="shared" si="79"/>
        <v>#VALUE!</v>
      </c>
      <c r="AG135" s="5" t="str">
        <f t="shared" si="80"/>
        <v>UpCCM_GB_TEMP_L)/* *</v>
      </c>
      <c r="AH135" s="3">
        <f t="shared" si="81"/>
        <v>2</v>
      </c>
      <c r="AI135" s="3">
        <f t="shared" si="82"/>
        <v>0</v>
      </c>
      <c r="AJ135" s="7">
        <f t="shared" si="87"/>
        <v>1</v>
      </c>
    </row>
    <row r="136" spans="1:36" x14ac:dyDescent="0.3">
      <c r="A136" s="15" t="s">
        <v>446</v>
      </c>
      <c r="B136" s="1">
        <f t="shared" si="88"/>
        <v>8</v>
      </c>
      <c r="C136" s="1">
        <f t="shared" si="89"/>
        <v>9</v>
      </c>
      <c r="D136" s="10" t="str">
        <f t="shared" si="90"/>
        <v>2</v>
      </c>
      <c r="E136" s="1">
        <f t="shared" si="91"/>
        <v>11</v>
      </c>
      <c r="F136" s="1">
        <f t="shared" si="92"/>
        <v>0</v>
      </c>
      <c r="G136" s="1">
        <f t="shared" si="93"/>
        <v>26</v>
      </c>
      <c r="H136" s="1">
        <f t="shared" ref="H136:H199" si="100">IF(AND(F136&gt;0,F136&lt;G136),F136,G136)</f>
        <v>26</v>
      </c>
      <c r="I136" s="10" t="str">
        <f t="shared" si="94"/>
        <v>UpCCM_BR_TEMP_L</v>
      </c>
      <c r="J136" s="1">
        <f t="shared" ref="J136:J199" si="101">IF(AND(F136&gt;0,F136&lt;G136),FIND("=",A136,F136)+1,0)</f>
        <v>0</v>
      </c>
      <c r="K136" s="1">
        <f t="shared" si="95"/>
        <v>0</v>
      </c>
      <c r="L136" s="1" t="str">
        <f t="shared" si="96"/>
        <v>0</v>
      </c>
      <c r="M136" s="10">
        <f t="shared" si="97"/>
        <v>0</v>
      </c>
      <c r="N136" s="1">
        <f t="shared" si="98"/>
        <v>29</v>
      </c>
      <c r="O136" s="1">
        <f t="shared" si="83"/>
        <v>0</v>
      </c>
      <c r="P136" s="1">
        <f t="shared" si="99"/>
        <v>30</v>
      </c>
      <c r="Q136" s="3" t="str">
        <f t="shared" si="70"/>
        <v xml:space="preserve"> </v>
      </c>
      <c r="R136" s="11">
        <f t="shared" si="84"/>
        <v>267</v>
      </c>
      <c r="S136" s="11"/>
      <c r="T136" s="13" t="str">
        <f t="shared" si="85"/>
        <v>10B</v>
      </c>
      <c r="U136" s="14" t="str">
        <f t="shared" si="71"/>
        <v>UpCCM_BR_TEMP_L</v>
      </c>
      <c r="V136" s="13" t="str">
        <f t="shared" si="72"/>
        <v>2</v>
      </c>
      <c r="W136" s="13">
        <f t="shared" si="73"/>
        <v>0</v>
      </c>
      <c r="X136" s="14" t="str">
        <f t="shared" si="74"/>
        <v xml:space="preserve"> </v>
      </c>
      <c r="Y136" s="1">
        <f t="shared" si="75"/>
        <v>1</v>
      </c>
      <c r="Z136" s="1">
        <f t="shared" si="76"/>
        <v>2</v>
      </c>
      <c r="AA136" s="1">
        <f t="shared" si="69"/>
        <v>0</v>
      </c>
      <c r="AB136" s="1">
        <f t="shared" si="77"/>
        <v>0</v>
      </c>
      <c r="AC136" s="10" t="e">
        <f t="shared" si="78"/>
        <v>#VALUE!</v>
      </c>
      <c r="AD136" s="1" t="e">
        <f t="shared" si="86"/>
        <v>#VALUE!</v>
      </c>
      <c r="AF136" s="3" t="e">
        <f t="shared" si="79"/>
        <v>#VALUE!</v>
      </c>
      <c r="AG136" s="5" t="str">
        <f t="shared" si="80"/>
        <v>UpCCM_BR_TEMP_L)/* *</v>
      </c>
      <c r="AH136" s="3">
        <f t="shared" si="81"/>
        <v>2</v>
      </c>
      <c r="AI136" s="3">
        <f t="shared" si="82"/>
        <v>0</v>
      </c>
      <c r="AJ136" s="7">
        <f t="shared" si="87"/>
        <v>1</v>
      </c>
    </row>
    <row r="137" spans="1:36" x14ac:dyDescent="0.3">
      <c r="A137" s="15" t="s">
        <v>447</v>
      </c>
      <c r="B137" s="1">
        <f t="shared" si="88"/>
        <v>8</v>
      </c>
      <c r="C137" s="1">
        <f t="shared" si="89"/>
        <v>9</v>
      </c>
      <c r="D137" s="10" t="str">
        <f t="shared" si="90"/>
        <v>2</v>
      </c>
      <c r="E137" s="1">
        <f t="shared" si="91"/>
        <v>11</v>
      </c>
      <c r="F137" s="1">
        <f t="shared" si="92"/>
        <v>0</v>
      </c>
      <c r="G137" s="1">
        <f t="shared" si="93"/>
        <v>26</v>
      </c>
      <c r="H137" s="1">
        <f t="shared" si="100"/>
        <v>26</v>
      </c>
      <c r="I137" s="10" t="str">
        <f t="shared" si="94"/>
        <v>UpCCM_BG_TEMP_L</v>
      </c>
      <c r="J137" s="1">
        <f t="shared" si="101"/>
        <v>0</v>
      </c>
      <c r="K137" s="1">
        <f t="shared" si="95"/>
        <v>0</v>
      </c>
      <c r="L137" s="1" t="str">
        <f t="shared" si="96"/>
        <v>0</v>
      </c>
      <c r="M137" s="10">
        <f t="shared" si="97"/>
        <v>0</v>
      </c>
      <c r="N137" s="1">
        <f t="shared" si="98"/>
        <v>29</v>
      </c>
      <c r="O137" s="1">
        <f t="shared" si="83"/>
        <v>0</v>
      </c>
      <c r="P137" s="1">
        <f t="shared" si="99"/>
        <v>30</v>
      </c>
      <c r="Q137" s="3" t="str">
        <f t="shared" si="70"/>
        <v xml:space="preserve"> </v>
      </c>
      <c r="R137" s="11">
        <f t="shared" si="84"/>
        <v>269</v>
      </c>
      <c r="S137" s="11"/>
      <c r="T137" s="13" t="str">
        <f t="shared" si="85"/>
        <v>10D</v>
      </c>
      <c r="U137" s="14" t="str">
        <f t="shared" si="71"/>
        <v>UpCCM_BG_TEMP_L</v>
      </c>
      <c r="V137" s="13" t="str">
        <f t="shared" si="72"/>
        <v>2</v>
      </c>
      <c r="W137" s="13">
        <f t="shared" si="73"/>
        <v>0</v>
      </c>
      <c r="X137" s="14" t="str">
        <f t="shared" si="74"/>
        <v xml:space="preserve"> </v>
      </c>
      <c r="Y137" s="1">
        <f t="shared" si="75"/>
        <v>1</v>
      </c>
      <c r="Z137" s="1">
        <f t="shared" si="76"/>
        <v>2</v>
      </c>
      <c r="AA137" s="1">
        <f t="shared" si="69"/>
        <v>0</v>
      </c>
      <c r="AB137" s="1">
        <f t="shared" si="77"/>
        <v>0</v>
      </c>
      <c r="AC137" s="10" t="e">
        <f t="shared" si="78"/>
        <v>#VALUE!</v>
      </c>
      <c r="AD137" s="1" t="e">
        <f t="shared" si="86"/>
        <v>#VALUE!</v>
      </c>
      <c r="AF137" s="3" t="e">
        <f t="shared" si="79"/>
        <v>#VALUE!</v>
      </c>
      <c r="AG137" s="5" t="str">
        <f t="shared" si="80"/>
        <v>UpCCM_BG_TEMP_L)/* *</v>
      </c>
      <c r="AH137" s="3">
        <f t="shared" si="81"/>
        <v>2</v>
      </c>
      <c r="AI137" s="3">
        <f t="shared" si="82"/>
        <v>0</v>
      </c>
      <c r="AJ137" s="7">
        <f t="shared" si="87"/>
        <v>1</v>
      </c>
    </row>
    <row r="138" spans="1:36" x14ac:dyDescent="0.3">
      <c r="A138" s="15" t="s">
        <v>448</v>
      </c>
      <c r="B138" s="1">
        <f t="shared" si="88"/>
        <v>8</v>
      </c>
      <c r="C138" s="1">
        <f t="shared" si="89"/>
        <v>9</v>
      </c>
      <c r="D138" s="10" t="str">
        <f t="shared" si="90"/>
        <v>2</v>
      </c>
      <c r="E138" s="1">
        <f t="shared" si="91"/>
        <v>11</v>
      </c>
      <c r="F138" s="1">
        <f t="shared" si="92"/>
        <v>0</v>
      </c>
      <c r="G138" s="1">
        <f t="shared" si="93"/>
        <v>26</v>
      </c>
      <c r="H138" s="1">
        <f t="shared" si="100"/>
        <v>26</v>
      </c>
      <c r="I138" s="10" t="str">
        <f t="shared" si="94"/>
        <v>UpCCM_BB_TEMP_L</v>
      </c>
      <c r="J138" s="1">
        <f t="shared" si="101"/>
        <v>0</v>
      </c>
      <c r="K138" s="1">
        <f t="shared" si="95"/>
        <v>0</v>
      </c>
      <c r="L138" s="1" t="str">
        <f t="shared" si="96"/>
        <v>0</v>
      </c>
      <c r="M138" s="10">
        <f t="shared" si="97"/>
        <v>0</v>
      </c>
      <c r="N138" s="1">
        <f t="shared" si="98"/>
        <v>29</v>
      </c>
      <c r="O138" s="1">
        <f t="shared" si="83"/>
        <v>0</v>
      </c>
      <c r="P138" s="1">
        <f t="shared" si="99"/>
        <v>30</v>
      </c>
      <c r="Q138" s="3" t="str">
        <f t="shared" si="70"/>
        <v xml:space="preserve"> </v>
      </c>
      <c r="R138" s="11">
        <f t="shared" si="84"/>
        <v>271</v>
      </c>
      <c r="S138" s="11"/>
      <c r="T138" s="13" t="str">
        <f t="shared" si="85"/>
        <v>10F</v>
      </c>
      <c r="U138" s="14" t="str">
        <f t="shared" si="71"/>
        <v>UpCCM_BB_TEMP_L</v>
      </c>
      <c r="V138" s="13" t="str">
        <f t="shared" si="72"/>
        <v>2</v>
      </c>
      <c r="W138" s="13">
        <f t="shared" si="73"/>
        <v>0</v>
      </c>
      <c r="X138" s="14" t="str">
        <f t="shared" si="74"/>
        <v xml:space="preserve"> </v>
      </c>
      <c r="Y138" s="1">
        <f t="shared" si="75"/>
        <v>1</v>
      </c>
      <c r="Z138" s="1">
        <f t="shared" si="76"/>
        <v>2</v>
      </c>
      <c r="AA138" s="1">
        <f t="shared" si="69"/>
        <v>0</v>
      </c>
      <c r="AB138" s="1">
        <f t="shared" si="77"/>
        <v>0</v>
      </c>
      <c r="AC138" s="10" t="e">
        <f t="shared" si="78"/>
        <v>#VALUE!</v>
      </c>
      <c r="AD138" s="1" t="e">
        <f t="shared" si="86"/>
        <v>#VALUE!</v>
      </c>
      <c r="AF138" s="3" t="e">
        <f t="shared" si="79"/>
        <v>#VALUE!</v>
      </c>
      <c r="AG138" s="5" t="str">
        <f t="shared" si="80"/>
        <v>UpCCM_BB_TEMP_L)/* *</v>
      </c>
      <c r="AH138" s="3">
        <f t="shared" si="81"/>
        <v>2</v>
      </c>
      <c r="AI138" s="3">
        <f t="shared" si="82"/>
        <v>0</v>
      </c>
      <c r="AJ138" s="7">
        <f t="shared" si="87"/>
        <v>1</v>
      </c>
    </row>
    <row r="139" spans="1:36" x14ac:dyDescent="0.3">
      <c r="A139" s="15" t="s">
        <v>449</v>
      </c>
      <c r="B139" s="1">
        <f t="shared" si="88"/>
        <v>8</v>
      </c>
      <c r="C139" s="1">
        <f t="shared" si="89"/>
        <v>9</v>
      </c>
      <c r="D139" s="10" t="str">
        <f t="shared" si="90"/>
        <v>2</v>
      </c>
      <c r="E139" s="1">
        <f t="shared" si="91"/>
        <v>11</v>
      </c>
      <c r="F139" s="1">
        <f t="shared" si="92"/>
        <v>0</v>
      </c>
      <c r="G139" s="1">
        <f t="shared" si="93"/>
        <v>26</v>
      </c>
      <c r="H139" s="1">
        <f t="shared" si="100"/>
        <v>26</v>
      </c>
      <c r="I139" s="10" t="str">
        <f t="shared" si="94"/>
        <v>UpCCM_RR_TEMP_M</v>
      </c>
      <c r="J139" s="1">
        <f t="shared" si="101"/>
        <v>0</v>
      </c>
      <c r="K139" s="1">
        <f t="shared" si="95"/>
        <v>0</v>
      </c>
      <c r="L139" s="1" t="str">
        <f t="shared" si="96"/>
        <v>0</v>
      </c>
      <c r="M139" s="10">
        <f t="shared" si="97"/>
        <v>0</v>
      </c>
      <c r="N139" s="1">
        <f t="shared" si="98"/>
        <v>29</v>
      </c>
      <c r="O139" s="1">
        <f t="shared" si="83"/>
        <v>0</v>
      </c>
      <c r="P139" s="1">
        <f t="shared" si="99"/>
        <v>30</v>
      </c>
      <c r="Q139" s="3" t="str">
        <f t="shared" si="70"/>
        <v xml:space="preserve"> </v>
      </c>
      <c r="R139" s="11">
        <f t="shared" si="84"/>
        <v>273</v>
      </c>
      <c r="S139" s="11"/>
      <c r="T139" s="13" t="str">
        <f t="shared" si="85"/>
        <v>111</v>
      </c>
      <c r="U139" s="14" t="str">
        <f t="shared" si="71"/>
        <v>UpCCM_RR_TEMP_M</v>
      </c>
      <c r="V139" s="13" t="str">
        <f t="shared" si="72"/>
        <v>2</v>
      </c>
      <c r="W139" s="13">
        <f t="shared" si="73"/>
        <v>0</v>
      </c>
      <c r="X139" s="14" t="str">
        <f t="shared" si="74"/>
        <v xml:space="preserve"> </v>
      </c>
      <c r="Y139" s="1">
        <f t="shared" si="75"/>
        <v>1</v>
      </c>
      <c r="Z139" s="1">
        <f t="shared" si="76"/>
        <v>2</v>
      </c>
      <c r="AA139" s="1">
        <f t="shared" si="69"/>
        <v>0</v>
      </c>
      <c r="AB139" s="1">
        <f t="shared" si="77"/>
        <v>0</v>
      </c>
      <c r="AC139" s="10" t="e">
        <f t="shared" si="78"/>
        <v>#VALUE!</v>
      </c>
      <c r="AD139" s="1" t="e">
        <f t="shared" si="86"/>
        <v>#VALUE!</v>
      </c>
      <c r="AF139" s="3" t="e">
        <f t="shared" si="79"/>
        <v>#VALUE!</v>
      </c>
      <c r="AG139" s="5" t="str">
        <f t="shared" si="80"/>
        <v>UpCCM_RR_TEMP_M)/* *</v>
      </c>
      <c r="AH139" s="3">
        <f t="shared" si="81"/>
        <v>2</v>
      </c>
      <c r="AI139" s="3">
        <f t="shared" si="82"/>
        <v>0</v>
      </c>
      <c r="AJ139" s="7">
        <f t="shared" si="87"/>
        <v>1</v>
      </c>
    </row>
    <row r="140" spans="1:36" x14ac:dyDescent="0.3">
      <c r="A140" s="15" t="s">
        <v>450</v>
      </c>
      <c r="B140" s="1">
        <f t="shared" si="88"/>
        <v>8</v>
      </c>
      <c r="C140" s="1">
        <f t="shared" si="89"/>
        <v>9</v>
      </c>
      <c r="D140" s="10" t="str">
        <f t="shared" si="90"/>
        <v>2</v>
      </c>
      <c r="E140" s="1">
        <f t="shared" si="91"/>
        <v>11</v>
      </c>
      <c r="F140" s="1">
        <f t="shared" si="92"/>
        <v>0</v>
      </c>
      <c r="G140" s="1">
        <f t="shared" si="93"/>
        <v>26</v>
      </c>
      <c r="H140" s="1">
        <f t="shared" si="100"/>
        <v>26</v>
      </c>
      <c r="I140" s="10" t="str">
        <f t="shared" si="94"/>
        <v>UpCCM_RG_TEMP_M</v>
      </c>
      <c r="J140" s="1">
        <f t="shared" si="101"/>
        <v>0</v>
      </c>
      <c r="K140" s="1">
        <f t="shared" si="95"/>
        <v>0</v>
      </c>
      <c r="L140" s="1" t="str">
        <f t="shared" si="96"/>
        <v>0</v>
      </c>
      <c r="M140" s="10">
        <f t="shared" si="97"/>
        <v>0</v>
      </c>
      <c r="N140" s="1">
        <f t="shared" si="98"/>
        <v>29</v>
      </c>
      <c r="O140" s="1">
        <f t="shared" si="83"/>
        <v>0</v>
      </c>
      <c r="P140" s="1">
        <f t="shared" si="99"/>
        <v>30</v>
      </c>
      <c r="Q140" s="3" t="str">
        <f t="shared" si="70"/>
        <v xml:space="preserve"> </v>
      </c>
      <c r="R140" s="11">
        <f t="shared" si="84"/>
        <v>275</v>
      </c>
      <c r="S140" s="11"/>
      <c r="T140" s="13" t="str">
        <f t="shared" si="85"/>
        <v>113</v>
      </c>
      <c r="U140" s="14" t="str">
        <f t="shared" si="71"/>
        <v>UpCCM_RG_TEMP_M</v>
      </c>
      <c r="V140" s="13" t="str">
        <f t="shared" si="72"/>
        <v>2</v>
      </c>
      <c r="W140" s="13">
        <f t="shared" si="73"/>
        <v>0</v>
      </c>
      <c r="X140" s="14" t="str">
        <f t="shared" si="74"/>
        <v xml:space="preserve"> </v>
      </c>
      <c r="Y140" s="1">
        <f t="shared" si="75"/>
        <v>1</v>
      </c>
      <c r="Z140" s="1">
        <f t="shared" si="76"/>
        <v>2</v>
      </c>
      <c r="AA140" s="1">
        <f t="shared" si="69"/>
        <v>0</v>
      </c>
      <c r="AB140" s="1">
        <f t="shared" si="77"/>
        <v>0</v>
      </c>
      <c r="AC140" s="10" t="e">
        <f t="shared" si="78"/>
        <v>#VALUE!</v>
      </c>
      <c r="AD140" s="1" t="e">
        <f t="shared" si="86"/>
        <v>#VALUE!</v>
      </c>
      <c r="AF140" s="3" t="e">
        <f t="shared" si="79"/>
        <v>#VALUE!</v>
      </c>
      <c r="AG140" s="5" t="str">
        <f t="shared" si="80"/>
        <v>UpCCM_RG_TEMP_M)/* *</v>
      </c>
      <c r="AH140" s="3">
        <f t="shared" si="81"/>
        <v>2</v>
      </c>
      <c r="AI140" s="3">
        <f t="shared" si="82"/>
        <v>0</v>
      </c>
      <c r="AJ140" s="7">
        <f t="shared" si="87"/>
        <v>1</v>
      </c>
    </row>
    <row r="141" spans="1:36" x14ac:dyDescent="0.3">
      <c r="A141" s="15" t="s">
        <v>451</v>
      </c>
      <c r="B141" s="1">
        <f t="shared" si="88"/>
        <v>8</v>
      </c>
      <c r="C141" s="1">
        <f t="shared" si="89"/>
        <v>9</v>
      </c>
      <c r="D141" s="10" t="str">
        <f t="shared" si="90"/>
        <v>2</v>
      </c>
      <c r="E141" s="1">
        <f t="shared" si="91"/>
        <v>11</v>
      </c>
      <c r="F141" s="1">
        <f t="shared" si="92"/>
        <v>0</v>
      </c>
      <c r="G141" s="1">
        <f t="shared" si="93"/>
        <v>26</v>
      </c>
      <c r="H141" s="1">
        <f t="shared" si="100"/>
        <v>26</v>
      </c>
      <c r="I141" s="10" t="str">
        <f t="shared" si="94"/>
        <v>UpCCM_RB_TEMP_M</v>
      </c>
      <c r="J141" s="1">
        <f t="shared" si="101"/>
        <v>0</v>
      </c>
      <c r="K141" s="1">
        <f t="shared" si="95"/>
        <v>0</v>
      </c>
      <c r="L141" s="1" t="str">
        <f t="shared" si="96"/>
        <v>0</v>
      </c>
      <c r="M141" s="10">
        <f t="shared" si="97"/>
        <v>0</v>
      </c>
      <c r="N141" s="1">
        <f t="shared" si="98"/>
        <v>29</v>
      </c>
      <c r="O141" s="1">
        <f t="shared" si="83"/>
        <v>0</v>
      </c>
      <c r="P141" s="1">
        <f t="shared" si="99"/>
        <v>30</v>
      </c>
      <c r="Q141" s="3" t="str">
        <f t="shared" si="70"/>
        <v xml:space="preserve"> </v>
      </c>
      <c r="R141" s="11">
        <f t="shared" si="84"/>
        <v>277</v>
      </c>
      <c r="S141" s="11"/>
      <c r="T141" s="13" t="str">
        <f t="shared" si="85"/>
        <v>115</v>
      </c>
      <c r="U141" s="14" t="str">
        <f t="shared" si="71"/>
        <v>UpCCM_RB_TEMP_M</v>
      </c>
      <c r="V141" s="13" t="str">
        <f t="shared" si="72"/>
        <v>2</v>
      </c>
      <c r="W141" s="13">
        <f t="shared" si="73"/>
        <v>0</v>
      </c>
      <c r="X141" s="14" t="str">
        <f t="shared" si="74"/>
        <v xml:space="preserve"> </v>
      </c>
      <c r="Y141" s="1">
        <f t="shared" si="75"/>
        <v>1</v>
      </c>
      <c r="Z141" s="1">
        <f t="shared" si="76"/>
        <v>2</v>
      </c>
      <c r="AA141" s="1">
        <f t="shared" si="69"/>
        <v>0</v>
      </c>
      <c r="AB141" s="1">
        <f t="shared" si="77"/>
        <v>0</v>
      </c>
      <c r="AC141" s="10" t="e">
        <f t="shared" si="78"/>
        <v>#VALUE!</v>
      </c>
      <c r="AD141" s="1" t="e">
        <f t="shared" si="86"/>
        <v>#VALUE!</v>
      </c>
      <c r="AF141" s="3" t="e">
        <f t="shared" si="79"/>
        <v>#VALUE!</v>
      </c>
      <c r="AG141" s="5" t="str">
        <f t="shared" si="80"/>
        <v>UpCCM_RB_TEMP_M)/* *</v>
      </c>
      <c r="AH141" s="3">
        <f t="shared" si="81"/>
        <v>2</v>
      </c>
      <c r="AI141" s="3">
        <f t="shared" si="82"/>
        <v>0</v>
      </c>
      <c r="AJ141" s="7">
        <f t="shared" si="87"/>
        <v>1</v>
      </c>
    </row>
    <row r="142" spans="1:36" x14ac:dyDescent="0.3">
      <c r="A142" s="15" t="s">
        <v>452</v>
      </c>
      <c r="B142" s="1">
        <f t="shared" si="88"/>
        <v>8</v>
      </c>
      <c r="C142" s="1">
        <f t="shared" si="89"/>
        <v>9</v>
      </c>
      <c r="D142" s="10" t="str">
        <f t="shared" si="90"/>
        <v>2</v>
      </c>
      <c r="E142" s="1">
        <f t="shared" si="91"/>
        <v>11</v>
      </c>
      <c r="F142" s="1">
        <f t="shared" si="92"/>
        <v>0</v>
      </c>
      <c r="G142" s="1">
        <f t="shared" si="93"/>
        <v>26</v>
      </c>
      <c r="H142" s="1">
        <f t="shared" si="100"/>
        <v>26</v>
      </c>
      <c r="I142" s="10" t="str">
        <f t="shared" si="94"/>
        <v>UpCCM_GR_TEMP_M</v>
      </c>
      <c r="J142" s="1">
        <f t="shared" si="101"/>
        <v>0</v>
      </c>
      <c r="K142" s="1">
        <f t="shared" si="95"/>
        <v>0</v>
      </c>
      <c r="L142" s="1" t="str">
        <f t="shared" si="96"/>
        <v>0</v>
      </c>
      <c r="M142" s="10">
        <f t="shared" si="97"/>
        <v>0</v>
      </c>
      <c r="N142" s="1">
        <f t="shared" si="98"/>
        <v>29</v>
      </c>
      <c r="O142" s="1">
        <f t="shared" si="83"/>
        <v>0</v>
      </c>
      <c r="P142" s="1">
        <f t="shared" si="99"/>
        <v>30</v>
      </c>
      <c r="Q142" s="3" t="str">
        <f t="shared" si="70"/>
        <v xml:space="preserve"> </v>
      </c>
      <c r="R142" s="11">
        <f t="shared" si="84"/>
        <v>279</v>
      </c>
      <c r="S142" s="11"/>
      <c r="T142" s="13" t="str">
        <f t="shared" si="85"/>
        <v>117</v>
      </c>
      <c r="U142" s="14" t="str">
        <f t="shared" si="71"/>
        <v>UpCCM_GR_TEMP_M</v>
      </c>
      <c r="V142" s="13" t="str">
        <f t="shared" si="72"/>
        <v>2</v>
      </c>
      <c r="W142" s="13">
        <f t="shared" si="73"/>
        <v>0</v>
      </c>
      <c r="X142" s="14" t="str">
        <f t="shared" si="74"/>
        <v xml:space="preserve"> </v>
      </c>
      <c r="Y142" s="1">
        <f t="shared" si="75"/>
        <v>1</v>
      </c>
      <c r="Z142" s="1">
        <f t="shared" si="76"/>
        <v>2</v>
      </c>
      <c r="AA142" s="1">
        <f t="shared" si="69"/>
        <v>0</v>
      </c>
      <c r="AB142" s="1">
        <f t="shared" si="77"/>
        <v>0</v>
      </c>
      <c r="AC142" s="10" t="e">
        <f t="shared" si="78"/>
        <v>#VALUE!</v>
      </c>
      <c r="AD142" s="1" t="e">
        <f t="shared" si="86"/>
        <v>#VALUE!</v>
      </c>
      <c r="AF142" s="3" t="e">
        <f t="shared" si="79"/>
        <v>#VALUE!</v>
      </c>
      <c r="AG142" s="5" t="str">
        <f t="shared" si="80"/>
        <v>UpCCM_GR_TEMP_M)/* *</v>
      </c>
      <c r="AH142" s="3">
        <f t="shared" si="81"/>
        <v>2</v>
      </c>
      <c r="AI142" s="3">
        <f t="shared" si="82"/>
        <v>0</v>
      </c>
      <c r="AJ142" s="7">
        <f t="shared" si="87"/>
        <v>1</v>
      </c>
    </row>
    <row r="143" spans="1:36" x14ac:dyDescent="0.3">
      <c r="A143" s="15" t="s">
        <v>453</v>
      </c>
      <c r="B143" s="1">
        <f t="shared" si="88"/>
        <v>8</v>
      </c>
      <c r="C143" s="1">
        <f t="shared" si="89"/>
        <v>9</v>
      </c>
      <c r="D143" s="10" t="str">
        <f t="shared" si="90"/>
        <v>2</v>
      </c>
      <c r="E143" s="1">
        <f t="shared" si="91"/>
        <v>11</v>
      </c>
      <c r="F143" s="1">
        <f t="shared" si="92"/>
        <v>0</v>
      </c>
      <c r="G143" s="1">
        <f t="shared" si="93"/>
        <v>26</v>
      </c>
      <c r="H143" s="1">
        <f t="shared" si="100"/>
        <v>26</v>
      </c>
      <c r="I143" s="10" t="str">
        <f t="shared" si="94"/>
        <v>UpCCM_GG_TEMP_M</v>
      </c>
      <c r="J143" s="1">
        <f t="shared" si="101"/>
        <v>0</v>
      </c>
      <c r="K143" s="1">
        <f t="shared" si="95"/>
        <v>0</v>
      </c>
      <c r="L143" s="1" t="str">
        <f t="shared" si="96"/>
        <v>0</v>
      </c>
      <c r="M143" s="10">
        <f t="shared" si="97"/>
        <v>0</v>
      </c>
      <c r="N143" s="1">
        <f t="shared" si="98"/>
        <v>29</v>
      </c>
      <c r="O143" s="1">
        <f t="shared" si="83"/>
        <v>0</v>
      </c>
      <c r="P143" s="1">
        <f t="shared" si="99"/>
        <v>30</v>
      </c>
      <c r="Q143" s="3" t="str">
        <f t="shared" si="70"/>
        <v xml:space="preserve"> </v>
      </c>
      <c r="R143" s="11">
        <f t="shared" si="84"/>
        <v>281</v>
      </c>
      <c r="S143" s="11"/>
      <c r="T143" s="13" t="str">
        <f t="shared" si="85"/>
        <v>119</v>
      </c>
      <c r="U143" s="14" t="str">
        <f t="shared" si="71"/>
        <v>UpCCM_GG_TEMP_M</v>
      </c>
      <c r="V143" s="13" t="str">
        <f t="shared" si="72"/>
        <v>2</v>
      </c>
      <c r="W143" s="13">
        <f t="shared" si="73"/>
        <v>0</v>
      </c>
      <c r="X143" s="14" t="str">
        <f t="shared" si="74"/>
        <v xml:space="preserve"> </v>
      </c>
      <c r="Y143" s="1">
        <f t="shared" si="75"/>
        <v>1</v>
      </c>
      <c r="Z143" s="1">
        <f t="shared" si="76"/>
        <v>2</v>
      </c>
      <c r="AA143" s="1">
        <f t="shared" si="69"/>
        <v>0</v>
      </c>
      <c r="AB143" s="1">
        <f t="shared" si="77"/>
        <v>0</v>
      </c>
      <c r="AC143" s="10" t="e">
        <f t="shared" si="78"/>
        <v>#VALUE!</v>
      </c>
      <c r="AD143" s="1" t="e">
        <f t="shared" si="86"/>
        <v>#VALUE!</v>
      </c>
      <c r="AF143" s="3" t="e">
        <f t="shared" si="79"/>
        <v>#VALUE!</v>
      </c>
      <c r="AG143" s="5" t="str">
        <f t="shared" si="80"/>
        <v>UpCCM_GG_TEMP_M)/* *</v>
      </c>
      <c r="AH143" s="3">
        <f t="shared" si="81"/>
        <v>2</v>
      </c>
      <c r="AI143" s="3">
        <f t="shared" si="82"/>
        <v>0</v>
      </c>
      <c r="AJ143" s="7">
        <f t="shared" si="87"/>
        <v>1</v>
      </c>
    </row>
    <row r="144" spans="1:36" x14ac:dyDescent="0.3">
      <c r="A144" s="15" t="s">
        <v>454</v>
      </c>
      <c r="B144" s="1">
        <f t="shared" si="88"/>
        <v>8</v>
      </c>
      <c r="C144" s="1">
        <f t="shared" si="89"/>
        <v>9</v>
      </c>
      <c r="D144" s="10" t="str">
        <f t="shared" si="90"/>
        <v>2</v>
      </c>
      <c r="E144" s="1">
        <f t="shared" si="91"/>
        <v>11</v>
      </c>
      <c r="F144" s="1">
        <f t="shared" si="92"/>
        <v>0</v>
      </c>
      <c r="G144" s="1">
        <f t="shared" si="93"/>
        <v>26</v>
      </c>
      <c r="H144" s="1">
        <f t="shared" si="100"/>
        <v>26</v>
      </c>
      <c r="I144" s="10" t="str">
        <f t="shared" si="94"/>
        <v>UpCCM_GB_TEMP_M</v>
      </c>
      <c r="J144" s="1">
        <f t="shared" si="101"/>
        <v>0</v>
      </c>
      <c r="K144" s="1">
        <f t="shared" si="95"/>
        <v>0</v>
      </c>
      <c r="L144" s="1" t="str">
        <f t="shared" si="96"/>
        <v>0</v>
      </c>
      <c r="M144" s="10">
        <f t="shared" si="97"/>
        <v>0</v>
      </c>
      <c r="N144" s="1">
        <f t="shared" si="98"/>
        <v>29</v>
      </c>
      <c r="O144" s="1">
        <f t="shared" si="83"/>
        <v>0</v>
      </c>
      <c r="P144" s="1">
        <f t="shared" si="99"/>
        <v>30</v>
      </c>
      <c r="Q144" s="3" t="str">
        <f t="shared" si="70"/>
        <v xml:space="preserve"> </v>
      </c>
      <c r="R144" s="11">
        <f t="shared" si="84"/>
        <v>283</v>
      </c>
      <c r="S144" s="11"/>
      <c r="T144" s="13" t="str">
        <f t="shared" si="85"/>
        <v>11B</v>
      </c>
      <c r="U144" s="14" t="str">
        <f t="shared" si="71"/>
        <v>UpCCM_GB_TEMP_M</v>
      </c>
      <c r="V144" s="13" t="str">
        <f t="shared" si="72"/>
        <v>2</v>
      </c>
      <c r="W144" s="13">
        <f t="shared" si="73"/>
        <v>0</v>
      </c>
      <c r="X144" s="14" t="str">
        <f t="shared" si="74"/>
        <v xml:space="preserve"> </v>
      </c>
      <c r="Y144" s="1">
        <f t="shared" si="75"/>
        <v>1</v>
      </c>
      <c r="Z144" s="1">
        <f t="shared" si="76"/>
        <v>2</v>
      </c>
      <c r="AA144" s="1">
        <f t="shared" si="69"/>
        <v>0</v>
      </c>
      <c r="AB144" s="1">
        <f t="shared" si="77"/>
        <v>0</v>
      </c>
      <c r="AC144" s="10" t="e">
        <f t="shared" si="78"/>
        <v>#VALUE!</v>
      </c>
      <c r="AD144" s="1" t="e">
        <f t="shared" si="86"/>
        <v>#VALUE!</v>
      </c>
      <c r="AF144" s="3" t="e">
        <f t="shared" si="79"/>
        <v>#VALUE!</v>
      </c>
      <c r="AG144" s="5" t="str">
        <f t="shared" si="80"/>
        <v>UpCCM_GB_TEMP_M)/* *</v>
      </c>
      <c r="AH144" s="3">
        <f t="shared" si="81"/>
        <v>2</v>
      </c>
      <c r="AI144" s="3">
        <f t="shared" si="82"/>
        <v>0</v>
      </c>
      <c r="AJ144" s="7">
        <f t="shared" si="87"/>
        <v>1</v>
      </c>
    </row>
    <row r="145" spans="1:36" x14ac:dyDescent="0.3">
      <c r="A145" s="15" t="s">
        <v>455</v>
      </c>
      <c r="B145" s="1">
        <f t="shared" si="88"/>
        <v>8</v>
      </c>
      <c r="C145" s="1">
        <f t="shared" si="89"/>
        <v>9</v>
      </c>
      <c r="D145" s="10" t="str">
        <f t="shared" si="90"/>
        <v>2</v>
      </c>
      <c r="E145" s="1">
        <f t="shared" si="91"/>
        <v>11</v>
      </c>
      <c r="F145" s="1">
        <f t="shared" si="92"/>
        <v>0</v>
      </c>
      <c r="G145" s="1">
        <f t="shared" si="93"/>
        <v>26</v>
      </c>
      <c r="H145" s="1">
        <f t="shared" si="100"/>
        <v>26</v>
      </c>
      <c r="I145" s="10" t="str">
        <f t="shared" si="94"/>
        <v>UpCCM_BR_TEMP_M</v>
      </c>
      <c r="J145" s="1">
        <f t="shared" si="101"/>
        <v>0</v>
      </c>
      <c r="K145" s="1">
        <f t="shared" si="95"/>
        <v>0</v>
      </c>
      <c r="L145" s="1" t="str">
        <f t="shared" si="96"/>
        <v>0</v>
      </c>
      <c r="M145" s="10">
        <f t="shared" si="97"/>
        <v>0</v>
      </c>
      <c r="N145" s="1">
        <f t="shared" si="98"/>
        <v>29</v>
      </c>
      <c r="O145" s="1">
        <f t="shared" si="83"/>
        <v>0</v>
      </c>
      <c r="P145" s="1">
        <f t="shared" si="99"/>
        <v>30</v>
      </c>
      <c r="Q145" s="3" t="str">
        <f t="shared" si="70"/>
        <v xml:space="preserve"> </v>
      </c>
      <c r="R145" s="11">
        <f t="shared" si="84"/>
        <v>285</v>
      </c>
      <c r="S145" s="11"/>
      <c r="T145" s="13" t="str">
        <f t="shared" si="85"/>
        <v>11D</v>
      </c>
      <c r="U145" s="14" t="str">
        <f t="shared" si="71"/>
        <v>UpCCM_BR_TEMP_M</v>
      </c>
      <c r="V145" s="13" t="str">
        <f t="shared" si="72"/>
        <v>2</v>
      </c>
      <c r="W145" s="13">
        <f t="shared" si="73"/>
        <v>0</v>
      </c>
      <c r="X145" s="14" t="str">
        <f t="shared" si="74"/>
        <v xml:space="preserve"> </v>
      </c>
      <c r="Y145" s="1">
        <f t="shared" si="75"/>
        <v>1</v>
      </c>
      <c r="Z145" s="1">
        <f t="shared" si="76"/>
        <v>2</v>
      </c>
      <c r="AA145" s="1">
        <f t="shared" si="69"/>
        <v>0</v>
      </c>
      <c r="AB145" s="1">
        <f t="shared" si="77"/>
        <v>0</v>
      </c>
      <c r="AC145" s="10" t="e">
        <f t="shared" si="78"/>
        <v>#VALUE!</v>
      </c>
      <c r="AD145" s="1" t="e">
        <f t="shared" si="86"/>
        <v>#VALUE!</v>
      </c>
      <c r="AF145" s="3" t="e">
        <f t="shared" si="79"/>
        <v>#VALUE!</v>
      </c>
      <c r="AG145" s="5" t="str">
        <f t="shared" si="80"/>
        <v>UpCCM_BR_TEMP_M)/* *</v>
      </c>
      <c r="AH145" s="3">
        <f t="shared" si="81"/>
        <v>2</v>
      </c>
      <c r="AI145" s="3">
        <f t="shared" si="82"/>
        <v>0</v>
      </c>
      <c r="AJ145" s="7">
        <f t="shared" si="87"/>
        <v>1</v>
      </c>
    </row>
    <row r="146" spans="1:36" x14ac:dyDescent="0.3">
      <c r="A146" s="15" t="s">
        <v>456</v>
      </c>
      <c r="B146" s="1">
        <f t="shared" si="88"/>
        <v>8</v>
      </c>
      <c r="C146" s="1">
        <f t="shared" si="89"/>
        <v>9</v>
      </c>
      <c r="D146" s="10" t="str">
        <f t="shared" si="90"/>
        <v>2</v>
      </c>
      <c r="E146" s="1">
        <f t="shared" si="91"/>
        <v>11</v>
      </c>
      <c r="F146" s="1">
        <f t="shared" si="92"/>
        <v>0</v>
      </c>
      <c r="G146" s="1">
        <f t="shared" si="93"/>
        <v>26</v>
      </c>
      <c r="H146" s="1">
        <f t="shared" si="100"/>
        <v>26</v>
      </c>
      <c r="I146" s="10" t="str">
        <f t="shared" si="94"/>
        <v>UpCCM_BG_TEMP_M</v>
      </c>
      <c r="J146" s="1">
        <f t="shared" si="101"/>
        <v>0</v>
      </c>
      <c r="K146" s="1">
        <f t="shared" si="95"/>
        <v>0</v>
      </c>
      <c r="L146" s="1" t="str">
        <f t="shared" si="96"/>
        <v>0</v>
      </c>
      <c r="M146" s="10">
        <f t="shared" si="97"/>
        <v>0</v>
      </c>
      <c r="N146" s="1">
        <f t="shared" si="98"/>
        <v>29</v>
      </c>
      <c r="O146" s="1">
        <f t="shared" si="83"/>
        <v>0</v>
      </c>
      <c r="P146" s="1">
        <f t="shared" si="99"/>
        <v>30</v>
      </c>
      <c r="Q146" s="3" t="str">
        <f t="shared" si="70"/>
        <v xml:space="preserve"> </v>
      </c>
      <c r="R146" s="11">
        <f t="shared" si="84"/>
        <v>287</v>
      </c>
      <c r="S146" s="11"/>
      <c r="T146" s="13" t="str">
        <f t="shared" si="85"/>
        <v>11F</v>
      </c>
      <c r="U146" s="14" t="str">
        <f t="shared" si="71"/>
        <v>UpCCM_BG_TEMP_M</v>
      </c>
      <c r="V146" s="13" t="str">
        <f t="shared" si="72"/>
        <v>2</v>
      </c>
      <c r="W146" s="13">
        <f t="shared" si="73"/>
        <v>0</v>
      </c>
      <c r="X146" s="14" t="str">
        <f t="shared" si="74"/>
        <v xml:space="preserve"> </v>
      </c>
      <c r="Y146" s="1">
        <f t="shared" si="75"/>
        <v>1</v>
      </c>
      <c r="Z146" s="1">
        <f t="shared" si="76"/>
        <v>2</v>
      </c>
      <c r="AA146" s="1">
        <f t="shared" si="69"/>
        <v>0</v>
      </c>
      <c r="AB146" s="1">
        <f t="shared" si="77"/>
        <v>0</v>
      </c>
      <c r="AC146" s="10" t="e">
        <f t="shared" si="78"/>
        <v>#VALUE!</v>
      </c>
      <c r="AD146" s="1" t="e">
        <f t="shared" si="86"/>
        <v>#VALUE!</v>
      </c>
      <c r="AF146" s="3" t="e">
        <f t="shared" si="79"/>
        <v>#VALUE!</v>
      </c>
      <c r="AG146" s="5" t="str">
        <f t="shared" si="80"/>
        <v>UpCCM_BG_TEMP_M)/* *</v>
      </c>
      <c r="AH146" s="3">
        <f t="shared" si="81"/>
        <v>2</v>
      </c>
      <c r="AI146" s="3">
        <f t="shared" si="82"/>
        <v>0</v>
      </c>
      <c r="AJ146" s="7">
        <f t="shared" si="87"/>
        <v>1</v>
      </c>
    </row>
    <row r="147" spans="1:36" x14ac:dyDescent="0.3">
      <c r="A147" s="15" t="s">
        <v>457</v>
      </c>
      <c r="B147" s="1">
        <f t="shared" si="88"/>
        <v>8</v>
      </c>
      <c r="C147" s="1">
        <f t="shared" si="89"/>
        <v>9</v>
      </c>
      <c r="D147" s="10" t="str">
        <f t="shared" si="90"/>
        <v>2</v>
      </c>
      <c r="E147" s="1">
        <f t="shared" si="91"/>
        <v>11</v>
      </c>
      <c r="F147" s="1">
        <f t="shared" si="92"/>
        <v>0</v>
      </c>
      <c r="G147" s="1">
        <f t="shared" si="93"/>
        <v>26</v>
      </c>
      <c r="H147" s="1">
        <f t="shared" si="100"/>
        <v>26</v>
      </c>
      <c r="I147" s="10" t="str">
        <f t="shared" si="94"/>
        <v>UpCCM_BB_TEMP_M</v>
      </c>
      <c r="J147" s="1">
        <f t="shared" si="101"/>
        <v>0</v>
      </c>
      <c r="K147" s="1">
        <f t="shared" si="95"/>
        <v>0</v>
      </c>
      <c r="L147" s="1" t="str">
        <f t="shared" si="96"/>
        <v>0</v>
      </c>
      <c r="M147" s="10">
        <f t="shared" si="97"/>
        <v>0</v>
      </c>
      <c r="N147" s="1">
        <f t="shared" si="98"/>
        <v>29</v>
      </c>
      <c r="O147" s="1">
        <f t="shared" si="83"/>
        <v>0</v>
      </c>
      <c r="P147" s="1">
        <f t="shared" si="99"/>
        <v>30</v>
      </c>
      <c r="Q147" s="3" t="str">
        <f t="shared" si="70"/>
        <v xml:space="preserve"> </v>
      </c>
      <c r="R147" s="11">
        <f t="shared" si="84"/>
        <v>289</v>
      </c>
      <c r="S147" s="11"/>
      <c r="T147" s="13" t="str">
        <f t="shared" si="85"/>
        <v>121</v>
      </c>
      <c r="U147" s="14" t="str">
        <f t="shared" si="71"/>
        <v>UpCCM_BB_TEMP_M</v>
      </c>
      <c r="V147" s="13" t="str">
        <f t="shared" si="72"/>
        <v>2</v>
      </c>
      <c r="W147" s="13">
        <f t="shared" si="73"/>
        <v>0</v>
      </c>
      <c r="X147" s="14" t="str">
        <f t="shared" si="74"/>
        <v xml:space="preserve"> </v>
      </c>
      <c r="Y147" s="1">
        <f t="shared" si="75"/>
        <v>1</v>
      </c>
      <c r="Z147" s="1">
        <f t="shared" si="76"/>
        <v>2</v>
      </c>
      <c r="AA147" s="1">
        <f t="shared" si="69"/>
        <v>0</v>
      </c>
      <c r="AB147" s="1">
        <f t="shared" si="77"/>
        <v>0</v>
      </c>
      <c r="AC147" s="10" t="e">
        <f t="shared" si="78"/>
        <v>#VALUE!</v>
      </c>
      <c r="AD147" s="1" t="e">
        <f t="shared" si="86"/>
        <v>#VALUE!</v>
      </c>
      <c r="AF147" s="3" t="e">
        <f t="shared" si="79"/>
        <v>#VALUE!</v>
      </c>
      <c r="AG147" s="5" t="str">
        <f t="shared" si="80"/>
        <v>UpCCM_BB_TEMP_M)/* *</v>
      </c>
      <c r="AH147" s="3">
        <f t="shared" si="81"/>
        <v>2</v>
      </c>
      <c r="AI147" s="3">
        <f t="shared" si="82"/>
        <v>0</v>
      </c>
      <c r="AJ147" s="7">
        <f t="shared" si="87"/>
        <v>1</v>
      </c>
    </row>
    <row r="148" spans="1:36" x14ac:dyDescent="0.3">
      <c r="A148" s="15" t="s">
        <v>458</v>
      </c>
      <c r="B148" s="1">
        <f t="shared" si="88"/>
        <v>8</v>
      </c>
      <c r="C148" s="1">
        <f t="shared" si="89"/>
        <v>9</v>
      </c>
      <c r="D148" s="10" t="str">
        <f t="shared" si="90"/>
        <v>2</v>
      </c>
      <c r="E148" s="1">
        <f t="shared" si="91"/>
        <v>11</v>
      </c>
      <c r="F148" s="1">
        <f t="shared" si="92"/>
        <v>0</v>
      </c>
      <c r="G148" s="1">
        <f t="shared" si="93"/>
        <v>26</v>
      </c>
      <c r="H148" s="1">
        <f t="shared" si="100"/>
        <v>26</v>
      </c>
      <c r="I148" s="10" t="str">
        <f t="shared" si="94"/>
        <v>UpCCM_RR_TEMP_H</v>
      </c>
      <c r="J148" s="1">
        <f t="shared" si="101"/>
        <v>0</v>
      </c>
      <c r="K148" s="1">
        <f t="shared" si="95"/>
        <v>0</v>
      </c>
      <c r="L148" s="1" t="str">
        <f t="shared" si="96"/>
        <v>0</v>
      </c>
      <c r="M148" s="10">
        <f t="shared" si="97"/>
        <v>0</v>
      </c>
      <c r="N148" s="1">
        <f t="shared" si="98"/>
        <v>29</v>
      </c>
      <c r="O148" s="1">
        <f t="shared" si="83"/>
        <v>0</v>
      </c>
      <c r="P148" s="1">
        <f t="shared" si="99"/>
        <v>30</v>
      </c>
      <c r="Q148" s="3" t="str">
        <f t="shared" si="70"/>
        <v xml:space="preserve"> </v>
      </c>
      <c r="R148" s="11">
        <f t="shared" si="84"/>
        <v>291</v>
      </c>
      <c r="S148" s="11"/>
      <c r="T148" s="13" t="str">
        <f t="shared" si="85"/>
        <v>123</v>
      </c>
      <c r="U148" s="14" t="str">
        <f t="shared" si="71"/>
        <v>UpCCM_RR_TEMP_H</v>
      </c>
      <c r="V148" s="13" t="str">
        <f t="shared" si="72"/>
        <v>2</v>
      </c>
      <c r="W148" s="13">
        <f t="shared" si="73"/>
        <v>0</v>
      </c>
      <c r="X148" s="14" t="str">
        <f t="shared" si="74"/>
        <v xml:space="preserve"> </v>
      </c>
      <c r="Y148" s="1">
        <f t="shared" si="75"/>
        <v>1</v>
      </c>
      <c r="Z148" s="1">
        <f t="shared" si="76"/>
        <v>2</v>
      </c>
      <c r="AA148" s="1">
        <f t="shared" si="69"/>
        <v>0</v>
      </c>
      <c r="AB148" s="1">
        <f t="shared" si="77"/>
        <v>0</v>
      </c>
      <c r="AC148" s="10" t="e">
        <f t="shared" si="78"/>
        <v>#VALUE!</v>
      </c>
      <c r="AD148" s="1" t="e">
        <f t="shared" si="86"/>
        <v>#VALUE!</v>
      </c>
      <c r="AF148" s="3" t="e">
        <f t="shared" si="79"/>
        <v>#VALUE!</v>
      </c>
      <c r="AG148" s="5" t="str">
        <f t="shared" si="80"/>
        <v>UpCCM_RR_TEMP_H)/* *</v>
      </c>
      <c r="AH148" s="3">
        <f t="shared" si="81"/>
        <v>2</v>
      </c>
      <c r="AI148" s="3">
        <f t="shared" si="82"/>
        <v>0</v>
      </c>
      <c r="AJ148" s="7">
        <f t="shared" si="87"/>
        <v>1</v>
      </c>
    </row>
    <row r="149" spans="1:36" x14ac:dyDescent="0.3">
      <c r="A149" s="15" t="s">
        <v>459</v>
      </c>
      <c r="B149" s="1">
        <f t="shared" si="88"/>
        <v>8</v>
      </c>
      <c r="C149" s="1">
        <f t="shared" si="89"/>
        <v>9</v>
      </c>
      <c r="D149" s="10" t="str">
        <f t="shared" si="90"/>
        <v>2</v>
      </c>
      <c r="E149" s="1">
        <f t="shared" si="91"/>
        <v>11</v>
      </c>
      <c r="F149" s="1">
        <f t="shared" si="92"/>
        <v>0</v>
      </c>
      <c r="G149" s="1">
        <f t="shared" si="93"/>
        <v>26</v>
      </c>
      <c r="H149" s="1">
        <f t="shared" si="100"/>
        <v>26</v>
      </c>
      <c r="I149" s="10" t="str">
        <f t="shared" si="94"/>
        <v>UpCCM_RG_TEMP_H</v>
      </c>
      <c r="J149" s="1">
        <f t="shared" si="101"/>
        <v>0</v>
      </c>
      <c r="K149" s="1">
        <f t="shared" si="95"/>
        <v>0</v>
      </c>
      <c r="L149" s="1" t="str">
        <f t="shared" si="96"/>
        <v>0</v>
      </c>
      <c r="M149" s="10">
        <f t="shared" si="97"/>
        <v>0</v>
      </c>
      <c r="N149" s="1">
        <f t="shared" si="98"/>
        <v>29</v>
      </c>
      <c r="O149" s="1">
        <f t="shared" si="83"/>
        <v>0</v>
      </c>
      <c r="P149" s="1">
        <f t="shared" si="99"/>
        <v>30</v>
      </c>
      <c r="Q149" s="3" t="str">
        <f t="shared" si="70"/>
        <v xml:space="preserve"> </v>
      </c>
      <c r="R149" s="11">
        <f t="shared" si="84"/>
        <v>293</v>
      </c>
      <c r="S149" s="11"/>
      <c r="T149" s="13" t="str">
        <f t="shared" si="85"/>
        <v>125</v>
      </c>
      <c r="U149" s="14" t="str">
        <f t="shared" si="71"/>
        <v>UpCCM_RG_TEMP_H</v>
      </c>
      <c r="V149" s="13" t="str">
        <f t="shared" si="72"/>
        <v>2</v>
      </c>
      <c r="W149" s="13">
        <f t="shared" si="73"/>
        <v>0</v>
      </c>
      <c r="X149" s="14" t="str">
        <f t="shared" si="74"/>
        <v xml:space="preserve"> </v>
      </c>
      <c r="Y149" s="1">
        <f t="shared" si="75"/>
        <v>1</v>
      </c>
      <c r="Z149" s="1">
        <f t="shared" si="76"/>
        <v>2</v>
      </c>
      <c r="AA149" s="1">
        <f t="shared" si="69"/>
        <v>0</v>
      </c>
      <c r="AB149" s="1">
        <f t="shared" si="77"/>
        <v>0</v>
      </c>
      <c r="AC149" s="10" t="e">
        <f t="shared" si="78"/>
        <v>#VALUE!</v>
      </c>
      <c r="AD149" s="1" t="e">
        <f t="shared" si="86"/>
        <v>#VALUE!</v>
      </c>
      <c r="AF149" s="3" t="e">
        <f t="shared" si="79"/>
        <v>#VALUE!</v>
      </c>
      <c r="AG149" s="5" t="str">
        <f t="shared" si="80"/>
        <v>UpCCM_RG_TEMP_H)/* *</v>
      </c>
      <c r="AH149" s="3">
        <f t="shared" si="81"/>
        <v>2</v>
      </c>
      <c r="AI149" s="3">
        <f t="shared" si="82"/>
        <v>0</v>
      </c>
      <c r="AJ149" s="7">
        <f t="shared" si="87"/>
        <v>1</v>
      </c>
    </row>
    <row r="150" spans="1:36" x14ac:dyDescent="0.3">
      <c r="A150" s="15" t="s">
        <v>460</v>
      </c>
      <c r="B150" s="1">
        <f t="shared" si="88"/>
        <v>8</v>
      </c>
      <c r="C150" s="1">
        <f t="shared" si="89"/>
        <v>9</v>
      </c>
      <c r="D150" s="10" t="str">
        <f t="shared" si="90"/>
        <v>2</v>
      </c>
      <c r="E150" s="1">
        <f t="shared" si="91"/>
        <v>11</v>
      </c>
      <c r="F150" s="1">
        <f t="shared" si="92"/>
        <v>0</v>
      </c>
      <c r="G150" s="1">
        <f t="shared" si="93"/>
        <v>26</v>
      </c>
      <c r="H150" s="1">
        <f t="shared" si="100"/>
        <v>26</v>
      </c>
      <c r="I150" s="10" t="str">
        <f t="shared" si="94"/>
        <v>UpCCM_RB_TEMP_H</v>
      </c>
      <c r="J150" s="1">
        <f t="shared" si="101"/>
        <v>0</v>
      </c>
      <c r="K150" s="1">
        <f t="shared" si="95"/>
        <v>0</v>
      </c>
      <c r="L150" s="1" t="str">
        <f t="shared" si="96"/>
        <v>0</v>
      </c>
      <c r="M150" s="10">
        <f t="shared" si="97"/>
        <v>0</v>
      </c>
      <c r="N150" s="1">
        <f t="shared" si="98"/>
        <v>29</v>
      </c>
      <c r="O150" s="1">
        <f t="shared" si="83"/>
        <v>0</v>
      </c>
      <c r="P150" s="1">
        <f t="shared" si="99"/>
        <v>30</v>
      </c>
      <c r="Q150" s="3" t="str">
        <f t="shared" si="70"/>
        <v xml:space="preserve"> </v>
      </c>
      <c r="R150" s="11">
        <f t="shared" si="84"/>
        <v>295</v>
      </c>
      <c r="S150" s="11"/>
      <c r="T150" s="13" t="str">
        <f t="shared" si="85"/>
        <v>127</v>
      </c>
      <c r="U150" s="14" t="str">
        <f t="shared" si="71"/>
        <v>UpCCM_RB_TEMP_H</v>
      </c>
      <c r="V150" s="13" t="str">
        <f t="shared" si="72"/>
        <v>2</v>
      </c>
      <c r="W150" s="13">
        <f t="shared" si="73"/>
        <v>0</v>
      </c>
      <c r="X150" s="14" t="str">
        <f t="shared" si="74"/>
        <v xml:space="preserve"> </v>
      </c>
      <c r="Y150" s="1">
        <f t="shared" si="75"/>
        <v>1</v>
      </c>
      <c r="Z150" s="1">
        <f t="shared" si="76"/>
        <v>2</v>
      </c>
      <c r="AA150" s="1">
        <f t="shared" si="69"/>
        <v>0</v>
      </c>
      <c r="AB150" s="1">
        <f t="shared" si="77"/>
        <v>0</v>
      </c>
      <c r="AC150" s="10" t="e">
        <f t="shared" si="78"/>
        <v>#VALUE!</v>
      </c>
      <c r="AD150" s="1" t="e">
        <f t="shared" si="86"/>
        <v>#VALUE!</v>
      </c>
      <c r="AF150" s="3" t="e">
        <f t="shared" si="79"/>
        <v>#VALUE!</v>
      </c>
      <c r="AG150" s="5" t="str">
        <f t="shared" si="80"/>
        <v>UpCCM_RB_TEMP_H)/* *</v>
      </c>
      <c r="AH150" s="3">
        <f t="shared" si="81"/>
        <v>2</v>
      </c>
      <c r="AI150" s="3">
        <f t="shared" si="82"/>
        <v>0</v>
      </c>
      <c r="AJ150" s="7">
        <f t="shared" si="87"/>
        <v>1</v>
      </c>
    </row>
    <row r="151" spans="1:36" x14ac:dyDescent="0.3">
      <c r="A151" s="15" t="s">
        <v>461</v>
      </c>
      <c r="B151" s="1">
        <f t="shared" si="88"/>
        <v>8</v>
      </c>
      <c r="C151" s="1">
        <f t="shared" si="89"/>
        <v>9</v>
      </c>
      <c r="D151" s="10" t="str">
        <f t="shared" si="90"/>
        <v>2</v>
      </c>
      <c r="E151" s="1">
        <f t="shared" si="91"/>
        <v>11</v>
      </c>
      <c r="F151" s="1">
        <f t="shared" si="92"/>
        <v>0</v>
      </c>
      <c r="G151" s="1">
        <f t="shared" si="93"/>
        <v>26</v>
      </c>
      <c r="H151" s="1">
        <f t="shared" si="100"/>
        <v>26</v>
      </c>
      <c r="I151" s="10" t="str">
        <f t="shared" si="94"/>
        <v>UpCCM_GR_TEMP_H</v>
      </c>
      <c r="J151" s="1">
        <f t="shared" si="101"/>
        <v>0</v>
      </c>
      <c r="K151" s="1">
        <f t="shared" si="95"/>
        <v>0</v>
      </c>
      <c r="L151" s="1" t="str">
        <f t="shared" si="96"/>
        <v>0</v>
      </c>
      <c r="M151" s="10">
        <f t="shared" si="97"/>
        <v>0</v>
      </c>
      <c r="N151" s="1">
        <f t="shared" si="98"/>
        <v>29</v>
      </c>
      <c r="O151" s="1">
        <f t="shared" si="83"/>
        <v>0</v>
      </c>
      <c r="P151" s="1">
        <f t="shared" si="99"/>
        <v>30</v>
      </c>
      <c r="Q151" s="3" t="str">
        <f t="shared" si="70"/>
        <v xml:space="preserve"> </v>
      </c>
      <c r="R151" s="11">
        <f t="shared" si="84"/>
        <v>297</v>
      </c>
      <c r="S151" s="11"/>
      <c r="T151" s="13" t="str">
        <f t="shared" si="85"/>
        <v>129</v>
      </c>
      <c r="U151" s="14" t="str">
        <f t="shared" si="71"/>
        <v>UpCCM_GR_TEMP_H</v>
      </c>
      <c r="V151" s="13" t="str">
        <f t="shared" si="72"/>
        <v>2</v>
      </c>
      <c r="W151" s="13">
        <f t="shared" si="73"/>
        <v>0</v>
      </c>
      <c r="X151" s="14" t="str">
        <f t="shared" si="74"/>
        <v xml:space="preserve"> </v>
      </c>
      <c r="Y151" s="1">
        <f t="shared" si="75"/>
        <v>1</v>
      </c>
      <c r="Z151" s="1">
        <f t="shared" si="76"/>
        <v>2</v>
      </c>
      <c r="AA151" s="1">
        <f t="shared" si="69"/>
        <v>0</v>
      </c>
      <c r="AB151" s="1">
        <f t="shared" si="77"/>
        <v>0</v>
      </c>
      <c r="AC151" s="10" t="e">
        <f t="shared" si="78"/>
        <v>#VALUE!</v>
      </c>
      <c r="AD151" s="1" t="e">
        <f t="shared" si="86"/>
        <v>#VALUE!</v>
      </c>
      <c r="AF151" s="3" t="e">
        <f t="shared" si="79"/>
        <v>#VALUE!</v>
      </c>
      <c r="AG151" s="5" t="str">
        <f t="shared" si="80"/>
        <v>UpCCM_GR_TEMP_H)/* *</v>
      </c>
      <c r="AH151" s="3">
        <f t="shared" si="81"/>
        <v>2</v>
      </c>
      <c r="AI151" s="3">
        <f t="shared" si="82"/>
        <v>0</v>
      </c>
      <c r="AJ151" s="7">
        <f t="shared" si="87"/>
        <v>1</v>
      </c>
    </row>
    <row r="152" spans="1:36" x14ac:dyDescent="0.3">
      <c r="A152" s="15" t="s">
        <v>462</v>
      </c>
      <c r="B152" s="1">
        <f t="shared" si="88"/>
        <v>8</v>
      </c>
      <c r="C152" s="1">
        <f t="shared" si="89"/>
        <v>9</v>
      </c>
      <c r="D152" s="10" t="str">
        <f t="shared" si="90"/>
        <v>2</v>
      </c>
      <c r="E152" s="1">
        <f t="shared" si="91"/>
        <v>11</v>
      </c>
      <c r="F152" s="1">
        <f t="shared" si="92"/>
        <v>0</v>
      </c>
      <c r="G152" s="1">
        <f t="shared" si="93"/>
        <v>26</v>
      </c>
      <c r="H152" s="1">
        <f t="shared" si="100"/>
        <v>26</v>
      </c>
      <c r="I152" s="10" t="str">
        <f t="shared" si="94"/>
        <v>UpCCM_GG_TEMP_H</v>
      </c>
      <c r="J152" s="1">
        <f t="shared" si="101"/>
        <v>0</v>
      </c>
      <c r="K152" s="1">
        <f t="shared" si="95"/>
        <v>0</v>
      </c>
      <c r="L152" s="1" t="str">
        <f t="shared" si="96"/>
        <v>0</v>
      </c>
      <c r="M152" s="10">
        <f t="shared" si="97"/>
        <v>0</v>
      </c>
      <c r="N152" s="1">
        <f t="shared" si="98"/>
        <v>29</v>
      </c>
      <c r="O152" s="1">
        <f t="shared" si="83"/>
        <v>0</v>
      </c>
      <c r="P152" s="1">
        <f t="shared" si="99"/>
        <v>30</v>
      </c>
      <c r="Q152" s="3" t="str">
        <f t="shared" si="70"/>
        <v xml:space="preserve"> </v>
      </c>
      <c r="R152" s="11">
        <f t="shared" si="84"/>
        <v>299</v>
      </c>
      <c r="S152" s="11"/>
      <c r="T152" s="13" t="str">
        <f t="shared" si="85"/>
        <v>12B</v>
      </c>
      <c r="U152" s="14" t="str">
        <f t="shared" si="71"/>
        <v>UpCCM_GG_TEMP_H</v>
      </c>
      <c r="V152" s="13" t="str">
        <f t="shared" si="72"/>
        <v>2</v>
      </c>
      <c r="W152" s="13">
        <f t="shared" si="73"/>
        <v>0</v>
      </c>
      <c r="X152" s="14" t="str">
        <f t="shared" si="74"/>
        <v xml:space="preserve"> </v>
      </c>
      <c r="Y152" s="1">
        <f t="shared" si="75"/>
        <v>1</v>
      </c>
      <c r="Z152" s="1">
        <f t="shared" si="76"/>
        <v>2</v>
      </c>
      <c r="AA152" s="1">
        <f t="shared" si="69"/>
        <v>0</v>
      </c>
      <c r="AB152" s="1">
        <f t="shared" si="77"/>
        <v>0</v>
      </c>
      <c r="AC152" s="10" t="e">
        <f t="shared" si="78"/>
        <v>#VALUE!</v>
      </c>
      <c r="AD152" s="1" t="e">
        <f t="shared" si="86"/>
        <v>#VALUE!</v>
      </c>
      <c r="AF152" s="3" t="e">
        <f t="shared" si="79"/>
        <v>#VALUE!</v>
      </c>
      <c r="AG152" s="5" t="str">
        <f t="shared" si="80"/>
        <v>UpCCM_GG_TEMP_H)/* *</v>
      </c>
      <c r="AH152" s="3">
        <f t="shared" si="81"/>
        <v>2</v>
      </c>
      <c r="AI152" s="3">
        <f t="shared" si="82"/>
        <v>0</v>
      </c>
      <c r="AJ152" s="7">
        <f t="shared" si="87"/>
        <v>1</v>
      </c>
    </row>
    <row r="153" spans="1:36" x14ac:dyDescent="0.3">
      <c r="A153" s="15" t="s">
        <v>463</v>
      </c>
      <c r="B153" s="1">
        <f t="shared" si="88"/>
        <v>8</v>
      </c>
      <c r="C153" s="1">
        <f t="shared" si="89"/>
        <v>9</v>
      </c>
      <c r="D153" s="10" t="str">
        <f t="shared" si="90"/>
        <v>2</v>
      </c>
      <c r="E153" s="1">
        <f t="shared" si="91"/>
        <v>11</v>
      </c>
      <c r="F153" s="1">
        <f t="shared" si="92"/>
        <v>0</v>
      </c>
      <c r="G153" s="1">
        <f t="shared" si="93"/>
        <v>26</v>
      </c>
      <c r="H153" s="1">
        <f t="shared" si="100"/>
        <v>26</v>
      </c>
      <c r="I153" s="10" t="str">
        <f t="shared" si="94"/>
        <v>UpCCM_GB_TEMP_H</v>
      </c>
      <c r="J153" s="1">
        <f t="shared" si="101"/>
        <v>0</v>
      </c>
      <c r="K153" s="1">
        <f t="shared" si="95"/>
        <v>0</v>
      </c>
      <c r="L153" s="1" t="str">
        <f t="shared" si="96"/>
        <v>0</v>
      </c>
      <c r="M153" s="10">
        <f t="shared" si="97"/>
        <v>0</v>
      </c>
      <c r="N153" s="1">
        <f t="shared" si="98"/>
        <v>29</v>
      </c>
      <c r="O153" s="1">
        <f t="shared" si="83"/>
        <v>0</v>
      </c>
      <c r="P153" s="1">
        <f t="shared" si="99"/>
        <v>30</v>
      </c>
      <c r="Q153" s="3" t="str">
        <f t="shared" si="70"/>
        <v xml:space="preserve"> </v>
      </c>
      <c r="R153" s="11">
        <f t="shared" si="84"/>
        <v>301</v>
      </c>
      <c r="S153" s="11"/>
      <c r="T153" s="13" t="str">
        <f t="shared" si="85"/>
        <v>12D</v>
      </c>
      <c r="U153" s="14" t="str">
        <f t="shared" si="71"/>
        <v>UpCCM_GB_TEMP_H</v>
      </c>
      <c r="V153" s="13" t="str">
        <f t="shared" si="72"/>
        <v>2</v>
      </c>
      <c r="W153" s="13">
        <f t="shared" si="73"/>
        <v>0</v>
      </c>
      <c r="X153" s="14" t="str">
        <f t="shared" si="74"/>
        <v xml:space="preserve"> </v>
      </c>
      <c r="Y153" s="1">
        <f t="shared" si="75"/>
        <v>1</v>
      </c>
      <c r="Z153" s="1">
        <f t="shared" si="76"/>
        <v>2</v>
      </c>
      <c r="AA153" s="1">
        <f t="shared" si="69"/>
        <v>0</v>
      </c>
      <c r="AB153" s="1">
        <f t="shared" si="77"/>
        <v>0</v>
      </c>
      <c r="AC153" s="10" t="e">
        <f t="shared" si="78"/>
        <v>#VALUE!</v>
      </c>
      <c r="AD153" s="1" t="e">
        <f t="shared" si="86"/>
        <v>#VALUE!</v>
      </c>
      <c r="AF153" s="3" t="e">
        <f t="shared" si="79"/>
        <v>#VALUE!</v>
      </c>
      <c r="AG153" s="5" t="str">
        <f t="shared" si="80"/>
        <v>UpCCM_GB_TEMP_H)/* *</v>
      </c>
      <c r="AH153" s="3">
        <f t="shared" si="81"/>
        <v>2</v>
      </c>
      <c r="AI153" s="3">
        <f t="shared" si="82"/>
        <v>0</v>
      </c>
      <c r="AJ153" s="7">
        <f t="shared" si="87"/>
        <v>1</v>
      </c>
    </row>
    <row r="154" spans="1:36" x14ac:dyDescent="0.3">
      <c r="A154" s="15" t="s">
        <v>464</v>
      </c>
      <c r="B154" s="1">
        <f t="shared" si="88"/>
        <v>8</v>
      </c>
      <c r="C154" s="1">
        <f t="shared" si="89"/>
        <v>9</v>
      </c>
      <c r="D154" s="10" t="str">
        <f t="shared" si="90"/>
        <v>2</v>
      </c>
      <c r="E154" s="1">
        <f t="shared" si="91"/>
        <v>11</v>
      </c>
      <c r="F154" s="1">
        <f t="shared" si="92"/>
        <v>0</v>
      </c>
      <c r="G154" s="1">
        <f t="shared" si="93"/>
        <v>26</v>
      </c>
      <c r="H154" s="1">
        <f t="shared" si="100"/>
        <v>26</v>
      </c>
      <c r="I154" s="10" t="str">
        <f t="shared" si="94"/>
        <v>UpCCM_BR_TEMP_H</v>
      </c>
      <c r="J154" s="1">
        <f t="shared" si="101"/>
        <v>0</v>
      </c>
      <c r="K154" s="1">
        <f t="shared" si="95"/>
        <v>0</v>
      </c>
      <c r="L154" s="1" t="str">
        <f t="shared" si="96"/>
        <v>0</v>
      </c>
      <c r="M154" s="10">
        <f t="shared" si="97"/>
        <v>0</v>
      </c>
      <c r="N154" s="1">
        <f t="shared" si="98"/>
        <v>29</v>
      </c>
      <c r="O154" s="1">
        <f t="shared" si="83"/>
        <v>0</v>
      </c>
      <c r="P154" s="1">
        <f t="shared" si="99"/>
        <v>30</v>
      </c>
      <c r="Q154" s="3" t="str">
        <f t="shared" si="70"/>
        <v xml:space="preserve"> </v>
      </c>
      <c r="R154" s="11">
        <f t="shared" si="84"/>
        <v>303</v>
      </c>
      <c r="S154" s="11"/>
      <c r="T154" s="13" t="str">
        <f t="shared" si="85"/>
        <v>12F</v>
      </c>
      <c r="U154" s="14" t="str">
        <f t="shared" si="71"/>
        <v>UpCCM_BR_TEMP_H</v>
      </c>
      <c r="V154" s="13" t="str">
        <f t="shared" si="72"/>
        <v>2</v>
      </c>
      <c r="W154" s="13">
        <f t="shared" si="73"/>
        <v>0</v>
      </c>
      <c r="X154" s="14" t="str">
        <f t="shared" si="74"/>
        <v xml:space="preserve"> </v>
      </c>
      <c r="Y154" s="1">
        <f t="shared" si="75"/>
        <v>1</v>
      </c>
      <c r="Z154" s="1">
        <f t="shared" si="76"/>
        <v>2</v>
      </c>
      <c r="AA154" s="1">
        <f t="shared" si="69"/>
        <v>0</v>
      </c>
      <c r="AB154" s="1">
        <f t="shared" si="77"/>
        <v>0</v>
      </c>
      <c r="AC154" s="10" t="e">
        <f t="shared" si="78"/>
        <v>#VALUE!</v>
      </c>
      <c r="AD154" s="1" t="e">
        <f t="shared" si="86"/>
        <v>#VALUE!</v>
      </c>
      <c r="AF154" s="3" t="e">
        <f t="shared" si="79"/>
        <v>#VALUE!</v>
      </c>
      <c r="AG154" s="5" t="str">
        <f t="shared" si="80"/>
        <v>UpCCM_BR_TEMP_H)/* *</v>
      </c>
      <c r="AH154" s="3">
        <f t="shared" si="81"/>
        <v>2</v>
      </c>
      <c r="AI154" s="3">
        <f t="shared" si="82"/>
        <v>0</v>
      </c>
      <c r="AJ154" s="7">
        <f t="shared" si="87"/>
        <v>1</v>
      </c>
    </row>
    <row r="155" spans="1:36" x14ac:dyDescent="0.3">
      <c r="A155" s="15" t="s">
        <v>465</v>
      </c>
      <c r="B155" s="1">
        <f t="shared" si="88"/>
        <v>8</v>
      </c>
      <c r="C155" s="1">
        <f t="shared" si="89"/>
        <v>9</v>
      </c>
      <c r="D155" s="10" t="str">
        <f t="shared" si="90"/>
        <v>2</v>
      </c>
      <c r="E155" s="1">
        <f t="shared" si="91"/>
        <v>11</v>
      </c>
      <c r="F155" s="1">
        <f t="shared" si="92"/>
        <v>0</v>
      </c>
      <c r="G155" s="1">
        <f t="shared" si="93"/>
        <v>26</v>
      </c>
      <c r="H155" s="1">
        <f t="shared" si="100"/>
        <v>26</v>
      </c>
      <c r="I155" s="10" t="str">
        <f t="shared" si="94"/>
        <v>UpCCM_BG_TEMP_H</v>
      </c>
      <c r="J155" s="1">
        <f t="shared" si="101"/>
        <v>0</v>
      </c>
      <c r="K155" s="1">
        <f t="shared" si="95"/>
        <v>0</v>
      </c>
      <c r="L155" s="1" t="str">
        <f t="shared" si="96"/>
        <v>0</v>
      </c>
      <c r="M155" s="10">
        <f t="shared" si="97"/>
        <v>0</v>
      </c>
      <c r="N155" s="1">
        <f t="shared" si="98"/>
        <v>29</v>
      </c>
      <c r="O155" s="1">
        <f t="shared" si="83"/>
        <v>0</v>
      </c>
      <c r="P155" s="1">
        <f t="shared" si="99"/>
        <v>30</v>
      </c>
      <c r="Q155" s="3" t="str">
        <f t="shared" si="70"/>
        <v xml:space="preserve"> </v>
      </c>
      <c r="R155" s="11">
        <f t="shared" si="84"/>
        <v>305</v>
      </c>
      <c r="S155" s="11"/>
      <c r="T155" s="13" t="str">
        <f t="shared" si="85"/>
        <v>131</v>
      </c>
      <c r="U155" s="14" t="str">
        <f t="shared" si="71"/>
        <v>UpCCM_BG_TEMP_H</v>
      </c>
      <c r="V155" s="13" t="str">
        <f t="shared" si="72"/>
        <v>2</v>
      </c>
      <c r="W155" s="13">
        <f t="shared" si="73"/>
        <v>0</v>
      </c>
      <c r="X155" s="14" t="str">
        <f t="shared" si="74"/>
        <v xml:space="preserve"> </v>
      </c>
      <c r="Y155" s="1">
        <f t="shared" si="75"/>
        <v>1</v>
      </c>
      <c r="Z155" s="1">
        <f t="shared" si="76"/>
        <v>2</v>
      </c>
      <c r="AA155" s="1">
        <f t="shared" si="69"/>
        <v>0</v>
      </c>
      <c r="AB155" s="1">
        <f t="shared" si="77"/>
        <v>0</v>
      </c>
      <c r="AC155" s="10" t="e">
        <f t="shared" si="78"/>
        <v>#VALUE!</v>
      </c>
      <c r="AD155" s="1" t="e">
        <f t="shared" si="86"/>
        <v>#VALUE!</v>
      </c>
      <c r="AF155" s="3" t="e">
        <f t="shared" si="79"/>
        <v>#VALUE!</v>
      </c>
      <c r="AG155" s="5" t="str">
        <f t="shared" si="80"/>
        <v>UpCCM_BG_TEMP_H)/* *</v>
      </c>
      <c r="AH155" s="3">
        <f t="shared" si="81"/>
        <v>2</v>
      </c>
      <c r="AI155" s="3">
        <f t="shared" si="82"/>
        <v>0</v>
      </c>
      <c r="AJ155" s="7">
        <f t="shared" si="87"/>
        <v>1</v>
      </c>
    </row>
    <row r="156" spans="1:36" x14ac:dyDescent="0.3">
      <c r="A156" s="15" t="s">
        <v>466</v>
      </c>
      <c r="B156" s="1">
        <f t="shared" si="88"/>
        <v>8</v>
      </c>
      <c r="C156" s="1">
        <f t="shared" si="89"/>
        <v>9</v>
      </c>
      <c r="D156" s="10" t="str">
        <f t="shared" si="90"/>
        <v>2</v>
      </c>
      <c r="E156" s="1">
        <f t="shared" si="91"/>
        <v>11</v>
      </c>
      <c r="F156" s="1">
        <f t="shared" si="92"/>
        <v>0</v>
      </c>
      <c r="G156" s="1">
        <f t="shared" si="93"/>
        <v>26</v>
      </c>
      <c r="H156" s="1">
        <f t="shared" si="100"/>
        <v>26</v>
      </c>
      <c r="I156" s="10" t="str">
        <f t="shared" si="94"/>
        <v>UpCCM_BB_TEMP_H</v>
      </c>
      <c r="J156" s="1">
        <f t="shared" si="101"/>
        <v>0</v>
      </c>
      <c r="K156" s="1">
        <f t="shared" si="95"/>
        <v>0</v>
      </c>
      <c r="L156" s="1" t="str">
        <f t="shared" si="96"/>
        <v>0</v>
      </c>
      <c r="M156" s="10">
        <f t="shared" si="97"/>
        <v>0</v>
      </c>
      <c r="N156" s="1">
        <f t="shared" si="98"/>
        <v>29</v>
      </c>
      <c r="O156" s="1">
        <f t="shared" si="83"/>
        <v>0</v>
      </c>
      <c r="P156" s="1">
        <f t="shared" si="99"/>
        <v>30</v>
      </c>
      <c r="Q156" s="3" t="str">
        <f t="shared" si="70"/>
        <v xml:space="preserve"> </v>
      </c>
      <c r="R156" s="11">
        <f t="shared" si="84"/>
        <v>307</v>
      </c>
      <c r="S156" s="11"/>
      <c r="T156" s="13" t="str">
        <f t="shared" si="85"/>
        <v>133</v>
      </c>
      <c r="U156" s="14" t="str">
        <f t="shared" si="71"/>
        <v>UpCCM_BB_TEMP_H</v>
      </c>
      <c r="V156" s="13" t="str">
        <f t="shared" si="72"/>
        <v>2</v>
      </c>
      <c r="W156" s="13">
        <f t="shared" si="73"/>
        <v>0</v>
      </c>
      <c r="X156" s="14" t="str">
        <f t="shared" si="74"/>
        <v xml:space="preserve"> </v>
      </c>
      <c r="Y156" s="1">
        <f t="shared" si="75"/>
        <v>1</v>
      </c>
      <c r="Z156" s="1">
        <f t="shared" si="76"/>
        <v>2</v>
      </c>
      <c r="AA156" s="1">
        <f t="shared" si="69"/>
        <v>0</v>
      </c>
      <c r="AB156" s="1">
        <f t="shared" si="77"/>
        <v>0</v>
      </c>
      <c r="AC156" s="10" t="e">
        <f t="shared" si="78"/>
        <v>#VALUE!</v>
      </c>
      <c r="AD156" s="1" t="e">
        <f t="shared" si="86"/>
        <v>#VALUE!</v>
      </c>
      <c r="AF156" s="3" t="e">
        <f t="shared" si="79"/>
        <v>#VALUE!</v>
      </c>
      <c r="AG156" s="5" t="str">
        <f t="shared" si="80"/>
        <v>UpCCM_BB_TEMP_H)/* *</v>
      </c>
      <c r="AH156" s="3">
        <f t="shared" si="81"/>
        <v>2</v>
      </c>
      <c r="AI156" s="3">
        <f t="shared" si="82"/>
        <v>0</v>
      </c>
      <c r="AJ156" s="7">
        <f t="shared" si="87"/>
        <v>1</v>
      </c>
    </row>
    <row r="157" spans="1:36" x14ac:dyDescent="0.3">
      <c r="A157" s="15" t="s">
        <v>178</v>
      </c>
      <c r="B157" s="1">
        <f t="shared" si="88"/>
        <v>0</v>
      </c>
      <c r="C157" s="1">
        <f t="shared" si="89"/>
        <v>0</v>
      </c>
      <c r="D157" s="10">
        <f t="shared" si="90"/>
        <v>0</v>
      </c>
      <c r="E157" s="1">
        <f t="shared" si="91"/>
        <v>0</v>
      </c>
      <c r="F157" s="1">
        <f t="shared" si="92"/>
        <v>0</v>
      </c>
      <c r="G157" s="1">
        <f t="shared" si="93"/>
        <v>0</v>
      </c>
      <c r="H157" s="1">
        <f t="shared" si="100"/>
        <v>0</v>
      </c>
      <c r="I157" s="10">
        <f t="shared" si="94"/>
        <v>0</v>
      </c>
      <c r="J157" s="1">
        <f t="shared" si="101"/>
        <v>0</v>
      </c>
      <c r="K157" s="1">
        <f t="shared" si="95"/>
        <v>0</v>
      </c>
      <c r="L157" s="1" t="str">
        <f t="shared" si="96"/>
        <v>0</v>
      </c>
      <c r="M157" s="10">
        <f t="shared" si="97"/>
        <v>0</v>
      </c>
      <c r="N157" s="1">
        <f t="shared" si="98"/>
        <v>3</v>
      </c>
      <c r="O157" s="1">
        <f t="shared" si="83"/>
        <v>0</v>
      </c>
      <c r="P157" s="1">
        <f t="shared" si="99"/>
        <v>52</v>
      </c>
      <c r="Q157" s="3" t="str">
        <f t="shared" si="70"/>
        <v>---------------　COLOR　SUPPRESSION　---------------</v>
      </c>
      <c r="R157" s="11">
        <f t="shared" si="84"/>
        <v>309</v>
      </c>
      <c r="S157" s="11"/>
      <c r="T157" s="13" t="str">
        <f t="shared" si="85"/>
        <v>*</v>
      </c>
      <c r="U157" s="14" t="str">
        <f t="shared" si="71"/>
        <v>---------------　COLOR　SUPPRESSION　---------------</v>
      </c>
      <c r="V157" s="13">
        <f t="shared" si="72"/>
        <v>1</v>
      </c>
      <c r="W157" s="13">
        <f t="shared" si="73"/>
        <v>0</v>
      </c>
      <c r="X157" s="14" t="str">
        <f t="shared" si="74"/>
        <v>-</v>
      </c>
      <c r="Y157" s="1">
        <f t="shared" si="75"/>
        <v>0</v>
      </c>
      <c r="Z157" s="1">
        <f t="shared" si="76"/>
        <v>2</v>
      </c>
      <c r="AA157" s="1">
        <f t="shared" si="69"/>
        <v>0</v>
      </c>
      <c r="AB157" s="1">
        <f t="shared" si="77"/>
        <v>0</v>
      </c>
      <c r="AC157" s="10" t="e">
        <f t="shared" si="78"/>
        <v>#VALUE!</v>
      </c>
      <c r="AD157" s="1" t="e">
        <f t="shared" si="86"/>
        <v>#VALUE!</v>
      </c>
      <c r="AF157" s="3" t="str">
        <f t="shared" si="79"/>
        <v>0</v>
      </c>
      <c r="AG157" s="5" t="str">
        <f t="shared" si="80"/>
        <v>---------------　COLOR　SUPPRESSION　---------------</v>
      </c>
      <c r="AH157" s="3" t="str">
        <f t="shared" si="81"/>
        <v>1</v>
      </c>
      <c r="AI157" s="3" t="str">
        <f t="shared" si="82"/>
        <v>0</v>
      </c>
      <c r="AJ157" s="7">
        <f t="shared" si="87"/>
        <v>1</v>
      </c>
    </row>
    <row r="158" spans="1:36" x14ac:dyDescent="0.3">
      <c r="A158" s="15" t="s">
        <v>145</v>
      </c>
      <c r="B158" s="1">
        <f t="shared" si="88"/>
        <v>0</v>
      </c>
      <c r="C158" s="1">
        <f t="shared" si="89"/>
        <v>0</v>
      </c>
      <c r="D158" s="10">
        <f t="shared" si="90"/>
        <v>0</v>
      </c>
      <c r="E158" s="1">
        <f t="shared" si="91"/>
        <v>0</v>
      </c>
      <c r="F158" s="1">
        <f t="shared" si="92"/>
        <v>0</v>
      </c>
      <c r="G158" s="1">
        <f t="shared" si="93"/>
        <v>0</v>
      </c>
      <c r="H158" s="1">
        <f t="shared" si="100"/>
        <v>0</v>
      </c>
      <c r="I158" s="10">
        <f t="shared" si="94"/>
        <v>0</v>
      </c>
      <c r="J158" s="1">
        <f t="shared" si="101"/>
        <v>0</v>
      </c>
      <c r="K158" s="1">
        <f t="shared" si="95"/>
        <v>0</v>
      </c>
      <c r="L158" s="1" t="str">
        <f t="shared" si="96"/>
        <v>0</v>
      </c>
      <c r="M158" s="10">
        <f t="shared" si="97"/>
        <v>0</v>
      </c>
      <c r="N158" s="1">
        <f t="shared" si="98"/>
        <v>3</v>
      </c>
      <c r="O158" s="1">
        <f t="shared" si="83"/>
        <v>1</v>
      </c>
      <c r="P158" s="1">
        <f t="shared" si="99"/>
        <v>8</v>
      </c>
      <c r="Q158" s="3" t="str">
        <f t="shared" si="70"/>
        <v>LSUP</v>
      </c>
      <c r="R158" s="11">
        <f t="shared" si="84"/>
        <v>309</v>
      </c>
      <c r="S158" s="11"/>
      <c r="T158" s="13" t="str">
        <f t="shared" si="85"/>
        <v>#</v>
      </c>
      <c r="U158" s="14" t="str">
        <f t="shared" si="71"/>
        <v>LSUP</v>
      </c>
      <c r="V158" s="13">
        <f t="shared" si="72"/>
        <v>1</v>
      </c>
      <c r="W158" s="13">
        <f t="shared" si="73"/>
        <v>0</v>
      </c>
      <c r="X158" s="14" t="str">
        <f t="shared" si="74"/>
        <v>-</v>
      </c>
      <c r="Y158" s="1">
        <f t="shared" si="75"/>
        <v>0</v>
      </c>
      <c r="Z158" s="1">
        <f t="shared" si="76"/>
        <v>2</v>
      </c>
      <c r="AA158" s="1">
        <f t="shared" si="69"/>
        <v>0</v>
      </c>
      <c r="AB158" s="1">
        <f t="shared" si="77"/>
        <v>0</v>
      </c>
      <c r="AC158" s="10" t="e">
        <f t="shared" si="78"/>
        <v>#VALUE!</v>
      </c>
      <c r="AD158" s="1" t="e">
        <f t="shared" si="86"/>
        <v>#VALUE!</v>
      </c>
      <c r="AF158" s="3" t="str">
        <f t="shared" si="79"/>
        <v>0</v>
      </c>
      <c r="AG158" s="5" t="str">
        <f t="shared" si="80"/>
        <v>#LSUP</v>
      </c>
      <c r="AH158" s="3" t="str">
        <f t="shared" si="81"/>
        <v>1</v>
      </c>
      <c r="AI158" s="3" t="str">
        <f t="shared" si="82"/>
        <v>0</v>
      </c>
      <c r="AJ158" s="7">
        <f t="shared" si="87"/>
        <v>1</v>
      </c>
    </row>
    <row r="159" spans="1:36" x14ac:dyDescent="0.3">
      <c r="A159" s="15" t="s">
        <v>503</v>
      </c>
      <c r="B159" s="1">
        <f t="shared" si="88"/>
        <v>8</v>
      </c>
      <c r="C159" s="1">
        <f t="shared" si="89"/>
        <v>9</v>
      </c>
      <c r="D159" s="10" t="str">
        <f t="shared" si="90"/>
        <v>1</v>
      </c>
      <c r="E159" s="1">
        <f t="shared" si="91"/>
        <v>11</v>
      </c>
      <c r="F159" s="1">
        <f t="shared" si="92"/>
        <v>20</v>
      </c>
      <c r="G159" s="1">
        <f t="shared" si="93"/>
        <v>25</v>
      </c>
      <c r="H159" s="1">
        <f t="shared" si="100"/>
        <v>20</v>
      </c>
      <c r="I159" s="10" t="str">
        <f t="shared" si="94"/>
        <v>UpLSUP_ON</v>
      </c>
      <c r="J159" s="1">
        <f t="shared" si="101"/>
        <v>22</v>
      </c>
      <c r="K159" s="1" t="str">
        <f t="shared" si="95"/>
        <v>340</v>
      </c>
      <c r="L159" s="1" t="str">
        <f t="shared" si="96"/>
        <v>154</v>
      </c>
      <c r="M159" s="10">
        <f t="shared" si="97"/>
        <v>340</v>
      </c>
      <c r="N159" s="1">
        <f t="shared" si="98"/>
        <v>28</v>
      </c>
      <c r="O159" s="1">
        <f t="shared" si="83"/>
        <v>0</v>
      </c>
      <c r="P159" s="1">
        <f t="shared" si="99"/>
        <v>80</v>
      </c>
      <c r="Q159" s="3" t="str">
        <f t="shared" si="70"/>
        <v xml:space="preserve"> Low Light color suppression on/off (0: off, 1: on) </v>
      </c>
      <c r="R159" s="11">
        <f t="shared" si="84"/>
        <v>340</v>
      </c>
      <c r="S159" s="11"/>
      <c r="T159" s="13" t="str">
        <f t="shared" si="85"/>
        <v>154</v>
      </c>
      <c r="U159" s="14" t="str">
        <f t="shared" si="71"/>
        <v>UpLSUP_ON</v>
      </c>
      <c r="V159" s="13" t="str">
        <f t="shared" si="72"/>
        <v>1</v>
      </c>
      <c r="W159" s="13">
        <f t="shared" si="73"/>
        <v>0</v>
      </c>
      <c r="X159" s="14" t="str">
        <f t="shared" si="74"/>
        <v xml:space="preserve"> Low Light color suppression on/off (0: off, 1: on) </v>
      </c>
      <c r="Y159" s="1">
        <f t="shared" si="75"/>
        <v>1</v>
      </c>
      <c r="Z159" s="1">
        <f t="shared" si="76"/>
        <v>1</v>
      </c>
      <c r="AA159" s="1">
        <f t="shared" si="69"/>
        <v>22</v>
      </c>
      <c r="AB159" s="1" t="str">
        <f t="shared" si="77"/>
        <v>340)/* Low Light color suppression on/off (0: off, 1: on) *</v>
      </c>
      <c r="AC159" s="10" t="str">
        <f t="shared" si="78"/>
        <v>340)/* Low Light color suppression on/off (0: off, 1: on) *</v>
      </c>
      <c r="AD159" s="1" t="e">
        <f t="shared" si="86"/>
        <v>#VALUE!</v>
      </c>
      <c r="AF159" s="3" t="e">
        <f t="shared" si="79"/>
        <v>#VALUE!</v>
      </c>
      <c r="AG159" s="5" t="str">
        <f t="shared" si="80"/>
        <v>UpLSUP_ON</v>
      </c>
      <c r="AH159" s="3">
        <f t="shared" si="81"/>
        <v>1</v>
      </c>
      <c r="AI159" s="3">
        <f t="shared" si="82"/>
        <v>0</v>
      </c>
      <c r="AJ159" s="7">
        <f t="shared" si="87"/>
        <v>1</v>
      </c>
    </row>
    <row r="160" spans="1:36" x14ac:dyDescent="0.3">
      <c r="A160" s="15" t="s">
        <v>517</v>
      </c>
      <c r="B160" s="1">
        <f t="shared" si="88"/>
        <v>8</v>
      </c>
      <c r="C160" s="1">
        <f t="shared" si="89"/>
        <v>9</v>
      </c>
      <c r="D160" s="10" t="str">
        <f t="shared" si="90"/>
        <v>2</v>
      </c>
      <c r="E160" s="1">
        <f t="shared" si="91"/>
        <v>11</v>
      </c>
      <c r="F160" s="1">
        <f t="shared" si="92"/>
        <v>0</v>
      </c>
      <c r="G160" s="1">
        <f t="shared" si="93"/>
        <v>28</v>
      </c>
      <c r="H160" s="1">
        <f t="shared" si="100"/>
        <v>28</v>
      </c>
      <c r="I160" s="10" t="str">
        <f t="shared" si="94"/>
        <v>UpLSUP_GA_AGC_PT0</v>
      </c>
      <c r="J160" s="1">
        <f t="shared" si="101"/>
        <v>0</v>
      </c>
      <c r="K160" s="1">
        <f t="shared" si="95"/>
        <v>0</v>
      </c>
      <c r="L160" s="1" t="str">
        <f t="shared" si="96"/>
        <v>0</v>
      </c>
      <c r="M160" s="10">
        <f t="shared" si="97"/>
        <v>0</v>
      </c>
      <c r="N160" s="1">
        <f t="shared" si="98"/>
        <v>31</v>
      </c>
      <c r="O160" s="1">
        <f t="shared" si="83"/>
        <v>0</v>
      </c>
      <c r="P160" s="1">
        <f t="shared" si="99"/>
        <v>89</v>
      </c>
      <c r="Q160" s="3" t="str">
        <f t="shared" si="70"/>
        <v xml:space="preserve"> Low Light color suppression gradient (Y domain control)  </v>
      </c>
      <c r="R160" s="11">
        <f t="shared" si="84"/>
        <v>341</v>
      </c>
      <c r="S160" s="11"/>
      <c r="T160" s="13" t="str">
        <f t="shared" si="85"/>
        <v>155</v>
      </c>
      <c r="U160" s="14" t="str">
        <f t="shared" si="71"/>
        <v>UpLSUP_GA_AGC_PT0</v>
      </c>
      <c r="V160" s="13" t="str">
        <f t="shared" si="72"/>
        <v>2</v>
      </c>
      <c r="W160" s="13">
        <f t="shared" si="73"/>
        <v>0</v>
      </c>
      <c r="X160" s="14" t="str">
        <f t="shared" si="74"/>
        <v xml:space="preserve"> Low Light color suppression gradient (Y domain control)  </v>
      </c>
      <c r="Y160" s="1">
        <f t="shared" si="75"/>
        <v>1</v>
      </c>
      <c r="Z160" s="1">
        <f t="shared" si="76"/>
        <v>2</v>
      </c>
      <c r="AA160" s="1">
        <f t="shared" si="69"/>
        <v>0</v>
      </c>
      <c r="AB160" s="1">
        <f t="shared" si="77"/>
        <v>0</v>
      </c>
      <c r="AC160" s="10" t="e">
        <f t="shared" si="78"/>
        <v>#VALUE!</v>
      </c>
      <c r="AD160" s="1" t="e">
        <f t="shared" si="86"/>
        <v>#VALUE!</v>
      </c>
      <c r="AF160" s="3" t="e">
        <f t="shared" si="79"/>
        <v>#VALUE!</v>
      </c>
      <c r="AG160" s="5" t="str">
        <f t="shared" si="80"/>
        <v>UpLSUP_GA_AGC_PT0)/* Low Light color suppression gradient (Y domain control)  *</v>
      </c>
      <c r="AH160" s="3">
        <f t="shared" si="81"/>
        <v>2</v>
      </c>
      <c r="AI160" s="3">
        <f t="shared" si="82"/>
        <v>0</v>
      </c>
      <c r="AJ160" s="7">
        <f t="shared" si="87"/>
        <v>1</v>
      </c>
    </row>
    <row r="161" spans="1:36" x14ac:dyDescent="0.3">
      <c r="A161" s="15" t="s">
        <v>518</v>
      </c>
      <c r="B161" s="1">
        <f t="shared" si="88"/>
        <v>8</v>
      </c>
      <c r="C161" s="1">
        <f t="shared" si="89"/>
        <v>9</v>
      </c>
      <c r="D161" s="10" t="str">
        <f t="shared" si="90"/>
        <v>2</v>
      </c>
      <c r="E161" s="1">
        <f t="shared" si="91"/>
        <v>11</v>
      </c>
      <c r="F161" s="1">
        <f t="shared" si="92"/>
        <v>0</v>
      </c>
      <c r="G161" s="1">
        <f t="shared" si="93"/>
        <v>28</v>
      </c>
      <c r="H161" s="1">
        <f t="shared" si="100"/>
        <v>28</v>
      </c>
      <c r="I161" s="10" t="str">
        <f t="shared" si="94"/>
        <v>UpLSUP_GA_AGC_PT1</v>
      </c>
      <c r="J161" s="1">
        <f t="shared" si="101"/>
        <v>0</v>
      </c>
      <c r="K161" s="1">
        <f t="shared" si="95"/>
        <v>0</v>
      </c>
      <c r="L161" s="1" t="str">
        <f t="shared" si="96"/>
        <v>0</v>
      </c>
      <c r="M161" s="10">
        <f t="shared" si="97"/>
        <v>0</v>
      </c>
      <c r="N161" s="1">
        <f t="shared" si="98"/>
        <v>31</v>
      </c>
      <c r="O161" s="1">
        <f t="shared" si="83"/>
        <v>0</v>
      </c>
      <c r="P161" s="1">
        <f t="shared" si="99"/>
        <v>89</v>
      </c>
      <c r="Q161" s="3" t="str">
        <f t="shared" si="70"/>
        <v xml:space="preserve"> Low Light color suppression gradient (Y domain control)  </v>
      </c>
      <c r="R161" s="11">
        <f t="shared" si="84"/>
        <v>343</v>
      </c>
      <c r="S161" s="11"/>
      <c r="T161" s="13" t="str">
        <f t="shared" si="85"/>
        <v>157</v>
      </c>
      <c r="U161" s="14" t="str">
        <f t="shared" si="71"/>
        <v>UpLSUP_GA_AGC_PT1</v>
      </c>
      <c r="V161" s="13" t="str">
        <f t="shared" si="72"/>
        <v>2</v>
      </c>
      <c r="W161" s="13">
        <f t="shared" si="73"/>
        <v>0</v>
      </c>
      <c r="X161" s="14" t="str">
        <f t="shared" si="74"/>
        <v xml:space="preserve"> Low Light color suppression gradient (Y domain control)  </v>
      </c>
      <c r="Y161" s="1">
        <f t="shared" si="75"/>
        <v>1</v>
      </c>
      <c r="Z161" s="1">
        <f t="shared" si="76"/>
        <v>2</v>
      </c>
      <c r="AA161" s="1">
        <f t="shared" si="69"/>
        <v>0</v>
      </c>
      <c r="AB161" s="1">
        <f t="shared" si="77"/>
        <v>0</v>
      </c>
      <c r="AC161" s="10" t="e">
        <f t="shared" si="78"/>
        <v>#VALUE!</v>
      </c>
      <c r="AD161" s="1" t="e">
        <f t="shared" si="86"/>
        <v>#VALUE!</v>
      </c>
      <c r="AF161" s="3" t="e">
        <f t="shared" si="79"/>
        <v>#VALUE!</v>
      </c>
      <c r="AG161" s="5" t="str">
        <f t="shared" si="80"/>
        <v>UpLSUP_GA_AGC_PT1)/* Low Light color suppression gradient (Y domain control)  *</v>
      </c>
      <c r="AH161" s="3">
        <f t="shared" si="81"/>
        <v>2</v>
      </c>
      <c r="AI161" s="3">
        <f t="shared" si="82"/>
        <v>0</v>
      </c>
      <c r="AJ161" s="7">
        <f t="shared" si="87"/>
        <v>1</v>
      </c>
    </row>
    <row r="162" spans="1:36" x14ac:dyDescent="0.3">
      <c r="A162" s="15" t="s">
        <v>519</v>
      </c>
      <c r="B162" s="1">
        <f t="shared" si="88"/>
        <v>8</v>
      </c>
      <c r="C162" s="1">
        <f t="shared" si="89"/>
        <v>9</v>
      </c>
      <c r="D162" s="10" t="str">
        <f t="shared" si="90"/>
        <v>1</v>
      </c>
      <c r="E162" s="1">
        <f t="shared" si="91"/>
        <v>11</v>
      </c>
      <c r="F162" s="1">
        <f t="shared" si="92"/>
        <v>0</v>
      </c>
      <c r="G162" s="1">
        <f t="shared" si="93"/>
        <v>28</v>
      </c>
      <c r="H162" s="1">
        <f t="shared" si="100"/>
        <v>28</v>
      </c>
      <c r="I162" s="10" t="str">
        <f t="shared" si="94"/>
        <v>UpLSUP_GA_VAL_PT0</v>
      </c>
      <c r="J162" s="1">
        <f t="shared" si="101"/>
        <v>0</v>
      </c>
      <c r="K162" s="1">
        <f t="shared" si="95"/>
        <v>0</v>
      </c>
      <c r="L162" s="1" t="str">
        <f t="shared" si="96"/>
        <v>0</v>
      </c>
      <c r="M162" s="10">
        <f t="shared" si="97"/>
        <v>0</v>
      </c>
      <c r="N162" s="1">
        <f t="shared" si="98"/>
        <v>31</v>
      </c>
      <c r="O162" s="1">
        <f t="shared" si="83"/>
        <v>0</v>
      </c>
      <c r="P162" s="1">
        <f t="shared" si="99"/>
        <v>99</v>
      </c>
      <c r="Q162" s="3" t="str">
        <f t="shared" si="70"/>
        <v xml:space="preserve"> Low Light color suppression gradient (Y domain control) (0 ~ 0x3F) </v>
      </c>
      <c r="R162" s="11">
        <f t="shared" si="84"/>
        <v>345</v>
      </c>
      <c r="S162" s="11"/>
      <c r="T162" s="13" t="str">
        <f t="shared" si="85"/>
        <v>159</v>
      </c>
      <c r="U162" s="14" t="str">
        <f t="shared" si="71"/>
        <v>UpLSUP_GA_VAL_PT0</v>
      </c>
      <c r="V162" s="13" t="str">
        <f t="shared" si="72"/>
        <v>1</v>
      </c>
      <c r="W162" s="13">
        <f t="shared" si="73"/>
        <v>0</v>
      </c>
      <c r="X162" s="14" t="str">
        <f t="shared" si="74"/>
        <v xml:space="preserve"> Low Light color suppression gradient (Y domain control) (0 ~ 0x3F) </v>
      </c>
      <c r="Y162" s="1">
        <f t="shared" si="75"/>
        <v>1</v>
      </c>
      <c r="Z162" s="1">
        <f t="shared" si="76"/>
        <v>1</v>
      </c>
      <c r="AA162" s="1">
        <f t="shared" si="69"/>
        <v>0</v>
      </c>
      <c r="AB162" s="1">
        <f t="shared" si="77"/>
        <v>0</v>
      </c>
      <c r="AC162" s="10" t="e">
        <f t="shared" si="78"/>
        <v>#VALUE!</v>
      </c>
      <c r="AD162" s="1" t="e">
        <f t="shared" si="86"/>
        <v>#VALUE!</v>
      </c>
      <c r="AF162" s="3" t="e">
        <f t="shared" si="79"/>
        <v>#VALUE!</v>
      </c>
      <c r="AG162" s="5" t="str">
        <f t="shared" si="80"/>
        <v>UpLSUP_GA_VAL_PT0)/* Low Light color suppression gradient (Y domain control) (0 ~ 0x3F) *</v>
      </c>
      <c r="AH162" s="3">
        <f t="shared" si="81"/>
        <v>1</v>
      </c>
      <c r="AI162" s="3">
        <f t="shared" si="82"/>
        <v>0</v>
      </c>
      <c r="AJ162" s="7">
        <f t="shared" si="87"/>
        <v>1</v>
      </c>
    </row>
    <row r="163" spans="1:36" x14ac:dyDescent="0.3">
      <c r="A163" s="15" t="s">
        <v>520</v>
      </c>
      <c r="B163" s="1">
        <f t="shared" si="88"/>
        <v>8</v>
      </c>
      <c r="C163" s="1">
        <f t="shared" si="89"/>
        <v>9</v>
      </c>
      <c r="D163" s="10" t="str">
        <f t="shared" si="90"/>
        <v>1</v>
      </c>
      <c r="E163" s="1">
        <f t="shared" si="91"/>
        <v>11</v>
      </c>
      <c r="F163" s="1">
        <f t="shared" si="92"/>
        <v>0</v>
      </c>
      <c r="G163" s="1">
        <f t="shared" si="93"/>
        <v>28</v>
      </c>
      <c r="H163" s="1">
        <f t="shared" si="100"/>
        <v>28</v>
      </c>
      <c r="I163" s="10" t="str">
        <f t="shared" si="94"/>
        <v>UpLSUP_GA_VAL_PT1</v>
      </c>
      <c r="J163" s="1">
        <f t="shared" si="101"/>
        <v>0</v>
      </c>
      <c r="K163" s="1">
        <f t="shared" si="95"/>
        <v>0</v>
      </c>
      <c r="L163" s="1" t="str">
        <f t="shared" si="96"/>
        <v>0</v>
      </c>
      <c r="M163" s="10">
        <f t="shared" si="97"/>
        <v>0</v>
      </c>
      <c r="N163" s="1">
        <f t="shared" si="98"/>
        <v>31</v>
      </c>
      <c r="O163" s="1">
        <f t="shared" si="83"/>
        <v>0</v>
      </c>
      <c r="P163" s="1">
        <f t="shared" si="99"/>
        <v>99</v>
      </c>
      <c r="Q163" s="3" t="str">
        <f t="shared" si="70"/>
        <v xml:space="preserve"> Low Light color suppression gradient (Y domain control) (0 ~ 0x3F) </v>
      </c>
      <c r="R163" s="11">
        <f t="shared" si="84"/>
        <v>346</v>
      </c>
      <c r="S163" s="11"/>
      <c r="T163" s="13" t="str">
        <f t="shared" si="85"/>
        <v>15A</v>
      </c>
      <c r="U163" s="14" t="str">
        <f t="shared" si="71"/>
        <v>UpLSUP_GA_VAL_PT1</v>
      </c>
      <c r="V163" s="13" t="str">
        <f t="shared" si="72"/>
        <v>1</v>
      </c>
      <c r="W163" s="13">
        <f t="shared" si="73"/>
        <v>0</v>
      </c>
      <c r="X163" s="14" t="str">
        <f t="shared" si="74"/>
        <v xml:space="preserve"> Low Light color suppression gradient (Y domain control) (0 ~ 0x3F) </v>
      </c>
      <c r="Y163" s="1">
        <f t="shared" si="75"/>
        <v>1</v>
      </c>
      <c r="Z163" s="1">
        <f t="shared" si="76"/>
        <v>1</v>
      </c>
      <c r="AA163" s="1">
        <f t="shared" si="69"/>
        <v>0</v>
      </c>
      <c r="AB163" s="1">
        <f t="shared" si="77"/>
        <v>0</v>
      </c>
      <c r="AC163" s="10" t="e">
        <f t="shared" si="78"/>
        <v>#VALUE!</v>
      </c>
      <c r="AD163" s="1" t="e">
        <f t="shared" si="86"/>
        <v>#VALUE!</v>
      </c>
      <c r="AF163" s="3" t="e">
        <f t="shared" si="79"/>
        <v>#VALUE!</v>
      </c>
      <c r="AG163" s="5" t="str">
        <f t="shared" si="80"/>
        <v>UpLSUP_GA_VAL_PT1)/* Low Light color suppression gradient (Y domain control) (0 ~ 0x3F) *</v>
      </c>
      <c r="AH163" s="3">
        <f t="shared" si="81"/>
        <v>1</v>
      </c>
      <c r="AI163" s="3">
        <f t="shared" si="82"/>
        <v>0</v>
      </c>
      <c r="AJ163" s="7">
        <f t="shared" si="87"/>
        <v>1</v>
      </c>
    </row>
    <row r="164" spans="1:36" x14ac:dyDescent="0.3">
      <c r="A164" s="15" t="s">
        <v>521</v>
      </c>
      <c r="B164" s="1">
        <f t="shared" si="88"/>
        <v>8</v>
      </c>
      <c r="C164" s="1">
        <f t="shared" si="89"/>
        <v>9</v>
      </c>
      <c r="D164" s="10" t="str">
        <f t="shared" si="90"/>
        <v>1</v>
      </c>
      <c r="E164" s="1">
        <f t="shared" si="91"/>
        <v>11</v>
      </c>
      <c r="F164" s="1">
        <f t="shared" si="92"/>
        <v>0</v>
      </c>
      <c r="G164" s="1">
        <f t="shared" si="93"/>
        <v>20</v>
      </c>
      <c r="H164" s="1">
        <f t="shared" si="100"/>
        <v>20</v>
      </c>
      <c r="I164" s="10" t="str">
        <f t="shared" si="94"/>
        <v>UpLSUP_TH</v>
      </c>
      <c r="J164" s="1">
        <f t="shared" si="101"/>
        <v>0</v>
      </c>
      <c r="K164" s="1">
        <f t="shared" si="95"/>
        <v>0</v>
      </c>
      <c r="L164" s="1" t="str">
        <f t="shared" si="96"/>
        <v>0</v>
      </c>
      <c r="M164" s="10">
        <f t="shared" si="97"/>
        <v>0</v>
      </c>
      <c r="N164" s="1">
        <f t="shared" si="98"/>
        <v>23</v>
      </c>
      <c r="O164" s="1">
        <f t="shared" si="83"/>
        <v>0</v>
      </c>
      <c r="P164" s="1">
        <f t="shared" si="99"/>
        <v>81</v>
      </c>
      <c r="Q164" s="3" t="str">
        <f t="shared" si="70"/>
        <v xml:space="preserve"> Low Light color suppression threshold (Y domain control) </v>
      </c>
      <c r="R164" s="11">
        <f t="shared" si="84"/>
        <v>347</v>
      </c>
      <c r="S164" s="11"/>
      <c r="T164" s="13" t="str">
        <f t="shared" si="85"/>
        <v>15B</v>
      </c>
      <c r="U164" s="14" t="str">
        <f t="shared" si="71"/>
        <v>UpLSUP_TH</v>
      </c>
      <c r="V164" s="13" t="str">
        <f t="shared" si="72"/>
        <v>1</v>
      </c>
      <c r="W164" s="13">
        <f t="shared" si="73"/>
        <v>0</v>
      </c>
      <c r="X164" s="14" t="str">
        <f t="shared" si="74"/>
        <v xml:space="preserve"> Low Light color suppression threshold (Y domain control) </v>
      </c>
      <c r="Y164" s="1">
        <f t="shared" si="75"/>
        <v>1</v>
      </c>
      <c r="Z164" s="1">
        <f t="shared" si="76"/>
        <v>1</v>
      </c>
      <c r="AA164" s="1">
        <f t="shared" ref="AA164:AA227" si="102">IFERROR(FIND("=",A164)+1,0)</f>
        <v>0</v>
      </c>
      <c r="AB164" s="1">
        <f t="shared" si="77"/>
        <v>0</v>
      </c>
      <c r="AC164" s="10" t="e">
        <f t="shared" si="78"/>
        <v>#VALUE!</v>
      </c>
      <c r="AD164" s="1" t="e">
        <f t="shared" si="86"/>
        <v>#VALUE!</v>
      </c>
      <c r="AF164" s="3" t="e">
        <f t="shared" si="79"/>
        <v>#VALUE!</v>
      </c>
      <c r="AG164" s="5" t="str">
        <f t="shared" si="80"/>
        <v>UpLSUP_TH)/* Low Light color suppression threshold (Y domain control) *</v>
      </c>
      <c r="AH164" s="3">
        <f t="shared" si="81"/>
        <v>1</v>
      </c>
      <c r="AI164" s="3">
        <f t="shared" si="82"/>
        <v>0</v>
      </c>
      <c r="AJ164" s="7">
        <f t="shared" si="87"/>
        <v>1</v>
      </c>
    </row>
    <row r="165" spans="1:36" x14ac:dyDescent="0.3">
      <c r="A165" s="15" t="s">
        <v>146</v>
      </c>
      <c r="B165" s="1">
        <f t="shared" si="88"/>
        <v>0</v>
      </c>
      <c r="C165" s="1">
        <f t="shared" si="89"/>
        <v>0</v>
      </c>
      <c r="D165" s="10">
        <f t="shared" si="90"/>
        <v>0</v>
      </c>
      <c r="E165" s="1">
        <f t="shared" si="91"/>
        <v>0</v>
      </c>
      <c r="F165" s="1">
        <f t="shared" si="92"/>
        <v>0</v>
      </c>
      <c r="G165" s="1">
        <f t="shared" si="93"/>
        <v>0</v>
      </c>
      <c r="H165" s="1">
        <f t="shared" si="100"/>
        <v>0</v>
      </c>
      <c r="I165" s="10">
        <f t="shared" si="94"/>
        <v>0</v>
      </c>
      <c r="J165" s="1">
        <f t="shared" si="101"/>
        <v>0</v>
      </c>
      <c r="K165" s="1">
        <f t="shared" si="95"/>
        <v>0</v>
      </c>
      <c r="L165" s="1" t="str">
        <f t="shared" si="96"/>
        <v>0</v>
      </c>
      <c r="M165" s="10">
        <f t="shared" si="97"/>
        <v>0</v>
      </c>
      <c r="N165" s="1">
        <f t="shared" si="98"/>
        <v>3</v>
      </c>
      <c r="O165" s="1">
        <f t="shared" si="83"/>
        <v>1</v>
      </c>
      <c r="P165" s="1">
        <f t="shared" si="99"/>
        <v>8</v>
      </c>
      <c r="Q165" s="3" t="str">
        <f t="shared" si="70"/>
        <v>CSUP</v>
      </c>
      <c r="R165" s="11">
        <f t="shared" si="84"/>
        <v>348</v>
      </c>
      <c r="S165" s="11"/>
      <c r="T165" s="13" t="str">
        <f t="shared" si="85"/>
        <v>#</v>
      </c>
      <c r="U165" s="14" t="str">
        <f t="shared" si="71"/>
        <v>CSUP</v>
      </c>
      <c r="V165" s="13">
        <f t="shared" si="72"/>
        <v>1</v>
      </c>
      <c r="W165" s="13">
        <f t="shared" si="73"/>
        <v>0</v>
      </c>
      <c r="X165" s="14" t="str">
        <f t="shared" si="74"/>
        <v>-</v>
      </c>
      <c r="Y165" s="1">
        <f t="shared" si="75"/>
        <v>0</v>
      </c>
      <c r="Z165" s="1">
        <f t="shared" si="76"/>
        <v>1</v>
      </c>
      <c r="AA165" s="1">
        <f t="shared" si="102"/>
        <v>0</v>
      </c>
      <c r="AB165" s="1">
        <f t="shared" si="77"/>
        <v>0</v>
      </c>
      <c r="AC165" s="10" t="e">
        <f t="shared" si="78"/>
        <v>#VALUE!</v>
      </c>
      <c r="AD165" s="1" t="e">
        <f t="shared" si="86"/>
        <v>#VALUE!</v>
      </c>
      <c r="AF165" s="3" t="str">
        <f t="shared" si="79"/>
        <v>0</v>
      </c>
      <c r="AG165" s="5" t="str">
        <f t="shared" si="80"/>
        <v>#CSUP</v>
      </c>
      <c r="AH165" s="3" t="str">
        <f t="shared" si="81"/>
        <v>1</v>
      </c>
      <c r="AI165" s="3" t="str">
        <f t="shared" si="82"/>
        <v>0</v>
      </c>
      <c r="AJ165" s="7">
        <f t="shared" si="87"/>
        <v>1</v>
      </c>
    </row>
    <row r="166" spans="1:36" x14ac:dyDescent="0.3">
      <c r="A166" s="15" t="s">
        <v>60</v>
      </c>
      <c r="B166" s="1">
        <f t="shared" si="88"/>
        <v>8</v>
      </c>
      <c r="C166" s="1">
        <f t="shared" si="89"/>
        <v>9</v>
      </c>
      <c r="D166" s="10" t="str">
        <f t="shared" si="90"/>
        <v>1</v>
      </c>
      <c r="E166" s="1">
        <f t="shared" si="91"/>
        <v>11</v>
      </c>
      <c r="F166" s="1">
        <f t="shared" si="92"/>
        <v>86</v>
      </c>
      <c r="G166" s="1">
        <f t="shared" si="93"/>
        <v>20</v>
      </c>
      <c r="H166" s="1">
        <f t="shared" si="100"/>
        <v>20</v>
      </c>
      <c r="I166" s="10" t="str">
        <f t="shared" si="94"/>
        <v>UpCSUP_ON</v>
      </c>
      <c r="J166" s="1">
        <f t="shared" si="101"/>
        <v>0</v>
      </c>
      <c r="K166" s="1">
        <f t="shared" si="95"/>
        <v>0</v>
      </c>
      <c r="L166" s="1" t="str">
        <f t="shared" si="96"/>
        <v>0</v>
      </c>
      <c r="M166" s="10">
        <f t="shared" si="97"/>
        <v>0</v>
      </c>
      <c r="N166" s="1">
        <f t="shared" si="98"/>
        <v>23</v>
      </c>
      <c r="O166" s="1">
        <f t="shared" si="83"/>
        <v>0</v>
      </c>
      <c r="P166" s="1">
        <f t="shared" si="99"/>
        <v>95</v>
      </c>
      <c r="Q166" s="3" t="str">
        <f t="shared" si="70"/>
        <v xml:space="preserve"> High Light color suppression on/off (Y domain control) (0: off, 1: on) </v>
      </c>
      <c r="R166" s="11">
        <f t="shared" si="84"/>
        <v>348</v>
      </c>
      <c r="S166" s="11"/>
      <c r="T166" s="13" t="str">
        <f t="shared" si="85"/>
        <v>15C</v>
      </c>
      <c r="U166" s="14" t="str">
        <f t="shared" si="71"/>
        <v>UpCSUP_ON</v>
      </c>
      <c r="V166" s="13" t="str">
        <f t="shared" si="72"/>
        <v>1</v>
      </c>
      <c r="W166" s="13">
        <f t="shared" si="73"/>
        <v>0</v>
      </c>
      <c r="X166" s="14" t="str">
        <f t="shared" si="74"/>
        <v xml:space="preserve"> High Light color suppression on/off (Y domain control) (0: off, 1: on) </v>
      </c>
      <c r="Y166" s="1">
        <f t="shared" si="75"/>
        <v>1</v>
      </c>
      <c r="Z166" s="1">
        <f t="shared" si="76"/>
        <v>1</v>
      </c>
      <c r="AA166" s="1">
        <f t="shared" si="102"/>
        <v>0</v>
      </c>
      <c r="AB166" s="1">
        <f t="shared" si="77"/>
        <v>0</v>
      </c>
      <c r="AC166" s="10" t="e">
        <f t="shared" si="78"/>
        <v>#VALUE!</v>
      </c>
      <c r="AD166" s="1" t="e">
        <f t="shared" si="86"/>
        <v>#VALUE!</v>
      </c>
      <c r="AF166" s="3" t="e">
        <f t="shared" si="79"/>
        <v>#VALUE!</v>
      </c>
      <c r="AG166" s="5" t="str">
        <f t="shared" si="80"/>
        <v>UpCSUP_ON)/* High Light color suppression on/off (Y domain control) (0: off, 1: on) *</v>
      </c>
      <c r="AH166" s="3">
        <f t="shared" si="81"/>
        <v>1</v>
      </c>
      <c r="AI166" s="3">
        <f t="shared" si="82"/>
        <v>0</v>
      </c>
      <c r="AJ166" s="7">
        <f t="shared" si="87"/>
        <v>1</v>
      </c>
    </row>
    <row r="167" spans="1:36" x14ac:dyDescent="0.3">
      <c r="A167" s="15" t="s">
        <v>53</v>
      </c>
      <c r="B167" s="1">
        <f t="shared" si="88"/>
        <v>8</v>
      </c>
      <c r="C167" s="1">
        <f t="shared" si="89"/>
        <v>9</v>
      </c>
      <c r="D167" s="10" t="str">
        <f t="shared" si="90"/>
        <v>1</v>
      </c>
      <c r="E167" s="1">
        <f t="shared" si="91"/>
        <v>11</v>
      </c>
      <c r="F167" s="1">
        <f t="shared" si="92"/>
        <v>89</v>
      </c>
      <c r="G167" s="1">
        <f t="shared" si="93"/>
        <v>20</v>
      </c>
      <c r="H167" s="1">
        <f t="shared" si="100"/>
        <v>20</v>
      </c>
      <c r="I167" s="10" t="str">
        <f t="shared" si="94"/>
        <v>UpCSUP_GA</v>
      </c>
      <c r="J167" s="1">
        <f t="shared" si="101"/>
        <v>0</v>
      </c>
      <c r="K167" s="1">
        <f t="shared" si="95"/>
        <v>0</v>
      </c>
      <c r="L167" s="1" t="str">
        <f t="shared" si="96"/>
        <v>0</v>
      </c>
      <c r="M167" s="10">
        <f t="shared" si="97"/>
        <v>0</v>
      </c>
      <c r="N167" s="1">
        <f t="shared" si="98"/>
        <v>23</v>
      </c>
      <c r="O167" s="1">
        <f t="shared" si="83"/>
        <v>0</v>
      </c>
      <c r="P167" s="1">
        <f t="shared" si="99"/>
        <v>126</v>
      </c>
      <c r="Q167" s="3" t="str">
        <f t="shared" si="70"/>
        <v xml:space="preserve"> High Light color suppression gain (Y domain control) (0x40 = x0.5, 0x80 = x1, 0xC0 = x1.5, 0xff = x2) </v>
      </c>
      <c r="R167" s="11">
        <f t="shared" si="84"/>
        <v>349</v>
      </c>
      <c r="S167" s="11"/>
      <c r="T167" s="13" t="str">
        <f t="shared" si="85"/>
        <v>15D</v>
      </c>
      <c r="U167" s="14" t="str">
        <f t="shared" si="71"/>
        <v>UpCSUP_GA</v>
      </c>
      <c r="V167" s="13" t="str">
        <f t="shared" si="72"/>
        <v>1</v>
      </c>
      <c r="W167" s="13">
        <f t="shared" si="73"/>
        <v>0</v>
      </c>
      <c r="X167" s="14" t="str">
        <f t="shared" si="74"/>
        <v xml:space="preserve"> High Light color suppression gain (Y domain control) (0x40 = x0.5, 0x80 = x1, 0xC0 = x1.5, 0xff = x2) </v>
      </c>
      <c r="Y167" s="1">
        <f t="shared" si="75"/>
        <v>1</v>
      </c>
      <c r="Z167" s="1">
        <f t="shared" si="76"/>
        <v>1</v>
      </c>
      <c r="AA167" s="1">
        <f t="shared" si="102"/>
        <v>84</v>
      </c>
      <c r="AB167" s="1" t="str">
        <f t="shared" si="77"/>
        <v xml:space="preserve"> x0.5, 0x80 = x1, 0xC0 = x1.5, 0xff = x2) *</v>
      </c>
      <c r="AC167" s="10" t="str">
        <f t="shared" si="78"/>
        <v xml:space="preserve"> x0.5, 0x80 = x1, 0xC0 = x1.5, 0xff = x2) *</v>
      </c>
      <c r="AD167" s="1" t="e">
        <f t="shared" si="86"/>
        <v>#VALUE!</v>
      </c>
      <c r="AF167" s="3" t="e">
        <f t="shared" si="79"/>
        <v>#VALUE!</v>
      </c>
      <c r="AG167" s="5" t="str">
        <f t="shared" si="80"/>
        <v>UpCSUP_GA)/* High Light color suppression gain (Y domain control) (0x40</v>
      </c>
      <c r="AH167" s="3">
        <f t="shared" si="81"/>
        <v>1</v>
      </c>
      <c r="AI167" s="3">
        <f t="shared" si="82"/>
        <v>0</v>
      </c>
      <c r="AJ167" s="7">
        <f t="shared" si="87"/>
        <v>1</v>
      </c>
    </row>
    <row r="168" spans="1:36" x14ac:dyDescent="0.3">
      <c r="A168" s="15" t="s">
        <v>419</v>
      </c>
      <c r="B168" s="1">
        <f t="shared" si="88"/>
        <v>8</v>
      </c>
      <c r="C168" s="1">
        <f t="shared" si="89"/>
        <v>9</v>
      </c>
      <c r="D168" s="10" t="str">
        <f t="shared" si="90"/>
        <v>2</v>
      </c>
      <c r="E168" s="1">
        <f t="shared" si="91"/>
        <v>11</v>
      </c>
      <c r="F168" s="1">
        <f t="shared" si="92"/>
        <v>0</v>
      </c>
      <c r="G168" s="1">
        <f t="shared" si="93"/>
        <v>28</v>
      </c>
      <c r="H168" s="1">
        <f t="shared" si="100"/>
        <v>28</v>
      </c>
      <c r="I168" s="10" t="str">
        <f t="shared" si="94"/>
        <v>UpCSUP_TH_AGC_PT0</v>
      </c>
      <c r="J168" s="1">
        <f t="shared" si="101"/>
        <v>0</v>
      </c>
      <c r="K168" s="1">
        <f t="shared" si="95"/>
        <v>0</v>
      </c>
      <c r="L168" s="1" t="str">
        <f t="shared" si="96"/>
        <v>0</v>
      </c>
      <c r="M168" s="10">
        <f t="shared" si="97"/>
        <v>0</v>
      </c>
      <c r="N168" s="1">
        <f t="shared" si="98"/>
        <v>31</v>
      </c>
      <c r="O168" s="1">
        <f t="shared" si="83"/>
        <v>0</v>
      </c>
      <c r="P168" s="1">
        <f t="shared" si="99"/>
        <v>91</v>
      </c>
      <c r="Q168" s="3" t="str">
        <f t="shared" si="70"/>
        <v xml:space="preserve"> High Light color suppression threshold (Y domain control)  </v>
      </c>
      <c r="R168" s="11">
        <f t="shared" si="84"/>
        <v>350</v>
      </c>
      <c r="S168" s="11"/>
      <c r="T168" s="13" t="str">
        <f t="shared" si="85"/>
        <v>15E</v>
      </c>
      <c r="U168" s="14" t="str">
        <f t="shared" si="71"/>
        <v>UpCSUP_TH_AGC_PT0</v>
      </c>
      <c r="V168" s="13" t="str">
        <f t="shared" si="72"/>
        <v>2</v>
      </c>
      <c r="W168" s="13">
        <f t="shared" si="73"/>
        <v>0</v>
      </c>
      <c r="X168" s="14" t="str">
        <f t="shared" si="74"/>
        <v xml:space="preserve"> High Light color suppression threshold (Y domain control)  </v>
      </c>
      <c r="Y168" s="1">
        <f t="shared" si="75"/>
        <v>1</v>
      </c>
      <c r="Z168" s="1">
        <f t="shared" si="76"/>
        <v>2</v>
      </c>
      <c r="AA168" s="1">
        <f t="shared" si="102"/>
        <v>0</v>
      </c>
      <c r="AB168" s="1">
        <f t="shared" si="77"/>
        <v>0</v>
      </c>
      <c r="AC168" s="10" t="e">
        <f t="shared" si="78"/>
        <v>#VALUE!</v>
      </c>
      <c r="AD168" s="1" t="e">
        <f t="shared" si="86"/>
        <v>#VALUE!</v>
      </c>
      <c r="AF168" s="3" t="e">
        <f t="shared" si="79"/>
        <v>#VALUE!</v>
      </c>
      <c r="AG168" s="5" t="str">
        <f t="shared" si="80"/>
        <v>UpCSUP_TH_AGC_PT0)/* High Light color suppression threshold (Y domain control)  *</v>
      </c>
      <c r="AH168" s="3">
        <f t="shared" si="81"/>
        <v>2</v>
      </c>
      <c r="AI168" s="3">
        <f t="shared" si="82"/>
        <v>0</v>
      </c>
      <c r="AJ168" s="7">
        <f t="shared" si="87"/>
        <v>1</v>
      </c>
    </row>
    <row r="169" spans="1:36" x14ac:dyDescent="0.3">
      <c r="A169" s="15" t="s">
        <v>420</v>
      </c>
      <c r="B169" s="1">
        <f t="shared" si="88"/>
        <v>8</v>
      </c>
      <c r="C169" s="1">
        <f t="shared" si="89"/>
        <v>9</v>
      </c>
      <c r="D169" s="10" t="str">
        <f t="shared" si="90"/>
        <v>2</v>
      </c>
      <c r="E169" s="1">
        <f t="shared" si="91"/>
        <v>11</v>
      </c>
      <c r="F169" s="1">
        <f t="shared" si="92"/>
        <v>0</v>
      </c>
      <c r="G169" s="1">
        <f t="shared" si="93"/>
        <v>28</v>
      </c>
      <c r="H169" s="1">
        <f t="shared" si="100"/>
        <v>28</v>
      </c>
      <c r="I169" s="10" t="str">
        <f t="shared" si="94"/>
        <v>UpCSUP_TH_AGC_PT1</v>
      </c>
      <c r="J169" s="1">
        <f t="shared" si="101"/>
        <v>0</v>
      </c>
      <c r="K169" s="1">
        <f t="shared" si="95"/>
        <v>0</v>
      </c>
      <c r="L169" s="1" t="str">
        <f t="shared" si="96"/>
        <v>0</v>
      </c>
      <c r="M169" s="10">
        <f t="shared" si="97"/>
        <v>0</v>
      </c>
      <c r="N169" s="1">
        <f t="shared" si="98"/>
        <v>31</v>
      </c>
      <c r="O169" s="1">
        <f t="shared" si="83"/>
        <v>0</v>
      </c>
      <c r="P169" s="1">
        <f t="shared" si="99"/>
        <v>91</v>
      </c>
      <c r="Q169" s="3" t="str">
        <f t="shared" si="70"/>
        <v xml:space="preserve"> High Light color suppression threshold (Y domain control)  </v>
      </c>
      <c r="R169" s="11">
        <f t="shared" si="84"/>
        <v>352</v>
      </c>
      <c r="S169" s="11"/>
      <c r="T169" s="13" t="str">
        <f t="shared" si="85"/>
        <v>160</v>
      </c>
      <c r="U169" s="14" t="str">
        <f t="shared" si="71"/>
        <v>UpCSUP_TH_AGC_PT1</v>
      </c>
      <c r="V169" s="13" t="str">
        <f t="shared" si="72"/>
        <v>2</v>
      </c>
      <c r="W169" s="13">
        <f t="shared" si="73"/>
        <v>0</v>
      </c>
      <c r="X169" s="14" t="str">
        <f t="shared" si="74"/>
        <v xml:space="preserve"> High Light color suppression threshold (Y domain control)  </v>
      </c>
      <c r="Y169" s="1">
        <f t="shared" si="75"/>
        <v>1</v>
      </c>
      <c r="Z169" s="1">
        <f t="shared" si="76"/>
        <v>2</v>
      </c>
      <c r="AA169" s="1">
        <f t="shared" si="102"/>
        <v>0</v>
      </c>
      <c r="AB169" s="1">
        <f t="shared" si="77"/>
        <v>0</v>
      </c>
      <c r="AC169" s="10" t="e">
        <f t="shared" si="78"/>
        <v>#VALUE!</v>
      </c>
      <c r="AD169" s="1" t="e">
        <f t="shared" si="86"/>
        <v>#VALUE!</v>
      </c>
      <c r="AF169" s="3" t="e">
        <f t="shared" si="79"/>
        <v>#VALUE!</v>
      </c>
      <c r="AG169" s="5" t="str">
        <f t="shared" si="80"/>
        <v>UpCSUP_TH_AGC_PT1)/* High Light color suppression threshold (Y domain control)  *</v>
      </c>
      <c r="AH169" s="3">
        <f t="shared" si="81"/>
        <v>2</v>
      </c>
      <c r="AI169" s="3">
        <f t="shared" si="82"/>
        <v>0</v>
      </c>
      <c r="AJ169" s="7">
        <f t="shared" si="87"/>
        <v>1</v>
      </c>
    </row>
    <row r="170" spans="1:36" x14ac:dyDescent="0.3">
      <c r="A170" s="15" t="s">
        <v>421</v>
      </c>
      <c r="B170" s="1">
        <f t="shared" si="88"/>
        <v>8</v>
      </c>
      <c r="C170" s="1">
        <f t="shared" si="89"/>
        <v>9</v>
      </c>
      <c r="D170" s="10" t="str">
        <f t="shared" si="90"/>
        <v>1</v>
      </c>
      <c r="E170" s="1">
        <f t="shared" si="91"/>
        <v>11</v>
      </c>
      <c r="F170" s="1">
        <f t="shared" si="92"/>
        <v>0</v>
      </c>
      <c r="G170" s="1">
        <f t="shared" si="93"/>
        <v>28</v>
      </c>
      <c r="H170" s="1">
        <f t="shared" si="100"/>
        <v>28</v>
      </c>
      <c r="I170" s="10" t="str">
        <f t="shared" si="94"/>
        <v>UpCSUP_TH_VAL_PT0</v>
      </c>
      <c r="J170" s="1">
        <f t="shared" si="101"/>
        <v>0</v>
      </c>
      <c r="K170" s="1">
        <f t="shared" si="95"/>
        <v>0</v>
      </c>
      <c r="L170" s="1" t="str">
        <f t="shared" si="96"/>
        <v>0</v>
      </c>
      <c r="M170" s="10">
        <f t="shared" si="97"/>
        <v>0</v>
      </c>
      <c r="N170" s="1">
        <f t="shared" si="98"/>
        <v>31</v>
      </c>
      <c r="O170" s="1">
        <f t="shared" si="83"/>
        <v>0</v>
      </c>
      <c r="P170" s="1">
        <f t="shared" si="99"/>
        <v>101</v>
      </c>
      <c r="Q170" s="3" t="str">
        <f t="shared" si="70"/>
        <v xml:space="preserve"> High Light color suppression threshold (Y domain control) (0 ~ 0xFF) </v>
      </c>
      <c r="R170" s="11">
        <f t="shared" si="84"/>
        <v>354</v>
      </c>
      <c r="S170" s="11"/>
      <c r="T170" s="13" t="str">
        <f t="shared" si="85"/>
        <v>162</v>
      </c>
      <c r="U170" s="14" t="str">
        <f t="shared" si="71"/>
        <v>UpCSUP_TH_VAL_PT0</v>
      </c>
      <c r="V170" s="13" t="str">
        <f t="shared" si="72"/>
        <v>1</v>
      </c>
      <c r="W170" s="13">
        <f t="shared" si="73"/>
        <v>0</v>
      </c>
      <c r="X170" s="14" t="str">
        <f t="shared" si="74"/>
        <v xml:space="preserve"> High Light color suppression threshold (Y domain control) (0 ~ 0xFF) </v>
      </c>
      <c r="Y170" s="1">
        <f t="shared" si="75"/>
        <v>1</v>
      </c>
      <c r="Z170" s="1">
        <f t="shared" si="76"/>
        <v>1</v>
      </c>
      <c r="AA170" s="1">
        <f t="shared" si="102"/>
        <v>0</v>
      </c>
      <c r="AB170" s="1">
        <f t="shared" si="77"/>
        <v>0</v>
      </c>
      <c r="AC170" s="10" t="e">
        <f t="shared" si="78"/>
        <v>#VALUE!</v>
      </c>
      <c r="AD170" s="1" t="e">
        <f t="shared" si="86"/>
        <v>#VALUE!</v>
      </c>
      <c r="AF170" s="3" t="e">
        <f t="shared" si="79"/>
        <v>#VALUE!</v>
      </c>
      <c r="AG170" s="5" t="str">
        <f t="shared" si="80"/>
        <v>UpCSUP_TH_VAL_PT0)/* High Light color suppression threshold (Y domain control) (0 ~ 0xFF) *</v>
      </c>
      <c r="AH170" s="3">
        <f t="shared" si="81"/>
        <v>1</v>
      </c>
      <c r="AI170" s="3">
        <f t="shared" si="82"/>
        <v>0</v>
      </c>
      <c r="AJ170" s="7">
        <f t="shared" si="87"/>
        <v>1</v>
      </c>
    </row>
    <row r="171" spans="1:36" x14ac:dyDescent="0.3">
      <c r="A171" s="15" t="s">
        <v>422</v>
      </c>
      <c r="B171" s="1">
        <f t="shared" si="88"/>
        <v>8</v>
      </c>
      <c r="C171" s="1">
        <f t="shared" si="89"/>
        <v>9</v>
      </c>
      <c r="D171" s="10" t="str">
        <f t="shared" si="90"/>
        <v>1</v>
      </c>
      <c r="E171" s="1">
        <f t="shared" si="91"/>
        <v>11</v>
      </c>
      <c r="F171" s="1">
        <f t="shared" si="92"/>
        <v>0</v>
      </c>
      <c r="G171" s="1">
        <f t="shared" si="93"/>
        <v>28</v>
      </c>
      <c r="H171" s="1">
        <f t="shared" si="100"/>
        <v>28</v>
      </c>
      <c r="I171" s="10" t="str">
        <f t="shared" si="94"/>
        <v>UpCSUP_TH_VAL_PT1</v>
      </c>
      <c r="J171" s="1">
        <f t="shared" si="101"/>
        <v>0</v>
      </c>
      <c r="K171" s="1">
        <f t="shared" si="95"/>
        <v>0</v>
      </c>
      <c r="L171" s="1" t="str">
        <f t="shared" si="96"/>
        <v>0</v>
      </c>
      <c r="M171" s="10">
        <f t="shared" si="97"/>
        <v>0</v>
      </c>
      <c r="N171" s="1">
        <f t="shared" si="98"/>
        <v>31</v>
      </c>
      <c r="O171" s="1">
        <f t="shared" si="83"/>
        <v>0</v>
      </c>
      <c r="P171" s="1">
        <f t="shared" si="99"/>
        <v>101</v>
      </c>
      <c r="Q171" s="3" t="str">
        <f t="shared" si="70"/>
        <v xml:space="preserve"> High Light color suppression threshold (Y domain control) (0 ~ 0xFF) </v>
      </c>
      <c r="R171" s="11">
        <f t="shared" si="84"/>
        <v>355</v>
      </c>
      <c r="S171" s="11"/>
      <c r="T171" s="13" t="str">
        <f t="shared" si="85"/>
        <v>163</v>
      </c>
      <c r="U171" s="14" t="str">
        <f t="shared" si="71"/>
        <v>UpCSUP_TH_VAL_PT1</v>
      </c>
      <c r="V171" s="13" t="str">
        <f t="shared" si="72"/>
        <v>1</v>
      </c>
      <c r="W171" s="13">
        <f t="shared" si="73"/>
        <v>0</v>
      </c>
      <c r="X171" s="14" t="str">
        <f t="shared" si="74"/>
        <v xml:space="preserve"> High Light color suppression threshold (Y domain control) (0 ~ 0xFF) </v>
      </c>
      <c r="Y171" s="1">
        <f t="shared" si="75"/>
        <v>1</v>
      </c>
      <c r="Z171" s="1">
        <f t="shared" si="76"/>
        <v>1</v>
      </c>
      <c r="AA171" s="1">
        <f t="shared" si="102"/>
        <v>0</v>
      </c>
      <c r="AB171" s="1">
        <f t="shared" si="77"/>
        <v>0</v>
      </c>
      <c r="AC171" s="10" t="e">
        <f t="shared" si="78"/>
        <v>#VALUE!</v>
      </c>
      <c r="AD171" s="1" t="e">
        <f t="shared" si="86"/>
        <v>#VALUE!</v>
      </c>
      <c r="AF171" s="3" t="e">
        <f t="shared" si="79"/>
        <v>#VALUE!</v>
      </c>
      <c r="AG171" s="5" t="str">
        <f t="shared" si="80"/>
        <v>UpCSUP_TH_VAL_PT1)/* High Light color suppression threshold (Y domain control) (0 ~ 0xFF) *</v>
      </c>
      <c r="AH171" s="3">
        <f t="shared" si="81"/>
        <v>1</v>
      </c>
      <c r="AI171" s="3">
        <f t="shared" si="82"/>
        <v>0</v>
      </c>
      <c r="AJ171" s="7">
        <f t="shared" si="87"/>
        <v>1</v>
      </c>
    </row>
    <row r="172" spans="1:36" x14ac:dyDescent="0.3">
      <c r="A172" s="15" t="s">
        <v>177</v>
      </c>
      <c r="B172" s="1">
        <f t="shared" si="88"/>
        <v>0</v>
      </c>
      <c r="C172" s="1">
        <f t="shared" si="89"/>
        <v>0</v>
      </c>
      <c r="D172" s="10">
        <f t="shared" si="90"/>
        <v>0</v>
      </c>
      <c r="E172" s="1">
        <f t="shared" si="91"/>
        <v>0</v>
      </c>
      <c r="F172" s="1">
        <f t="shared" si="92"/>
        <v>0</v>
      </c>
      <c r="G172" s="1">
        <f t="shared" si="93"/>
        <v>0</v>
      </c>
      <c r="H172" s="1">
        <f t="shared" si="100"/>
        <v>0</v>
      </c>
      <c r="I172" s="10">
        <f t="shared" si="94"/>
        <v>0</v>
      </c>
      <c r="J172" s="1">
        <f t="shared" si="101"/>
        <v>0</v>
      </c>
      <c r="K172" s="1">
        <f t="shared" si="95"/>
        <v>0</v>
      </c>
      <c r="L172" s="1" t="str">
        <f t="shared" si="96"/>
        <v>0</v>
      </c>
      <c r="M172" s="10">
        <f t="shared" si="97"/>
        <v>0</v>
      </c>
      <c r="N172" s="1">
        <f t="shared" si="98"/>
        <v>3</v>
      </c>
      <c r="O172" s="1">
        <f t="shared" si="83"/>
        <v>1</v>
      </c>
      <c r="P172" s="1">
        <f t="shared" si="99"/>
        <v>9</v>
      </c>
      <c r="Q172" s="3" t="str">
        <f t="shared" si="70"/>
        <v>CESUP</v>
      </c>
      <c r="R172" s="11">
        <f t="shared" si="84"/>
        <v>356</v>
      </c>
      <c r="S172" s="11"/>
      <c r="T172" s="13" t="str">
        <f t="shared" si="85"/>
        <v>#</v>
      </c>
      <c r="U172" s="14" t="str">
        <f t="shared" si="71"/>
        <v>CESUP</v>
      </c>
      <c r="V172" s="13">
        <f t="shared" si="72"/>
        <v>1</v>
      </c>
      <c r="W172" s="13">
        <f t="shared" si="73"/>
        <v>0</v>
      </c>
      <c r="X172" s="14" t="str">
        <f t="shared" si="74"/>
        <v>-</v>
      </c>
      <c r="Y172" s="1">
        <f t="shared" si="75"/>
        <v>0</v>
      </c>
      <c r="Z172" s="1">
        <f t="shared" si="76"/>
        <v>1</v>
      </c>
      <c r="AA172" s="1">
        <f t="shared" si="102"/>
        <v>0</v>
      </c>
      <c r="AB172" s="1">
        <f t="shared" si="77"/>
        <v>0</v>
      </c>
      <c r="AC172" s="10" t="e">
        <f t="shared" si="78"/>
        <v>#VALUE!</v>
      </c>
      <c r="AD172" s="1" t="e">
        <f t="shared" si="86"/>
        <v>#VALUE!</v>
      </c>
      <c r="AF172" s="3" t="str">
        <f t="shared" si="79"/>
        <v>0</v>
      </c>
      <c r="AG172" s="5" t="str">
        <f t="shared" si="80"/>
        <v>#CESUP</v>
      </c>
      <c r="AH172" s="3" t="str">
        <f t="shared" si="81"/>
        <v>1</v>
      </c>
      <c r="AI172" s="3" t="str">
        <f t="shared" si="82"/>
        <v>0</v>
      </c>
      <c r="AJ172" s="7">
        <f t="shared" si="87"/>
        <v>1</v>
      </c>
    </row>
    <row r="173" spans="1:36" x14ac:dyDescent="0.3">
      <c r="A173" s="15" t="s">
        <v>278</v>
      </c>
      <c r="B173" s="1">
        <f t="shared" si="88"/>
        <v>8</v>
      </c>
      <c r="C173" s="1">
        <f t="shared" si="89"/>
        <v>9</v>
      </c>
      <c r="D173" s="10" t="str">
        <f t="shared" si="90"/>
        <v>1</v>
      </c>
      <c r="E173" s="1">
        <f t="shared" si="91"/>
        <v>11</v>
      </c>
      <c r="F173" s="1">
        <f t="shared" si="92"/>
        <v>59</v>
      </c>
      <c r="G173" s="1">
        <f t="shared" si="93"/>
        <v>19</v>
      </c>
      <c r="H173" s="1">
        <f t="shared" si="100"/>
        <v>19</v>
      </c>
      <c r="I173" s="10" t="str">
        <f t="shared" si="94"/>
        <v>UpCES_ON</v>
      </c>
      <c r="J173" s="1">
        <f t="shared" si="101"/>
        <v>0</v>
      </c>
      <c r="K173" s="1">
        <f t="shared" si="95"/>
        <v>0</v>
      </c>
      <c r="L173" s="1" t="str">
        <f t="shared" si="96"/>
        <v>0</v>
      </c>
      <c r="M173" s="10">
        <f t="shared" si="97"/>
        <v>0</v>
      </c>
      <c r="N173" s="1">
        <f t="shared" si="98"/>
        <v>22</v>
      </c>
      <c r="O173" s="1">
        <f t="shared" si="83"/>
        <v>0</v>
      </c>
      <c r="P173" s="1">
        <f t="shared" si="99"/>
        <v>67</v>
      </c>
      <c r="Q173" s="3" t="str">
        <f t="shared" si="70"/>
        <v xml:space="preserve"> Color edge suppression on/off (0:Off, 1:On) </v>
      </c>
      <c r="R173" s="11">
        <f t="shared" si="84"/>
        <v>356</v>
      </c>
      <c r="S173" s="11"/>
      <c r="T173" s="13" t="str">
        <f t="shared" si="85"/>
        <v>164</v>
      </c>
      <c r="U173" s="14" t="str">
        <f t="shared" si="71"/>
        <v>UpCES_ON</v>
      </c>
      <c r="V173" s="13" t="str">
        <f t="shared" si="72"/>
        <v>1</v>
      </c>
      <c r="W173" s="13">
        <f t="shared" si="73"/>
        <v>0</v>
      </c>
      <c r="X173" s="14" t="str">
        <f t="shared" si="74"/>
        <v xml:space="preserve"> Color edge suppression on/off (0:Off, 1:On) </v>
      </c>
      <c r="Y173" s="1">
        <f t="shared" si="75"/>
        <v>1</v>
      </c>
      <c r="Z173" s="1">
        <f t="shared" si="76"/>
        <v>1</v>
      </c>
      <c r="AA173" s="1">
        <f t="shared" si="102"/>
        <v>0</v>
      </c>
      <c r="AB173" s="1">
        <f t="shared" si="77"/>
        <v>0</v>
      </c>
      <c r="AC173" s="10" t="e">
        <f t="shared" si="78"/>
        <v>#VALUE!</v>
      </c>
      <c r="AD173" s="1" t="e">
        <f t="shared" si="86"/>
        <v>#VALUE!</v>
      </c>
      <c r="AF173" s="3" t="e">
        <f t="shared" si="79"/>
        <v>#VALUE!</v>
      </c>
      <c r="AG173" s="5" t="str">
        <f t="shared" si="80"/>
        <v>UpCES_ON)/* Color edge suppression on/off (0:Off, 1:On) *</v>
      </c>
      <c r="AH173" s="3">
        <f t="shared" si="81"/>
        <v>1</v>
      </c>
      <c r="AI173" s="3">
        <f t="shared" si="82"/>
        <v>0</v>
      </c>
      <c r="AJ173" s="7">
        <f t="shared" si="87"/>
        <v>1</v>
      </c>
    </row>
    <row r="174" spans="1:36" x14ac:dyDescent="0.3">
      <c r="A174" s="15" t="s">
        <v>279</v>
      </c>
      <c r="B174" s="1">
        <f t="shared" si="88"/>
        <v>8</v>
      </c>
      <c r="C174" s="1">
        <f t="shared" si="89"/>
        <v>9</v>
      </c>
      <c r="D174" s="10" t="str">
        <f t="shared" si="90"/>
        <v>1</v>
      </c>
      <c r="E174" s="1">
        <f t="shared" si="91"/>
        <v>11</v>
      </c>
      <c r="F174" s="1">
        <f t="shared" si="92"/>
        <v>63</v>
      </c>
      <c r="G174" s="1">
        <f t="shared" si="93"/>
        <v>19</v>
      </c>
      <c r="H174" s="1">
        <f t="shared" si="100"/>
        <v>19</v>
      </c>
      <c r="I174" s="10" t="str">
        <f t="shared" si="94"/>
        <v>UpCES_GA</v>
      </c>
      <c r="J174" s="1">
        <f t="shared" si="101"/>
        <v>0</v>
      </c>
      <c r="K174" s="1">
        <f t="shared" si="95"/>
        <v>0</v>
      </c>
      <c r="L174" s="1" t="str">
        <f t="shared" si="96"/>
        <v>0</v>
      </c>
      <c r="M174" s="10">
        <f t="shared" si="97"/>
        <v>0</v>
      </c>
      <c r="N174" s="1">
        <f t="shared" si="98"/>
        <v>22</v>
      </c>
      <c r="O174" s="1">
        <f t="shared" si="83"/>
        <v>0</v>
      </c>
      <c r="P174" s="1">
        <f t="shared" si="99"/>
        <v>100</v>
      </c>
      <c r="Q174" s="3" t="str">
        <f t="shared" si="70"/>
        <v xml:space="preserve"> Color edge suppression gain (0x40 = x0.5, 0x80 = x1, 0xC0 = x1.5, 0xff = x2) </v>
      </c>
      <c r="R174" s="11">
        <f t="shared" si="84"/>
        <v>357</v>
      </c>
      <c r="S174" s="11"/>
      <c r="T174" s="13" t="str">
        <f t="shared" si="85"/>
        <v>165</v>
      </c>
      <c r="U174" s="14" t="str">
        <f t="shared" si="71"/>
        <v>UpCES_GA</v>
      </c>
      <c r="V174" s="13" t="str">
        <f t="shared" si="72"/>
        <v>1</v>
      </c>
      <c r="W174" s="13">
        <f t="shared" si="73"/>
        <v>0</v>
      </c>
      <c r="X174" s="14" t="str">
        <f t="shared" si="74"/>
        <v xml:space="preserve"> Color edge suppression gain (0x40 = x0.5, 0x80 = x1, 0xC0 = x1.5, 0xff = x2) </v>
      </c>
      <c r="Y174" s="1">
        <f t="shared" si="75"/>
        <v>1</v>
      </c>
      <c r="Z174" s="1">
        <f t="shared" si="76"/>
        <v>1</v>
      </c>
      <c r="AA174" s="1">
        <f t="shared" si="102"/>
        <v>58</v>
      </c>
      <c r="AB174" s="1" t="str">
        <f t="shared" si="77"/>
        <v xml:space="preserve"> x0.5, 0x80 = x1, 0xC0 = x1.5, 0xff = x2) *</v>
      </c>
      <c r="AC174" s="10" t="str">
        <f t="shared" si="78"/>
        <v xml:space="preserve"> x0.5, 0x80 = x1, 0xC0 = x1.5, 0xff = x2) *</v>
      </c>
      <c r="AD174" s="1" t="e">
        <f t="shared" si="86"/>
        <v>#VALUE!</v>
      </c>
      <c r="AF174" s="3" t="e">
        <f t="shared" si="79"/>
        <v>#VALUE!</v>
      </c>
      <c r="AG174" s="5" t="str">
        <f t="shared" si="80"/>
        <v>UpCES_GA)/* Color edge suppression gain (0x40</v>
      </c>
      <c r="AH174" s="3">
        <f t="shared" si="81"/>
        <v>1</v>
      </c>
      <c r="AI174" s="3">
        <f t="shared" si="82"/>
        <v>0</v>
      </c>
      <c r="AJ174" s="7">
        <f t="shared" si="87"/>
        <v>1</v>
      </c>
    </row>
    <row r="175" spans="1:36" x14ac:dyDescent="0.3">
      <c r="A175" s="15" t="s">
        <v>423</v>
      </c>
      <c r="B175" s="1">
        <f t="shared" si="88"/>
        <v>8</v>
      </c>
      <c r="C175" s="1">
        <f t="shared" si="89"/>
        <v>9</v>
      </c>
      <c r="D175" s="10" t="str">
        <f t="shared" si="90"/>
        <v>2</v>
      </c>
      <c r="E175" s="1">
        <f t="shared" si="91"/>
        <v>11</v>
      </c>
      <c r="F175" s="1">
        <f t="shared" si="92"/>
        <v>0</v>
      </c>
      <c r="G175" s="1">
        <f t="shared" si="93"/>
        <v>27</v>
      </c>
      <c r="H175" s="1">
        <f t="shared" si="100"/>
        <v>27</v>
      </c>
      <c r="I175" s="10" t="str">
        <f t="shared" si="94"/>
        <v>UpCES_TH_AGC_PT0</v>
      </c>
      <c r="J175" s="1">
        <f t="shared" si="101"/>
        <v>0</v>
      </c>
      <c r="K175" s="1">
        <f t="shared" si="95"/>
        <v>0</v>
      </c>
      <c r="L175" s="1" t="str">
        <f t="shared" si="96"/>
        <v>0</v>
      </c>
      <c r="M175" s="10">
        <f t="shared" si="97"/>
        <v>0</v>
      </c>
      <c r="N175" s="1">
        <f t="shared" si="98"/>
        <v>30</v>
      </c>
      <c r="O175" s="1">
        <f t="shared" si="83"/>
        <v>0</v>
      </c>
      <c r="P175" s="1">
        <f t="shared" si="99"/>
        <v>59</v>
      </c>
      <c r="Q175" s="3" t="str">
        <f t="shared" si="70"/>
        <v xml:space="preserve"> Color edge suppression clip </v>
      </c>
      <c r="R175" s="11">
        <f t="shared" si="84"/>
        <v>358</v>
      </c>
      <c r="S175" s="11"/>
      <c r="T175" s="13" t="str">
        <f t="shared" si="85"/>
        <v>166</v>
      </c>
      <c r="U175" s="14" t="str">
        <f t="shared" si="71"/>
        <v>UpCES_TH_AGC_PT0</v>
      </c>
      <c r="V175" s="13" t="str">
        <f t="shared" si="72"/>
        <v>2</v>
      </c>
      <c r="W175" s="13">
        <f t="shared" si="73"/>
        <v>0</v>
      </c>
      <c r="X175" s="14" t="str">
        <f t="shared" si="74"/>
        <v xml:space="preserve"> Color edge suppression clip </v>
      </c>
      <c r="Y175" s="1">
        <f t="shared" si="75"/>
        <v>1</v>
      </c>
      <c r="Z175" s="1">
        <f t="shared" si="76"/>
        <v>2</v>
      </c>
      <c r="AA175" s="1">
        <f t="shared" si="102"/>
        <v>0</v>
      </c>
      <c r="AB175" s="1">
        <f t="shared" si="77"/>
        <v>0</v>
      </c>
      <c r="AC175" s="10" t="e">
        <f t="shared" si="78"/>
        <v>#VALUE!</v>
      </c>
      <c r="AD175" s="1" t="e">
        <f t="shared" si="86"/>
        <v>#VALUE!</v>
      </c>
      <c r="AF175" s="3" t="e">
        <f t="shared" si="79"/>
        <v>#VALUE!</v>
      </c>
      <c r="AG175" s="5" t="str">
        <f t="shared" si="80"/>
        <v>UpCES_TH_AGC_PT0)/* Color edge suppression clip *</v>
      </c>
      <c r="AH175" s="3">
        <f t="shared" si="81"/>
        <v>2</v>
      </c>
      <c r="AI175" s="3">
        <f t="shared" si="82"/>
        <v>0</v>
      </c>
      <c r="AJ175" s="7">
        <f t="shared" si="87"/>
        <v>1</v>
      </c>
    </row>
    <row r="176" spans="1:36" x14ac:dyDescent="0.3">
      <c r="A176" s="15" t="s">
        <v>424</v>
      </c>
      <c r="B176" s="1">
        <f t="shared" si="88"/>
        <v>8</v>
      </c>
      <c r="C176" s="1">
        <f t="shared" si="89"/>
        <v>9</v>
      </c>
      <c r="D176" s="10" t="str">
        <f t="shared" si="90"/>
        <v>2</v>
      </c>
      <c r="E176" s="1">
        <f t="shared" si="91"/>
        <v>11</v>
      </c>
      <c r="F176" s="1">
        <f t="shared" si="92"/>
        <v>0</v>
      </c>
      <c r="G176" s="1">
        <f t="shared" si="93"/>
        <v>27</v>
      </c>
      <c r="H176" s="1">
        <f t="shared" si="100"/>
        <v>27</v>
      </c>
      <c r="I176" s="10" t="str">
        <f t="shared" si="94"/>
        <v>UpCES_TH_AGC_PT1</v>
      </c>
      <c r="J176" s="1">
        <f t="shared" si="101"/>
        <v>0</v>
      </c>
      <c r="K176" s="1">
        <f t="shared" si="95"/>
        <v>0</v>
      </c>
      <c r="L176" s="1" t="str">
        <f t="shared" si="96"/>
        <v>0</v>
      </c>
      <c r="M176" s="10">
        <f t="shared" si="97"/>
        <v>0</v>
      </c>
      <c r="N176" s="1">
        <f t="shared" si="98"/>
        <v>30</v>
      </c>
      <c r="O176" s="1">
        <f t="shared" si="83"/>
        <v>0</v>
      </c>
      <c r="P176" s="1">
        <f t="shared" si="99"/>
        <v>59</v>
      </c>
      <c r="Q176" s="3" t="str">
        <f t="shared" si="70"/>
        <v xml:space="preserve"> Color edge suppression clip </v>
      </c>
      <c r="R176" s="11">
        <f t="shared" si="84"/>
        <v>360</v>
      </c>
      <c r="S176" s="11"/>
      <c r="T176" s="13" t="str">
        <f t="shared" si="85"/>
        <v>168</v>
      </c>
      <c r="U176" s="14" t="str">
        <f t="shared" si="71"/>
        <v>UpCES_TH_AGC_PT1</v>
      </c>
      <c r="V176" s="13" t="str">
        <f t="shared" si="72"/>
        <v>2</v>
      </c>
      <c r="W176" s="13">
        <f t="shared" si="73"/>
        <v>0</v>
      </c>
      <c r="X176" s="14" t="str">
        <f t="shared" si="74"/>
        <v xml:space="preserve"> Color edge suppression clip </v>
      </c>
      <c r="Y176" s="1">
        <f t="shared" si="75"/>
        <v>1</v>
      </c>
      <c r="Z176" s="1">
        <f t="shared" si="76"/>
        <v>2</v>
      </c>
      <c r="AA176" s="1">
        <f t="shared" si="102"/>
        <v>0</v>
      </c>
      <c r="AB176" s="1">
        <f t="shared" si="77"/>
        <v>0</v>
      </c>
      <c r="AC176" s="10" t="e">
        <f t="shared" si="78"/>
        <v>#VALUE!</v>
      </c>
      <c r="AD176" s="1" t="e">
        <f t="shared" si="86"/>
        <v>#VALUE!</v>
      </c>
      <c r="AF176" s="3" t="e">
        <f t="shared" si="79"/>
        <v>#VALUE!</v>
      </c>
      <c r="AG176" s="5" t="str">
        <f t="shared" si="80"/>
        <v>UpCES_TH_AGC_PT1)/* Color edge suppression clip *</v>
      </c>
      <c r="AH176" s="3">
        <f t="shared" si="81"/>
        <v>2</v>
      </c>
      <c r="AI176" s="3">
        <f t="shared" si="82"/>
        <v>0</v>
      </c>
      <c r="AJ176" s="7">
        <f t="shared" si="87"/>
        <v>1</v>
      </c>
    </row>
    <row r="177" spans="1:36" x14ac:dyDescent="0.3">
      <c r="A177" s="15" t="s">
        <v>425</v>
      </c>
      <c r="B177" s="1">
        <f t="shared" si="88"/>
        <v>8</v>
      </c>
      <c r="C177" s="1">
        <f t="shared" si="89"/>
        <v>9</v>
      </c>
      <c r="D177" s="10" t="str">
        <f t="shared" si="90"/>
        <v>1</v>
      </c>
      <c r="E177" s="1">
        <f t="shared" si="91"/>
        <v>11</v>
      </c>
      <c r="F177" s="1">
        <f t="shared" si="92"/>
        <v>0</v>
      </c>
      <c r="G177" s="1">
        <f t="shared" si="93"/>
        <v>27</v>
      </c>
      <c r="H177" s="1">
        <f t="shared" si="100"/>
        <v>27</v>
      </c>
      <c r="I177" s="10" t="str">
        <f t="shared" si="94"/>
        <v>UpCES_TH_VAL_PT0</v>
      </c>
      <c r="J177" s="1">
        <f t="shared" si="101"/>
        <v>0</v>
      </c>
      <c r="K177" s="1">
        <f t="shared" si="95"/>
        <v>0</v>
      </c>
      <c r="L177" s="1" t="str">
        <f t="shared" si="96"/>
        <v>0</v>
      </c>
      <c r="M177" s="10">
        <f t="shared" si="97"/>
        <v>0</v>
      </c>
      <c r="N177" s="1">
        <f t="shared" si="98"/>
        <v>30</v>
      </c>
      <c r="O177" s="1">
        <f t="shared" si="83"/>
        <v>0</v>
      </c>
      <c r="P177" s="1">
        <f t="shared" si="99"/>
        <v>59</v>
      </c>
      <c r="Q177" s="3" t="str">
        <f t="shared" si="70"/>
        <v xml:space="preserve"> Color edge suppression clip </v>
      </c>
      <c r="R177" s="11">
        <f t="shared" si="84"/>
        <v>362</v>
      </c>
      <c r="S177" s="11"/>
      <c r="T177" s="13" t="str">
        <f t="shared" si="85"/>
        <v>16A</v>
      </c>
      <c r="U177" s="14" t="str">
        <f t="shared" si="71"/>
        <v>UpCES_TH_VAL_PT0</v>
      </c>
      <c r="V177" s="13" t="str">
        <f t="shared" si="72"/>
        <v>1</v>
      </c>
      <c r="W177" s="13">
        <f t="shared" si="73"/>
        <v>0</v>
      </c>
      <c r="X177" s="14" t="str">
        <f t="shared" si="74"/>
        <v xml:space="preserve"> Color edge suppression clip </v>
      </c>
      <c r="Y177" s="1">
        <f t="shared" si="75"/>
        <v>1</v>
      </c>
      <c r="Z177" s="1">
        <f t="shared" si="76"/>
        <v>1</v>
      </c>
      <c r="AA177" s="1">
        <f t="shared" si="102"/>
        <v>0</v>
      </c>
      <c r="AB177" s="1">
        <f t="shared" si="77"/>
        <v>0</v>
      </c>
      <c r="AC177" s="10" t="e">
        <f t="shared" si="78"/>
        <v>#VALUE!</v>
      </c>
      <c r="AD177" s="1" t="e">
        <f t="shared" si="86"/>
        <v>#VALUE!</v>
      </c>
      <c r="AF177" s="3" t="e">
        <f t="shared" si="79"/>
        <v>#VALUE!</v>
      </c>
      <c r="AG177" s="5" t="str">
        <f t="shared" si="80"/>
        <v>UpCES_TH_VAL_PT0)/* Color edge suppression clip *</v>
      </c>
      <c r="AH177" s="3">
        <f t="shared" si="81"/>
        <v>1</v>
      </c>
      <c r="AI177" s="3">
        <f t="shared" si="82"/>
        <v>0</v>
      </c>
      <c r="AJ177" s="7">
        <f t="shared" si="87"/>
        <v>1</v>
      </c>
    </row>
    <row r="178" spans="1:36" x14ac:dyDescent="0.3">
      <c r="A178" s="15" t="s">
        <v>426</v>
      </c>
      <c r="B178" s="1">
        <f t="shared" si="88"/>
        <v>8</v>
      </c>
      <c r="C178" s="1">
        <f t="shared" si="89"/>
        <v>9</v>
      </c>
      <c r="D178" s="10" t="str">
        <f t="shared" si="90"/>
        <v>1</v>
      </c>
      <c r="E178" s="1">
        <f t="shared" si="91"/>
        <v>11</v>
      </c>
      <c r="F178" s="1">
        <f t="shared" si="92"/>
        <v>0</v>
      </c>
      <c r="G178" s="1">
        <f t="shared" si="93"/>
        <v>27</v>
      </c>
      <c r="H178" s="1">
        <f t="shared" si="100"/>
        <v>27</v>
      </c>
      <c r="I178" s="10" t="str">
        <f t="shared" si="94"/>
        <v>UpCES_TH_VAL_PT1</v>
      </c>
      <c r="J178" s="1">
        <f t="shared" si="101"/>
        <v>0</v>
      </c>
      <c r="K178" s="1">
        <f t="shared" si="95"/>
        <v>0</v>
      </c>
      <c r="L178" s="1" t="str">
        <f t="shared" si="96"/>
        <v>0</v>
      </c>
      <c r="M178" s="10">
        <f t="shared" si="97"/>
        <v>0</v>
      </c>
      <c r="N178" s="1">
        <f t="shared" si="98"/>
        <v>30</v>
      </c>
      <c r="O178" s="1">
        <f t="shared" si="83"/>
        <v>0</v>
      </c>
      <c r="P178" s="1">
        <f t="shared" si="99"/>
        <v>59</v>
      </c>
      <c r="Q178" s="3" t="str">
        <f t="shared" si="70"/>
        <v xml:space="preserve"> Color edge suppression clip </v>
      </c>
      <c r="R178" s="11">
        <f t="shared" si="84"/>
        <v>363</v>
      </c>
      <c r="S178" s="11"/>
      <c r="T178" s="13" t="str">
        <f t="shared" si="85"/>
        <v>16B</v>
      </c>
      <c r="U178" s="14" t="str">
        <f t="shared" si="71"/>
        <v>UpCES_TH_VAL_PT1</v>
      </c>
      <c r="V178" s="13" t="str">
        <f t="shared" si="72"/>
        <v>1</v>
      </c>
      <c r="W178" s="13">
        <f t="shared" si="73"/>
        <v>0</v>
      </c>
      <c r="X178" s="14" t="str">
        <f t="shared" si="74"/>
        <v xml:space="preserve"> Color edge suppression clip </v>
      </c>
      <c r="Y178" s="1">
        <f t="shared" si="75"/>
        <v>1</v>
      </c>
      <c r="Z178" s="1">
        <f t="shared" si="76"/>
        <v>1</v>
      </c>
      <c r="AA178" s="1">
        <f t="shared" si="102"/>
        <v>0</v>
      </c>
      <c r="AB178" s="1">
        <f t="shared" si="77"/>
        <v>0</v>
      </c>
      <c r="AC178" s="10" t="e">
        <f t="shared" si="78"/>
        <v>#VALUE!</v>
      </c>
      <c r="AD178" s="1" t="e">
        <f t="shared" si="86"/>
        <v>#VALUE!</v>
      </c>
      <c r="AF178" s="3" t="e">
        <f t="shared" si="79"/>
        <v>#VALUE!</v>
      </c>
      <c r="AG178" s="5" t="str">
        <f t="shared" si="80"/>
        <v>UpCES_TH_VAL_PT1)/* Color edge suppression clip *</v>
      </c>
      <c r="AH178" s="3">
        <f t="shared" si="81"/>
        <v>1</v>
      </c>
      <c r="AI178" s="3">
        <f t="shared" si="82"/>
        <v>0</v>
      </c>
      <c r="AJ178" s="7">
        <f t="shared" si="87"/>
        <v>1</v>
      </c>
    </row>
    <row r="179" spans="1:36" x14ac:dyDescent="0.3">
      <c r="A179" s="15" t="s">
        <v>160</v>
      </c>
      <c r="B179" s="1">
        <f t="shared" si="88"/>
        <v>0</v>
      </c>
      <c r="C179" s="1">
        <f t="shared" si="89"/>
        <v>0</v>
      </c>
      <c r="D179" s="10">
        <f t="shared" si="90"/>
        <v>0</v>
      </c>
      <c r="E179" s="1">
        <f t="shared" si="91"/>
        <v>0</v>
      </c>
      <c r="F179" s="1">
        <f t="shared" si="92"/>
        <v>0</v>
      </c>
      <c r="G179" s="1">
        <f t="shared" si="93"/>
        <v>0</v>
      </c>
      <c r="H179" s="1">
        <f t="shared" si="100"/>
        <v>0</v>
      </c>
      <c r="I179" s="10">
        <f t="shared" si="94"/>
        <v>0</v>
      </c>
      <c r="J179" s="1">
        <f t="shared" si="101"/>
        <v>0</v>
      </c>
      <c r="K179" s="1">
        <f t="shared" si="95"/>
        <v>0</v>
      </c>
      <c r="L179" s="1" t="str">
        <f t="shared" si="96"/>
        <v>0</v>
      </c>
      <c r="M179" s="10">
        <f t="shared" si="97"/>
        <v>0</v>
      </c>
      <c r="N179" s="1">
        <f t="shared" si="98"/>
        <v>3</v>
      </c>
      <c r="O179" s="1">
        <f t="shared" si="83"/>
        <v>0</v>
      </c>
      <c r="P179" s="1">
        <f t="shared" si="99"/>
        <v>45</v>
      </c>
      <c r="Q179" s="3" t="str">
        <f t="shared" si="70"/>
        <v>---------------　HUE　&amp;　GAIN　---------------</v>
      </c>
      <c r="R179" s="11">
        <f t="shared" si="84"/>
        <v>364</v>
      </c>
      <c r="S179" s="11"/>
      <c r="T179" s="13" t="str">
        <f t="shared" si="85"/>
        <v>*</v>
      </c>
      <c r="U179" s="14" t="str">
        <f t="shared" si="71"/>
        <v>---------------　HUE　&amp;　GAIN　---------------</v>
      </c>
      <c r="V179" s="13">
        <f t="shared" si="72"/>
        <v>1</v>
      </c>
      <c r="W179" s="13">
        <f t="shared" si="73"/>
        <v>0</v>
      </c>
      <c r="X179" s="14" t="str">
        <f t="shared" si="74"/>
        <v>-</v>
      </c>
      <c r="Y179" s="1">
        <f t="shared" si="75"/>
        <v>0</v>
      </c>
      <c r="Z179" s="1">
        <f t="shared" si="76"/>
        <v>1</v>
      </c>
      <c r="AA179" s="1">
        <f t="shared" si="102"/>
        <v>0</v>
      </c>
      <c r="AB179" s="1">
        <f t="shared" si="77"/>
        <v>0</v>
      </c>
      <c r="AC179" s="10" t="e">
        <f t="shared" si="78"/>
        <v>#VALUE!</v>
      </c>
      <c r="AD179" s="1" t="e">
        <f t="shared" si="86"/>
        <v>#VALUE!</v>
      </c>
      <c r="AF179" s="3" t="str">
        <f t="shared" si="79"/>
        <v>0</v>
      </c>
      <c r="AG179" s="5" t="str">
        <f t="shared" si="80"/>
        <v>---------------　HUE　&amp;　GAIN　---------------</v>
      </c>
      <c r="AH179" s="3" t="str">
        <f t="shared" si="81"/>
        <v>1</v>
      </c>
      <c r="AI179" s="3" t="str">
        <f t="shared" si="82"/>
        <v>0</v>
      </c>
      <c r="AJ179" s="7">
        <f t="shared" si="87"/>
        <v>1</v>
      </c>
    </row>
    <row r="180" spans="1:36" x14ac:dyDescent="0.3">
      <c r="A180" s="15" t="s">
        <v>467</v>
      </c>
      <c r="B180" s="1">
        <f t="shared" si="88"/>
        <v>0</v>
      </c>
      <c r="C180" s="1">
        <f t="shared" si="89"/>
        <v>0</v>
      </c>
      <c r="D180" s="10">
        <f t="shared" si="90"/>
        <v>0</v>
      </c>
      <c r="E180" s="1">
        <f t="shared" si="91"/>
        <v>0</v>
      </c>
      <c r="F180" s="1">
        <f t="shared" si="92"/>
        <v>0</v>
      </c>
      <c r="G180" s="1">
        <f t="shared" si="93"/>
        <v>0</v>
      </c>
      <c r="H180" s="1">
        <f t="shared" si="100"/>
        <v>0</v>
      </c>
      <c r="I180" s="10">
        <f t="shared" si="94"/>
        <v>0</v>
      </c>
      <c r="J180" s="1">
        <f t="shared" si="101"/>
        <v>0</v>
      </c>
      <c r="K180" s="1">
        <f t="shared" si="95"/>
        <v>0</v>
      </c>
      <c r="L180" s="1" t="str">
        <f t="shared" si="96"/>
        <v>0</v>
      </c>
      <c r="M180" s="10">
        <f t="shared" si="97"/>
        <v>0</v>
      </c>
      <c r="N180" s="1">
        <f t="shared" si="98"/>
        <v>3</v>
      </c>
      <c r="O180" s="1">
        <f t="shared" si="83"/>
        <v>1</v>
      </c>
      <c r="P180" s="1">
        <f t="shared" si="99"/>
        <v>8</v>
      </c>
      <c r="Q180" s="3" t="str">
        <f t="shared" si="70"/>
        <v>TEMP</v>
      </c>
      <c r="R180" s="11">
        <f t="shared" si="84"/>
        <v>364</v>
      </c>
      <c r="S180" s="11"/>
      <c r="T180" s="13" t="str">
        <f t="shared" si="85"/>
        <v>#</v>
      </c>
      <c r="U180" s="14" t="str">
        <f t="shared" si="71"/>
        <v>TEMP</v>
      </c>
      <c r="V180" s="13">
        <f t="shared" si="72"/>
        <v>1</v>
      </c>
      <c r="W180" s="13">
        <f t="shared" si="73"/>
        <v>0</v>
      </c>
      <c r="X180" s="14" t="str">
        <f t="shared" si="74"/>
        <v>-</v>
      </c>
      <c r="Y180" s="1">
        <f t="shared" si="75"/>
        <v>0</v>
      </c>
      <c r="Z180" s="1">
        <f t="shared" si="76"/>
        <v>1</v>
      </c>
      <c r="AA180" s="1">
        <f t="shared" si="102"/>
        <v>0</v>
      </c>
      <c r="AB180" s="1">
        <f t="shared" si="77"/>
        <v>0</v>
      </c>
      <c r="AC180" s="10" t="e">
        <f t="shared" si="78"/>
        <v>#VALUE!</v>
      </c>
      <c r="AD180" s="1" t="e">
        <f t="shared" si="86"/>
        <v>#VALUE!</v>
      </c>
      <c r="AF180" s="3" t="str">
        <f t="shared" si="79"/>
        <v>0</v>
      </c>
      <c r="AG180" s="5" t="str">
        <f t="shared" si="80"/>
        <v>#TEMP</v>
      </c>
      <c r="AH180" s="3" t="str">
        <f t="shared" si="81"/>
        <v>1</v>
      </c>
      <c r="AI180" s="3" t="str">
        <f t="shared" si="82"/>
        <v>0</v>
      </c>
      <c r="AJ180" s="7">
        <f t="shared" si="87"/>
        <v>1</v>
      </c>
    </row>
    <row r="181" spans="1:36" x14ac:dyDescent="0.3">
      <c r="A181" s="15" t="s">
        <v>504</v>
      </c>
      <c r="B181" s="1">
        <f t="shared" si="88"/>
        <v>8</v>
      </c>
      <c r="C181" s="1">
        <f t="shared" si="89"/>
        <v>9</v>
      </c>
      <c r="D181" s="10" t="str">
        <f t="shared" si="90"/>
        <v>2</v>
      </c>
      <c r="E181" s="1">
        <f t="shared" si="91"/>
        <v>11</v>
      </c>
      <c r="F181" s="1">
        <f t="shared" si="92"/>
        <v>23</v>
      </c>
      <c r="G181" s="1">
        <f t="shared" si="93"/>
        <v>28</v>
      </c>
      <c r="H181" s="1">
        <f t="shared" si="100"/>
        <v>23</v>
      </c>
      <c r="I181" s="10" t="str">
        <f t="shared" si="94"/>
        <v>UpHnG_TEMP_L</v>
      </c>
      <c r="J181" s="1">
        <f t="shared" si="101"/>
        <v>25</v>
      </c>
      <c r="K181" s="1" t="str">
        <f t="shared" si="95"/>
        <v>380</v>
      </c>
      <c r="L181" s="1" t="str">
        <f t="shared" si="96"/>
        <v>17C</v>
      </c>
      <c r="M181" s="10">
        <f t="shared" si="97"/>
        <v>380</v>
      </c>
      <c r="N181" s="1">
        <f t="shared" si="98"/>
        <v>31</v>
      </c>
      <c r="O181" s="1">
        <f t="shared" si="83"/>
        <v>0</v>
      </c>
      <c r="P181" s="1">
        <f t="shared" si="99"/>
        <v>32</v>
      </c>
      <c r="Q181" s="3" t="str">
        <f t="shared" si="70"/>
        <v xml:space="preserve"> </v>
      </c>
      <c r="R181" s="11">
        <f t="shared" si="84"/>
        <v>380</v>
      </c>
      <c r="S181" s="11"/>
      <c r="T181" s="13" t="str">
        <f t="shared" si="85"/>
        <v>17C</v>
      </c>
      <c r="U181" s="14" t="str">
        <f t="shared" si="71"/>
        <v>UpHnG_TEMP_L</v>
      </c>
      <c r="V181" s="13" t="str">
        <f t="shared" si="72"/>
        <v>2</v>
      </c>
      <c r="W181" s="13">
        <f t="shared" si="73"/>
        <v>0</v>
      </c>
      <c r="X181" s="14" t="str">
        <f t="shared" si="74"/>
        <v xml:space="preserve"> </v>
      </c>
      <c r="Y181" s="1">
        <f t="shared" si="75"/>
        <v>1</v>
      </c>
      <c r="Z181" s="1">
        <f t="shared" si="76"/>
        <v>2</v>
      </c>
      <c r="AA181" s="1">
        <f t="shared" si="102"/>
        <v>25</v>
      </c>
      <c r="AB181" s="1" t="str">
        <f t="shared" si="77"/>
        <v>380)/* *</v>
      </c>
      <c r="AC181" s="10" t="str">
        <f t="shared" si="78"/>
        <v>380)/* *</v>
      </c>
      <c r="AD181" s="1" t="e">
        <f t="shared" si="86"/>
        <v>#VALUE!</v>
      </c>
      <c r="AF181" s="3" t="e">
        <f t="shared" si="79"/>
        <v>#VALUE!</v>
      </c>
      <c r="AG181" s="5" t="str">
        <f t="shared" si="80"/>
        <v>UpHnG_TEMP_L</v>
      </c>
      <c r="AH181" s="3">
        <f t="shared" si="81"/>
        <v>2</v>
      </c>
      <c r="AI181" s="3">
        <f t="shared" si="82"/>
        <v>0</v>
      </c>
      <c r="AJ181" s="7">
        <f t="shared" si="87"/>
        <v>1</v>
      </c>
    </row>
    <row r="182" spans="1:36" x14ac:dyDescent="0.3">
      <c r="A182" s="15" t="s">
        <v>495</v>
      </c>
      <c r="B182" s="1">
        <f t="shared" si="88"/>
        <v>8</v>
      </c>
      <c r="C182" s="1">
        <f t="shared" si="89"/>
        <v>9</v>
      </c>
      <c r="D182" s="10" t="str">
        <f t="shared" si="90"/>
        <v>2</v>
      </c>
      <c r="E182" s="1">
        <f t="shared" si="91"/>
        <v>11</v>
      </c>
      <c r="F182" s="1">
        <f t="shared" si="92"/>
        <v>0</v>
      </c>
      <c r="G182" s="1">
        <f t="shared" si="93"/>
        <v>23</v>
      </c>
      <c r="H182" s="1">
        <f t="shared" si="100"/>
        <v>23</v>
      </c>
      <c r="I182" s="10" t="str">
        <f t="shared" si="94"/>
        <v>UpHnG_TEMP_M</v>
      </c>
      <c r="J182" s="1">
        <f t="shared" si="101"/>
        <v>0</v>
      </c>
      <c r="K182" s="1">
        <f t="shared" si="95"/>
        <v>0</v>
      </c>
      <c r="L182" s="1" t="str">
        <f t="shared" si="96"/>
        <v>0</v>
      </c>
      <c r="M182" s="10">
        <f t="shared" si="97"/>
        <v>0</v>
      </c>
      <c r="N182" s="1">
        <f t="shared" si="98"/>
        <v>26</v>
      </c>
      <c r="O182" s="1">
        <f t="shared" si="83"/>
        <v>0</v>
      </c>
      <c r="P182" s="1">
        <f t="shared" si="99"/>
        <v>27</v>
      </c>
      <c r="Q182" s="3" t="str">
        <f t="shared" si="70"/>
        <v xml:space="preserve"> </v>
      </c>
      <c r="R182" s="11">
        <f t="shared" si="84"/>
        <v>382</v>
      </c>
      <c r="S182" s="11"/>
      <c r="T182" s="13" t="str">
        <f t="shared" si="85"/>
        <v>17E</v>
      </c>
      <c r="U182" s="14" t="str">
        <f t="shared" si="71"/>
        <v>UpHnG_TEMP_M</v>
      </c>
      <c r="V182" s="13" t="str">
        <f t="shared" si="72"/>
        <v>2</v>
      </c>
      <c r="W182" s="13">
        <f t="shared" si="73"/>
        <v>0</v>
      </c>
      <c r="X182" s="14" t="str">
        <f t="shared" si="74"/>
        <v xml:space="preserve"> </v>
      </c>
      <c r="Y182" s="1">
        <f t="shared" si="75"/>
        <v>1</v>
      </c>
      <c r="Z182" s="1">
        <f t="shared" si="76"/>
        <v>2</v>
      </c>
      <c r="AA182" s="1">
        <f t="shared" si="102"/>
        <v>0</v>
      </c>
      <c r="AB182" s="1">
        <f t="shared" si="77"/>
        <v>0</v>
      </c>
      <c r="AC182" s="10" t="e">
        <f t="shared" si="78"/>
        <v>#VALUE!</v>
      </c>
      <c r="AD182" s="1" t="e">
        <f t="shared" si="86"/>
        <v>#VALUE!</v>
      </c>
      <c r="AF182" s="3" t="e">
        <f t="shared" si="79"/>
        <v>#VALUE!</v>
      </c>
      <c r="AG182" s="5" t="str">
        <f t="shared" si="80"/>
        <v>UpHnG_TEMP_M)/* *</v>
      </c>
      <c r="AH182" s="3">
        <f t="shared" si="81"/>
        <v>2</v>
      </c>
      <c r="AI182" s="3">
        <f t="shared" si="82"/>
        <v>0</v>
      </c>
      <c r="AJ182" s="7">
        <f t="shared" si="87"/>
        <v>1</v>
      </c>
    </row>
    <row r="183" spans="1:36" x14ac:dyDescent="0.3">
      <c r="A183" s="15" t="s">
        <v>496</v>
      </c>
      <c r="B183" s="1">
        <f t="shared" si="88"/>
        <v>8</v>
      </c>
      <c r="C183" s="1">
        <f t="shared" si="89"/>
        <v>9</v>
      </c>
      <c r="D183" s="10" t="str">
        <f t="shared" si="90"/>
        <v>2</v>
      </c>
      <c r="E183" s="1">
        <f t="shared" si="91"/>
        <v>11</v>
      </c>
      <c r="F183" s="1">
        <f t="shared" si="92"/>
        <v>0</v>
      </c>
      <c r="G183" s="1">
        <f t="shared" si="93"/>
        <v>23</v>
      </c>
      <c r="H183" s="1">
        <f t="shared" si="100"/>
        <v>23</v>
      </c>
      <c r="I183" s="10" t="str">
        <f t="shared" si="94"/>
        <v>UpHnG_TEMP_H</v>
      </c>
      <c r="J183" s="1">
        <f t="shared" si="101"/>
        <v>0</v>
      </c>
      <c r="K183" s="1">
        <f t="shared" si="95"/>
        <v>0</v>
      </c>
      <c r="L183" s="1" t="str">
        <f t="shared" si="96"/>
        <v>0</v>
      </c>
      <c r="M183" s="10">
        <f t="shared" si="97"/>
        <v>0</v>
      </c>
      <c r="N183" s="1">
        <f t="shared" si="98"/>
        <v>26</v>
      </c>
      <c r="O183" s="1">
        <f t="shared" si="83"/>
        <v>0</v>
      </c>
      <c r="P183" s="1">
        <f t="shared" si="99"/>
        <v>27</v>
      </c>
      <c r="Q183" s="3" t="str">
        <f t="shared" si="70"/>
        <v xml:space="preserve"> </v>
      </c>
      <c r="R183" s="11">
        <f t="shared" si="84"/>
        <v>384</v>
      </c>
      <c r="S183" s="11"/>
      <c r="T183" s="13" t="str">
        <f t="shared" si="85"/>
        <v>180</v>
      </c>
      <c r="U183" s="14" t="str">
        <f t="shared" si="71"/>
        <v>UpHnG_TEMP_H</v>
      </c>
      <c r="V183" s="13" t="str">
        <f t="shared" si="72"/>
        <v>2</v>
      </c>
      <c r="W183" s="13">
        <f t="shared" si="73"/>
        <v>0</v>
      </c>
      <c r="X183" s="14" t="str">
        <f t="shared" si="74"/>
        <v xml:space="preserve"> </v>
      </c>
      <c r="Y183" s="1">
        <f t="shared" si="75"/>
        <v>1</v>
      </c>
      <c r="Z183" s="1">
        <f t="shared" si="76"/>
        <v>2</v>
      </c>
      <c r="AA183" s="1">
        <f t="shared" si="102"/>
        <v>0</v>
      </c>
      <c r="AB183" s="1">
        <f t="shared" si="77"/>
        <v>0</v>
      </c>
      <c r="AC183" s="10" t="e">
        <f t="shared" si="78"/>
        <v>#VALUE!</v>
      </c>
      <c r="AD183" s="1" t="e">
        <f t="shared" si="86"/>
        <v>#VALUE!</v>
      </c>
      <c r="AF183" s="3" t="e">
        <f t="shared" si="79"/>
        <v>#VALUE!</v>
      </c>
      <c r="AG183" s="5" t="str">
        <f t="shared" si="80"/>
        <v>UpHnG_TEMP_H)/* *</v>
      </c>
      <c r="AH183" s="3">
        <f t="shared" si="81"/>
        <v>2</v>
      </c>
      <c r="AI183" s="3">
        <f t="shared" si="82"/>
        <v>0</v>
      </c>
      <c r="AJ183" s="7">
        <f t="shared" si="87"/>
        <v>1</v>
      </c>
    </row>
    <row r="184" spans="1:36" x14ac:dyDescent="0.3">
      <c r="A184" s="15" t="s">
        <v>468</v>
      </c>
      <c r="B184" s="1">
        <f t="shared" si="88"/>
        <v>0</v>
      </c>
      <c r="C184" s="1">
        <f t="shared" si="89"/>
        <v>0</v>
      </c>
      <c r="D184" s="10">
        <f t="shared" si="90"/>
        <v>0</v>
      </c>
      <c r="E184" s="1">
        <f t="shared" si="91"/>
        <v>0</v>
      </c>
      <c r="F184" s="1">
        <f t="shared" si="92"/>
        <v>0</v>
      </c>
      <c r="G184" s="1">
        <f t="shared" si="93"/>
        <v>0</v>
      </c>
      <c r="H184" s="1">
        <f t="shared" si="100"/>
        <v>0</v>
      </c>
      <c r="I184" s="10">
        <f t="shared" si="94"/>
        <v>0</v>
      </c>
      <c r="J184" s="1">
        <f t="shared" si="101"/>
        <v>0</v>
      </c>
      <c r="K184" s="1">
        <f t="shared" si="95"/>
        <v>0</v>
      </c>
      <c r="L184" s="1" t="str">
        <f t="shared" si="96"/>
        <v>0</v>
      </c>
      <c r="M184" s="10">
        <f t="shared" si="97"/>
        <v>0</v>
      </c>
      <c r="N184" s="1">
        <f t="shared" si="98"/>
        <v>3</v>
      </c>
      <c r="O184" s="1">
        <f t="shared" si="83"/>
        <v>1</v>
      </c>
      <c r="P184" s="1">
        <f t="shared" si="99"/>
        <v>12</v>
      </c>
      <c r="Q184" s="3" t="str">
        <f t="shared" si="70"/>
        <v>TEMP_LOW</v>
      </c>
      <c r="R184" s="11">
        <f t="shared" si="84"/>
        <v>386</v>
      </c>
      <c r="S184" s="11"/>
      <c r="T184" s="13" t="str">
        <f t="shared" si="85"/>
        <v>#</v>
      </c>
      <c r="U184" s="14" t="str">
        <f t="shared" si="71"/>
        <v>TEMP_LOW</v>
      </c>
      <c r="V184" s="13">
        <f t="shared" si="72"/>
        <v>1</v>
      </c>
      <c r="W184" s="13">
        <f t="shared" si="73"/>
        <v>0</v>
      </c>
      <c r="X184" s="14" t="str">
        <f t="shared" si="74"/>
        <v>-</v>
      </c>
      <c r="Y184" s="1">
        <f t="shared" si="75"/>
        <v>0</v>
      </c>
      <c r="Z184" s="1">
        <f t="shared" si="76"/>
        <v>2</v>
      </c>
      <c r="AA184" s="1">
        <f t="shared" si="102"/>
        <v>0</v>
      </c>
      <c r="AB184" s="1">
        <f t="shared" si="77"/>
        <v>0</v>
      </c>
      <c r="AC184" s="10" t="e">
        <f t="shared" si="78"/>
        <v>#VALUE!</v>
      </c>
      <c r="AD184" s="1" t="e">
        <f t="shared" si="86"/>
        <v>#VALUE!</v>
      </c>
      <c r="AF184" s="3" t="str">
        <f t="shared" si="79"/>
        <v>0</v>
      </c>
      <c r="AG184" s="5" t="str">
        <f t="shared" si="80"/>
        <v>#TEMP_LOW</v>
      </c>
      <c r="AH184" s="3" t="str">
        <f t="shared" si="81"/>
        <v>1</v>
      </c>
      <c r="AI184" s="3" t="str">
        <f t="shared" si="82"/>
        <v>0</v>
      </c>
      <c r="AJ184" s="7">
        <f t="shared" si="87"/>
        <v>1</v>
      </c>
    </row>
    <row r="185" spans="1:36" x14ac:dyDescent="0.3">
      <c r="A185" s="15" t="s">
        <v>469</v>
      </c>
      <c r="B185" s="1">
        <f t="shared" si="88"/>
        <v>8</v>
      </c>
      <c r="C185" s="1">
        <f t="shared" si="89"/>
        <v>9</v>
      </c>
      <c r="D185" s="10" t="str">
        <f t="shared" si="90"/>
        <v>1</v>
      </c>
      <c r="E185" s="1">
        <f t="shared" si="91"/>
        <v>11</v>
      </c>
      <c r="F185" s="1">
        <f t="shared" si="92"/>
        <v>67</v>
      </c>
      <c r="G185" s="1">
        <f t="shared" si="93"/>
        <v>28</v>
      </c>
      <c r="H185" s="1">
        <f t="shared" si="100"/>
        <v>28</v>
      </c>
      <c r="I185" s="10" t="str">
        <f t="shared" si="94"/>
        <v>UpBY_GAINN_TEMP_L</v>
      </c>
      <c r="J185" s="1">
        <f t="shared" si="101"/>
        <v>0</v>
      </c>
      <c r="K185" s="1">
        <f t="shared" si="95"/>
        <v>0</v>
      </c>
      <c r="L185" s="1" t="str">
        <f t="shared" si="96"/>
        <v>0</v>
      </c>
      <c r="M185" s="10">
        <f t="shared" si="97"/>
        <v>0</v>
      </c>
      <c r="N185" s="1">
        <f t="shared" si="98"/>
        <v>31</v>
      </c>
      <c r="O185" s="1">
        <f t="shared" si="83"/>
        <v>0</v>
      </c>
      <c r="P185" s="1">
        <f t="shared" si="99"/>
        <v>83</v>
      </c>
      <c r="Q185" s="3" t="str">
        <f t="shared" si="70"/>
        <v xml:space="preserve"> B-Y Negative Gain Control (0 ~ 0xFF, Default:0x60) </v>
      </c>
      <c r="R185" s="11">
        <f t="shared" si="84"/>
        <v>386</v>
      </c>
      <c r="S185" s="11"/>
      <c r="T185" s="13" t="str">
        <f t="shared" si="85"/>
        <v>182</v>
      </c>
      <c r="U185" s="14" t="str">
        <f t="shared" si="71"/>
        <v>UpBY_GAINN_TEMP_L</v>
      </c>
      <c r="V185" s="13" t="str">
        <f t="shared" si="72"/>
        <v>1</v>
      </c>
      <c r="W185" s="13">
        <f t="shared" si="73"/>
        <v>0</v>
      </c>
      <c r="X185" s="14" t="str">
        <f t="shared" si="74"/>
        <v xml:space="preserve"> B-Y Negative Gain Control (0 ~ 0xFF, Default:0x60) </v>
      </c>
      <c r="Y185" s="1">
        <f t="shared" si="75"/>
        <v>1</v>
      </c>
      <c r="Z185" s="1">
        <f t="shared" si="76"/>
        <v>1</v>
      </c>
      <c r="AA185" s="1">
        <f t="shared" si="102"/>
        <v>0</v>
      </c>
      <c r="AB185" s="1">
        <f t="shared" si="77"/>
        <v>0</v>
      </c>
      <c r="AC185" s="10" t="e">
        <f t="shared" si="78"/>
        <v>#VALUE!</v>
      </c>
      <c r="AD185" s="1" t="e">
        <f t="shared" si="86"/>
        <v>#VALUE!</v>
      </c>
      <c r="AF185" s="3" t="e">
        <f t="shared" si="79"/>
        <v>#VALUE!</v>
      </c>
      <c r="AG185" s="5" t="str">
        <f t="shared" si="80"/>
        <v>UpBY_GAINN_TEMP_L)/* B-Y Negative Gain Control (0 ~ 0xFF, Default:0x60) *</v>
      </c>
      <c r="AH185" s="3">
        <f t="shared" si="81"/>
        <v>1</v>
      </c>
      <c r="AI185" s="3">
        <f t="shared" si="82"/>
        <v>0</v>
      </c>
      <c r="AJ185" s="7">
        <f t="shared" si="87"/>
        <v>1</v>
      </c>
    </row>
    <row r="186" spans="1:36" x14ac:dyDescent="0.3">
      <c r="A186" s="15" t="s">
        <v>470</v>
      </c>
      <c r="B186" s="1">
        <f t="shared" si="88"/>
        <v>8</v>
      </c>
      <c r="C186" s="1">
        <f t="shared" si="89"/>
        <v>9</v>
      </c>
      <c r="D186" s="10" t="str">
        <f t="shared" si="90"/>
        <v>1</v>
      </c>
      <c r="E186" s="1">
        <f t="shared" si="91"/>
        <v>11</v>
      </c>
      <c r="F186" s="1">
        <f t="shared" si="92"/>
        <v>67</v>
      </c>
      <c r="G186" s="1">
        <f t="shared" si="93"/>
        <v>28</v>
      </c>
      <c r="H186" s="1">
        <f t="shared" si="100"/>
        <v>28</v>
      </c>
      <c r="I186" s="10" t="str">
        <f t="shared" si="94"/>
        <v>UpBY_GAINP_TEMP_L</v>
      </c>
      <c r="J186" s="1">
        <f t="shared" si="101"/>
        <v>0</v>
      </c>
      <c r="K186" s="1">
        <f t="shared" si="95"/>
        <v>0</v>
      </c>
      <c r="L186" s="1" t="str">
        <f t="shared" si="96"/>
        <v>0</v>
      </c>
      <c r="M186" s="10">
        <f t="shared" si="97"/>
        <v>0</v>
      </c>
      <c r="N186" s="1">
        <f t="shared" si="98"/>
        <v>31</v>
      </c>
      <c r="O186" s="1">
        <f t="shared" si="83"/>
        <v>0</v>
      </c>
      <c r="P186" s="1">
        <f t="shared" si="99"/>
        <v>83</v>
      </c>
      <c r="Q186" s="3" t="str">
        <f t="shared" si="70"/>
        <v xml:space="preserve"> B-Y Positive Gain Control (0 ~ 0xFF, Default:0x60) </v>
      </c>
      <c r="R186" s="11">
        <f t="shared" si="84"/>
        <v>387</v>
      </c>
      <c r="S186" s="11"/>
      <c r="T186" s="13" t="str">
        <f t="shared" si="85"/>
        <v>183</v>
      </c>
      <c r="U186" s="14" t="str">
        <f t="shared" si="71"/>
        <v>UpBY_GAINP_TEMP_L</v>
      </c>
      <c r="V186" s="13" t="str">
        <f t="shared" si="72"/>
        <v>1</v>
      </c>
      <c r="W186" s="13">
        <f t="shared" si="73"/>
        <v>0</v>
      </c>
      <c r="X186" s="14" t="str">
        <f t="shared" si="74"/>
        <v xml:space="preserve"> B-Y Positive Gain Control (0 ~ 0xFF, Default:0x60) </v>
      </c>
      <c r="Y186" s="1">
        <f t="shared" si="75"/>
        <v>1</v>
      </c>
      <c r="Z186" s="1">
        <f t="shared" si="76"/>
        <v>1</v>
      </c>
      <c r="AA186" s="1">
        <f t="shared" si="102"/>
        <v>0</v>
      </c>
      <c r="AB186" s="1">
        <f t="shared" si="77"/>
        <v>0</v>
      </c>
      <c r="AC186" s="10" t="e">
        <f t="shared" si="78"/>
        <v>#VALUE!</v>
      </c>
      <c r="AD186" s="1" t="e">
        <f t="shared" si="86"/>
        <v>#VALUE!</v>
      </c>
      <c r="AF186" s="3" t="e">
        <f t="shared" si="79"/>
        <v>#VALUE!</v>
      </c>
      <c r="AG186" s="5" t="str">
        <f t="shared" si="80"/>
        <v>UpBY_GAINP_TEMP_L)/* B-Y Positive Gain Control (0 ~ 0xFF, Default:0x60) *</v>
      </c>
      <c r="AH186" s="3">
        <f t="shared" si="81"/>
        <v>1</v>
      </c>
      <c r="AI186" s="3">
        <f t="shared" si="82"/>
        <v>0</v>
      </c>
      <c r="AJ186" s="7">
        <f t="shared" si="87"/>
        <v>1</v>
      </c>
    </row>
    <row r="187" spans="1:36" x14ac:dyDescent="0.3">
      <c r="A187" s="15" t="s">
        <v>471</v>
      </c>
      <c r="B187" s="1">
        <f t="shared" si="88"/>
        <v>8</v>
      </c>
      <c r="C187" s="1">
        <f t="shared" si="89"/>
        <v>9</v>
      </c>
      <c r="D187" s="10" t="str">
        <f t="shared" si="90"/>
        <v>1</v>
      </c>
      <c r="E187" s="1">
        <f t="shared" si="91"/>
        <v>11</v>
      </c>
      <c r="F187" s="1">
        <f t="shared" si="92"/>
        <v>67</v>
      </c>
      <c r="G187" s="1">
        <f t="shared" si="93"/>
        <v>28</v>
      </c>
      <c r="H187" s="1">
        <f t="shared" si="100"/>
        <v>28</v>
      </c>
      <c r="I187" s="10" t="str">
        <f t="shared" si="94"/>
        <v>UpRY_GAINN_TEMP_L</v>
      </c>
      <c r="J187" s="1">
        <f t="shared" si="101"/>
        <v>0</v>
      </c>
      <c r="K187" s="1">
        <f t="shared" si="95"/>
        <v>0</v>
      </c>
      <c r="L187" s="1" t="str">
        <f t="shared" si="96"/>
        <v>0</v>
      </c>
      <c r="M187" s="10">
        <f t="shared" si="97"/>
        <v>0</v>
      </c>
      <c r="N187" s="1">
        <f t="shared" si="98"/>
        <v>31</v>
      </c>
      <c r="O187" s="1">
        <f t="shared" si="83"/>
        <v>0</v>
      </c>
      <c r="P187" s="1">
        <f t="shared" si="99"/>
        <v>83</v>
      </c>
      <c r="Q187" s="3" t="str">
        <f t="shared" si="70"/>
        <v xml:space="preserve"> R-Y Negative Gain Control (0 ~ 0xFF, Default:0x60) </v>
      </c>
      <c r="R187" s="11">
        <f t="shared" si="84"/>
        <v>388</v>
      </c>
      <c r="S187" s="11"/>
      <c r="T187" s="13" t="str">
        <f t="shared" si="85"/>
        <v>184</v>
      </c>
      <c r="U187" s="14" t="str">
        <f t="shared" si="71"/>
        <v>UpRY_GAINN_TEMP_L</v>
      </c>
      <c r="V187" s="13" t="str">
        <f t="shared" si="72"/>
        <v>1</v>
      </c>
      <c r="W187" s="13">
        <f t="shared" si="73"/>
        <v>0</v>
      </c>
      <c r="X187" s="14" t="str">
        <f>IF(U187=$U$1,"",IF(U187="","",IF(B187&gt;0,IF(Q187&lt;&gt;"",Q187,"No description"),"-")))</f>
        <v xml:space="preserve"> R-Y Negative Gain Control (0 ~ 0xFF, Default:0x60) </v>
      </c>
      <c r="Y187" s="1">
        <f t="shared" si="75"/>
        <v>1</v>
      </c>
      <c r="Z187" s="1">
        <f t="shared" si="76"/>
        <v>1</v>
      </c>
      <c r="AA187" s="1">
        <f t="shared" si="102"/>
        <v>0</v>
      </c>
      <c r="AB187" s="1">
        <f t="shared" si="77"/>
        <v>0</v>
      </c>
      <c r="AC187" s="10" t="e">
        <f t="shared" si="78"/>
        <v>#VALUE!</v>
      </c>
      <c r="AD187" s="1" t="e">
        <f t="shared" si="86"/>
        <v>#VALUE!</v>
      </c>
      <c r="AF187" s="3" t="e">
        <f t="shared" si="79"/>
        <v>#VALUE!</v>
      </c>
      <c r="AG187" s="5" t="str">
        <f t="shared" si="80"/>
        <v>UpRY_GAINN_TEMP_L)/* R-Y Negative Gain Control (0 ~ 0xFF, Default:0x60) *</v>
      </c>
      <c r="AH187" s="3">
        <f t="shared" si="81"/>
        <v>1</v>
      </c>
      <c r="AI187" s="3">
        <f t="shared" si="82"/>
        <v>0</v>
      </c>
      <c r="AJ187" s="7">
        <f t="shared" si="87"/>
        <v>1</v>
      </c>
    </row>
    <row r="188" spans="1:36" x14ac:dyDescent="0.3">
      <c r="A188" s="15" t="s">
        <v>472</v>
      </c>
      <c r="B188" s="1">
        <f t="shared" si="88"/>
        <v>8</v>
      </c>
      <c r="C188" s="1">
        <f t="shared" si="89"/>
        <v>9</v>
      </c>
      <c r="D188" s="10" t="str">
        <f t="shared" si="90"/>
        <v>1</v>
      </c>
      <c r="E188" s="1">
        <f t="shared" si="91"/>
        <v>11</v>
      </c>
      <c r="F188" s="1">
        <f t="shared" si="92"/>
        <v>67</v>
      </c>
      <c r="G188" s="1">
        <f t="shared" si="93"/>
        <v>28</v>
      </c>
      <c r="H188" s="1">
        <f t="shared" si="100"/>
        <v>28</v>
      </c>
      <c r="I188" s="10" t="str">
        <f t="shared" si="94"/>
        <v>UpRY_GAINP_TEMP_L</v>
      </c>
      <c r="J188" s="1">
        <f t="shared" si="101"/>
        <v>0</v>
      </c>
      <c r="K188" s="1">
        <f t="shared" si="95"/>
        <v>0</v>
      </c>
      <c r="L188" s="1" t="str">
        <f t="shared" si="96"/>
        <v>0</v>
      </c>
      <c r="M188" s="10">
        <f t="shared" si="97"/>
        <v>0</v>
      </c>
      <c r="N188" s="1">
        <f t="shared" si="98"/>
        <v>31</v>
      </c>
      <c r="O188" s="1">
        <f t="shared" si="83"/>
        <v>0</v>
      </c>
      <c r="P188" s="1">
        <f t="shared" si="99"/>
        <v>83</v>
      </c>
      <c r="Q188" s="3" t="str">
        <f t="shared" si="70"/>
        <v xml:space="preserve"> R-Y Positive Gain Control (0 ~ 0xFF, Default:0x60) </v>
      </c>
      <c r="R188" s="11">
        <f t="shared" si="84"/>
        <v>389</v>
      </c>
      <c r="S188" s="11"/>
      <c r="T188" s="13" t="str">
        <f t="shared" si="85"/>
        <v>185</v>
      </c>
      <c r="U188" s="14" t="str">
        <f t="shared" si="71"/>
        <v>UpRY_GAINP_TEMP_L</v>
      </c>
      <c r="V188" s="13" t="str">
        <f t="shared" si="72"/>
        <v>1</v>
      </c>
      <c r="W188" s="13">
        <f t="shared" si="73"/>
        <v>0</v>
      </c>
      <c r="X188" s="14" t="str">
        <f t="shared" ref="X188:X251" si="103">IF(U188=$U$1,"",IF(U188="","",IF(B188&gt;0,IF(Q188&lt;&gt;"",Q188,"No description"),"-")))</f>
        <v xml:space="preserve"> R-Y Positive Gain Control (0 ~ 0xFF, Default:0x60) </v>
      </c>
      <c r="Y188" s="1">
        <f t="shared" si="75"/>
        <v>1</v>
      </c>
      <c r="Z188" s="1">
        <f t="shared" si="76"/>
        <v>1</v>
      </c>
      <c r="AA188" s="1">
        <f t="shared" si="102"/>
        <v>0</v>
      </c>
      <c r="AB188" s="1">
        <f t="shared" si="77"/>
        <v>0</v>
      </c>
      <c r="AC188" s="10" t="e">
        <f t="shared" si="78"/>
        <v>#VALUE!</v>
      </c>
      <c r="AD188" s="1" t="e">
        <f t="shared" si="86"/>
        <v>#VALUE!</v>
      </c>
      <c r="AF188" s="3" t="e">
        <f t="shared" si="79"/>
        <v>#VALUE!</v>
      </c>
      <c r="AG188" s="5" t="str">
        <f t="shared" si="80"/>
        <v>UpRY_GAINP_TEMP_L)/* R-Y Positive Gain Control (0 ~ 0xFF, Default:0x60) *</v>
      </c>
      <c r="AH188" s="3">
        <f t="shared" si="81"/>
        <v>1</v>
      </c>
      <c r="AI188" s="3">
        <f t="shared" si="82"/>
        <v>0</v>
      </c>
      <c r="AJ188" s="7">
        <f t="shared" si="87"/>
        <v>1</v>
      </c>
    </row>
    <row r="189" spans="1:36" x14ac:dyDescent="0.3">
      <c r="A189" s="15" t="s">
        <v>473</v>
      </c>
      <c r="B189" s="1">
        <f t="shared" si="88"/>
        <v>8</v>
      </c>
      <c r="C189" s="1">
        <f t="shared" si="89"/>
        <v>9</v>
      </c>
      <c r="D189" s="10" t="str">
        <f t="shared" si="90"/>
        <v>1</v>
      </c>
      <c r="E189" s="1">
        <f t="shared" si="91"/>
        <v>11</v>
      </c>
      <c r="F189" s="1">
        <f t="shared" si="92"/>
        <v>65</v>
      </c>
      <c r="G189" s="1">
        <f t="shared" si="93"/>
        <v>27</v>
      </c>
      <c r="H189" s="1">
        <f t="shared" si="100"/>
        <v>27</v>
      </c>
      <c r="I189" s="10" t="str">
        <f t="shared" si="94"/>
        <v>UpBY_HUEN_TEMP_L</v>
      </c>
      <c r="J189" s="1">
        <f t="shared" si="101"/>
        <v>0</v>
      </c>
      <c r="K189" s="1">
        <f t="shared" si="95"/>
        <v>0</v>
      </c>
      <c r="L189" s="1" t="str">
        <f t="shared" si="96"/>
        <v>0</v>
      </c>
      <c r="M189" s="10">
        <f t="shared" si="97"/>
        <v>0</v>
      </c>
      <c r="N189" s="1">
        <f t="shared" si="98"/>
        <v>30</v>
      </c>
      <c r="O189" s="1">
        <f t="shared" si="83"/>
        <v>0</v>
      </c>
      <c r="P189" s="1">
        <f t="shared" si="99"/>
        <v>86</v>
      </c>
      <c r="Q189" s="3" t="str">
        <f t="shared" si="70"/>
        <v xml:space="preserve"> B-Y Negative Hue Control (0x1:-90°, 0x80:0°, 0xFF:90°) </v>
      </c>
      <c r="R189" s="11">
        <f t="shared" si="84"/>
        <v>390</v>
      </c>
      <c r="S189" s="11"/>
      <c r="T189" s="13" t="str">
        <f t="shared" si="85"/>
        <v>186</v>
      </c>
      <c r="U189" s="14" t="str">
        <f t="shared" si="71"/>
        <v>UpBY_HUEN_TEMP_L</v>
      </c>
      <c r="V189" s="13" t="str">
        <f t="shared" si="72"/>
        <v>1</v>
      </c>
      <c r="W189" s="13">
        <f t="shared" si="73"/>
        <v>0</v>
      </c>
      <c r="X189" s="14" t="str">
        <f t="shared" si="103"/>
        <v xml:space="preserve"> B-Y Negative Hue Control (0x1:-90°, 0x80:0°, 0xFF:90°) </v>
      </c>
      <c r="Y189" s="1">
        <f t="shared" si="75"/>
        <v>1</v>
      </c>
      <c r="Z189" s="1">
        <f t="shared" si="76"/>
        <v>1</v>
      </c>
      <c r="AA189" s="1">
        <f t="shared" si="102"/>
        <v>0</v>
      </c>
      <c r="AB189" s="1">
        <f t="shared" si="77"/>
        <v>0</v>
      </c>
      <c r="AC189" s="10" t="e">
        <f t="shared" si="78"/>
        <v>#VALUE!</v>
      </c>
      <c r="AD189" s="1" t="e">
        <f t="shared" si="86"/>
        <v>#VALUE!</v>
      </c>
      <c r="AF189" s="3" t="e">
        <f t="shared" si="79"/>
        <v>#VALUE!</v>
      </c>
      <c r="AG189" s="5" t="str">
        <f t="shared" si="80"/>
        <v>UpBY_HUEN_TEMP_L)/* B-Y Negative Hue Control (0x1:-90°, 0x80:0°, 0xFF:90°) *</v>
      </c>
      <c r="AH189" s="3">
        <f t="shared" si="81"/>
        <v>1</v>
      </c>
      <c r="AI189" s="3">
        <f t="shared" si="82"/>
        <v>0</v>
      </c>
      <c r="AJ189" s="7">
        <f t="shared" si="87"/>
        <v>1</v>
      </c>
    </row>
    <row r="190" spans="1:36" x14ac:dyDescent="0.3">
      <c r="A190" s="15" t="s">
        <v>474</v>
      </c>
      <c r="B190" s="1">
        <f t="shared" si="88"/>
        <v>8</v>
      </c>
      <c r="C190" s="1">
        <f t="shared" si="89"/>
        <v>9</v>
      </c>
      <c r="D190" s="10" t="str">
        <f t="shared" si="90"/>
        <v>1</v>
      </c>
      <c r="E190" s="1">
        <f t="shared" si="91"/>
        <v>11</v>
      </c>
      <c r="F190" s="1">
        <f t="shared" si="92"/>
        <v>65</v>
      </c>
      <c r="G190" s="1">
        <f t="shared" si="93"/>
        <v>27</v>
      </c>
      <c r="H190" s="1">
        <f t="shared" si="100"/>
        <v>27</v>
      </c>
      <c r="I190" s="10" t="str">
        <f t="shared" si="94"/>
        <v>UpBY_HUEP_TEMP_L</v>
      </c>
      <c r="J190" s="1">
        <f t="shared" si="101"/>
        <v>0</v>
      </c>
      <c r="K190" s="1">
        <f t="shared" si="95"/>
        <v>0</v>
      </c>
      <c r="L190" s="1" t="str">
        <f t="shared" si="96"/>
        <v>0</v>
      </c>
      <c r="M190" s="10">
        <f t="shared" si="97"/>
        <v>0</v>
      </c>
      <c r="N190" s="1">
        <f t="shared" si="98"/>
        <v>30</v>
      </c>
      <c r="O190" s="1">
        <f t="shared" si="83"/>
        <v>0</v>
      </c>
      <c r="P190" s="1">
        <f t="shared" si="99"/>
        <v>86</v>
      </c>
      <c r="Q190" s="3" t="str">
        <f t="shared" si="70"/>
        <v xml:space="preserve"> B-Y Positive Hue Control (0x1:-90°, 0x80:0°, 0xFF:90°) </v>
      </c>
      <c r="R190" s="11">
        <f t="shared" si="84"/>
        <v>391</v>
      </c>
      <c r="S190" s="11"/>
      <c r="T190" s="13" t="str">
        <f t="shared" si="85"/>
        <v>187</v>
      </c>
      <c r="U190" s="14" t="str">
        <f t="shared" si="71"/>
        <v>UpBY_HUEP_TEMP_L</v>
      </c>
      <c r="V190" s="13" t="str">
        <f t="shared" si="72"/>
        <v>1</v>
      </c>
      <c r="W190" s="13">
        <f t="shared" si="73"/>
        <v>0</v>
      </c>
      <c r="X190" s="14" t="str">
        <f t="shared" si="103"/>
        <v xml:space="preserve"> B-Y Positive Hue Control (0x1:-90°, 0x80:0°, 0xFF:90°) </v>
      </c>
      <c r="Y190" s="1">
        <f t="shared" si="75"/>
        <v>1</v>
      </c>
      <c r="Z190" s="1">
        <f t="shared" si="76"/>
        <v>1</v>
      </c>
      <c r="AA190" s="1">
        <f t="shared" si="102"/>
        <v>0</v>
      </c>
      <c r="AB190" s="1">
        <f t="shared" si="77"/>
        <v>0</v>
      </c>
      <c r="AC190" s="10" t="e">
        <f t="shared" si="78"/>
        <v>#VALUE!</v>
      </c>
      <c r="AD190" s="1" t="e">
        <f t="shared" si="86"/>
        <v>#VALUE!</v>
      </c>
      <c r="AF190" s="3" t="e">
        <f t="shared" si="79"/>
        <v>#VALUE!</v>
      </c>
      <c r="AG190" s="5" t="str">
        <f t="shared" si="80"/>
        <v>UpBY_HUEP_TEMP_L)/* B-Y Positive Hue Control (0x1:-90°, 0x80:0°, 0xFF:90°) *</v>
      </c>
      <c r="AH190" s="3">
        <f t="shared" si="81"/>
        <v>1</v>
      </c>
      <c r="AI190" s="3">
        <f t="shared" si="82"/>
        <v>0</v>
      </c>
      <c r="AJ190" s="7">
        <f t="shared" si="87"/>
        <v>1</v>
      </c>
    </row>
    <row r="191" spans="1:36" x14ac:dyDescent="0.3">
      <c r="A191" s="15" t="s">
        <v>475</v>
      </c>
      <c r="B191" s="1">
        <f t="shared" si="88"/>
        <v>8</v>
      </c>
      <c r="C191" s="1">
        <f t="shared" si="89"/>
        <v>9</v>
      </c>
      <c r="D191" s="10" t="str">
        <f t="shared" si="90"/>
        <v>1</v>
      </c>
      <c r="E191" s="1">
        <f t="shared" si="91"/>
        <v>11</v>
      </c>
      <c r="F191" s="1">
        <f t="shared" si="92"/>
        <v>65</v>
      </c>
      <c r="G191" s="1">
        <f t="shared" si="93"/>
        <v>27</v>
      </c>
      <c r="H191" s="1">
        <f t="shared" si="100"/>
        <v>27</v>
      </c>
      <c r="I191" s="10" t="str">
        <f t="shared" si="94"/>
        <v>UpRY_HUEN_TEMP_L</v>
      </c>
      <c r="J191" s="1">
        <f t="shared" si="101"/>
        <v>0</v>
      </c>
      <c r="K191" s="1">
        <f t="shared" si="95"/>
        <v>0</v>
      </c>
      <c r="L191" s="1" t="str">
        <f t="shared" si="96"/>
        <v>0</v>
      </c>
      <c r="M191" s="10">
        <f t="shared" si="97"/>
        <v>0</v>
      </c>
      <c r="N191" s="1">
        <f t="shared" si="98"/>
        <v>30</v>
      </c>
      <c r="O191" s="1">
        <f t="shared" si="83"/>
        <v>0</v>
      </c>
      <c r="P191" s="1">
        <f t="shared" si="99"/>
        <v>86</v>
      </c>
      <c r="Q191" s="3" t="str">
        <f t="shared" si="70"/>
        <v xml:space="preserve"> R-Y Negative Hue Control (0x1:-90°, 0x80:0°, 0xFF:90°) </v>
      </c>
      <c r="R191" s="11">
        <f t="shared" si="84"/>
        <v>392</v>
      </c>
      <c r="S191" s="11"/>
      <c r="T191" s="13" t="str">
        <f t="shared" si="85"/>
        <v>188</v>
      </c>
      <c r="U191" s="14" t="str">
        <f t="shared" si="71"/>
        <v>UpRY_HUEN_TEMP_L</v>
      </c>
      <c r="V191" s="13" t="str">
        <f t="shared" si="72"/>
        <v>1</v>
      </c>
      <c r="W191" s="13">
        <f t="shared" si="73"/>
        <v>0</v>
      </c>
      <c r="X191" s="14" t="str">
        <f t="shared" si="103"/>
        <v xml:space="preserve"> R-Y Negative Hue Control (0x1:-90°, 0x80:0°, 0xFF:90°) </v>
      </c>
      <c r="Y191" s="1">
        <f t="shared" si="75"/>
        <v>1</v>
      </c>
      <c r="Z191" s="1">
        <f t="shared" si="76"/>
        <v>1</v>
      </c>
      <c r="AA191" s="1">
        <f t="shared" si="102"/>
        <v>0</v>
      </c>
      <c r="AB191" s="1">
        <f t="shared" si="77"/>
        <v>0</v>
      </c>
      <c r="AC191" s="10" t="e">
        <f t="shared" si="78"/>
        <v>#VALUE!</v>
      </c>
      <c r="AD191" s="1" t="e">
        <f t="shared" si="86"/>
        <v>#VALUE!</v>
      </c>
      <c r="AF191" s="3" t="e">
        <f t="shared" si="79"/>
        <v>#VALUE!</v>
      </c>
      <c r="AG191" s="5" t="str">
        <f t="shared" si="80"/>
        <v>UpRY_HUEN_TEMP_L)/* R-Y Negative Hue Control (0x1:-90°, 0x80:0°, 0xFF:90°) *</v>
      </c>
      <c r="AH191" s="3">
        <f t="shared" si="81"/>
        <v>1</v>
      </c>
      <c r="AI191" s="3">
        <f t="shared" si="82"/>
        <v>0</v>
      </c>
      <c r="AJ191" s="7">
        <f t="shared" si="87"/>
        <v>1</v>
      </c>
    </row>
    <row r="192" spans="1:36" x14ac:dyDescent="0.3">
      <c r="A192" s="15" t="s">
        <v>476</v>
      </c>
      <c r="B192" s="1">
        <f t="shared" si="88"/>
        <v>8</v>
      </c>
      <c r="C192" s="1">
        <f t="shared" si="89"/>
        <v>9</v>
      </c>
      <c r="D192" s="10" t="str">
        <f t="shared" si="90"/>
        <v>1</v>
      </c>
      <c r="E192" s="1">
        <f t="shared" si="91"/>
        <v>11</v>
      </c>
      <c r="F192" s="1">
        <f t="shared" si="92"/>
        <v>65</v>
      </c>
      <c r="G192" s="1">
        <f t="shared" si="93"/>
        <v>27</v>
      </c>
      <c r="H192" s="1">
        <f t="shared" si="100"/>
        <v>27</v>
      </c>
      <c r="I192" s="10" t="str">
        <f t="shared" si="94"/>
        <v>UpRY_HUEP_TEMP_L</v>
      </c>
      <c r="J192" s="1">
        <f t="shared" si="101"/>
        <v>0</v>
      </c>
      <c r="K192" s="1">
        <f t="shared" si="95"/>
        <v>0</v>
      </c>
      <c r="L192" s="1" t="str">
        <f t="shared" si="96"/>
        <v>0</v>
      </c>
      <c r="M192" s="10">
        <f t="shared" si="97"/>
        <v>0</v>
      </c>
      <c r="N192" s="1">
        <f t="shared" si="98"/>
        <v>30</v>
      </c>
      <c r="O192" s="1">
        <f t="shared" si="83"/>
        <v>0</v>
      </c>
      <c r="P192" s="1">
        <f t="shared" si="99"/>
        <v>86</v>
      </c>
      <c r="Q192" s="3" t="str">
        <f t="shared" si="70"/>
        <v xml:space="preserve"> R-Y Positive Hue Control (0x1:-90°, 0x80:0°, 0xFF:90°) </v>
      </c>
      <c r="R192" s="11">
        <f t="shared" si="84"/>
        <v>393</v>
      </c>
      <c r="S192" s="11"/>
      <c r="T192" s="13" t="str">
        <f t="shared" si="85"/>
        <v>189</v>
      </c>
      <c r="U192" s="14" t="str">
        <f t="shared" si="71"/>
        <v>UpRY_HUEP_TEMP_L</v>
      </c>
      <c r="V192" s="13" t="str">
        <f t="shared" si="72"/>
        <v>1</v>
      </c>
      <c r="W192" s="13">
        <f t="shared" si="73"/>
        <v>0</v>
      </c>
      <c r="X192" s="14" t="str">
        <f t="shared" si="103"/>
        <v xml:space="preserve"> R-Y Positive Hue Control (0x1:-90°, 0x80:0°, 0xFF:90°) </v>
      </c>
      <c r="Y192" s="1">
        <f t="shared" si="75"/>
        <v>1</v>
      </c>
      <c r="Z192" s="1">
        <f t="shared" si="76"/>
        <v>1</v>
      </c>
      <c r="AA192" s="1">
        <f t="shared" si="102"/>
        <v>0</v>
      </c>
      <c r="AB192" s="1">
        <f t="shared" si="77"/>
        <v>0</v>
      </c>
      <c r="AC192" s="10" t="e">
        <f t="shared" si="78"/>
        <v>#VALUE!</v>
      </c>
      <c r="AD192" s="1" t="e">
        <f t="shared" si="86"/>
        <v>#VALUE!</v>
      </c>
      <c r="AF192" s="3" t="e">
        <f t="shared" si="79"/>
        <v>#VALUE!</v>
      </c>
      <c r="AG192" s="5" t="str">
        <f t="shared" si="80"/>
        <v>UpRY_HUEP_TEMP_L)/* R-Y Positive Hue Control (0x1:-90°, 0x80:0°, 0xFF:90°) *</v>
      </c>
      <c r="AH192" s="3">
        <f t="shared" si="81"/>
        <v>1</v>
      </c>
      <c r="AI192" s="3">
        <f t="shared" si="82"/>
        <v>0</v>
      </c>
      <c r="AJ192" s="7">
        <f t="shared" si="87"/>
        <v>1</v>
      </c>
    </row>
    <row r="193" spans="1:36" x14ac:dyDescent="0.3">
      <c r="A193" s="15" t="s">
        <v>477</v>
      </c>
      <c r="B193" s="1">
        <f t="shared" si="88"/>
        <v>0</v>
      </c>
      <c r="C193" s="1">
        <f t="shared" si="89"/>
        <v>0</v>
      </c>
      <c r="D193" s="10">
        <f t="shared" si="90"/>
        <v>0</v>
      </c>
      <c r="E193" s="1">
        <f t="shared" si="91"/>
        <v>0</v>
      </c>
      <c r="F193" s="1">
        <f t="shared" si="92"/>
        <v>0</v>
      </c>
      <c r="G193" s="1">
        <f t="shared" si="93"/>
        <v>0</v>
      </c>
      <c r="H193" s="1">
        <f t="shared" si="100"/>
        <v>0</v>
      </c>
      <c r="I193" s="10">
        <f t="shared" si="94"/>
        <v>0</v>
      </c>
      <c r="J193" s="1">
        <f t="shared" si="101"/>
        <v>0</v>
      </c>
      <c r="K193" s="1">
        <f t="shared" si="95"/>
        <v>0</v>
      </c>
      <c r="L193" s="1" t="str">
        <f t="shared" si="96"/>
        <v>0</v>
      </c>
      <c r="M193" s="10">
        <f t="shared" si="97"/>
        <v>0</v>
      </c>
      <c r="N193" s="1">
        <f t="shared" si="98"/>
        <v>3</v>
      </c>
      <c r="O193" s="1">
        <f t="shared" si="83"/>
        <v>1</v>
      </c>
      <c r="P193" s="1">
        <f t="shared" si="99"/>
        <v>12</v>
      </c>
      <c r="Q193" s="3" t="str">
        <f t="shared" si="70"/>
        <v>TEMP_MID</v>
      </c>
      <c r="R193" s="11">
        <f t="shared" si="84"/>
        <v>394</v>
      </c>
      <c r="S193" s="11"/>
      <c r="T193" s="13" t="str">
        <f t="shared" si="85"/>
        <v>#</v>
      </c>
      <c r="U193" s="14" t="str">
        <f t="shared" si="71"/>
        <v>TEMP_MID</v>
      </c>
      <c r="V193" s="13">
        <f t="shared" si="72"/>
        <v>1</v>
      </c>
      <c r="W193" s="13">
        <f t="shared" si="73"/>
        <v>0</v>
      </c>
      <c r="X193" s="14" t="str">
        <f t="shared" si="103"/>
        <v>-</v>
      </c>
      <c r="Y193" s="1">
        <f t="shared" si="75"/>
        <v>0</v>
      </c>
      <c r="Z193" s="1">
        <f t="shared" si="76"/>
        <v>1</v>
      </c>
      <c r="AA193" s="1">
        <f t="shared" si="102"/>
        <v>0</v>
      </c>
      <c r="AB193" s="1">
        <f t="shared" si="77"/>
        <v>0</v>
      </c>
      <c r="AC193" s="10" t="e">
        <f t="shared" si="78"/>
        <v>#VALUE!</v>
      </c>
      <c r="AD193" s="1" t="e">
        <f t="shared" si="86"/>
        <v>#VALUE!</v>
      </c>
      <c r="AF193" s="3" t="str">
        <f t="shared" si="79"/>
        <v>0</v>
      </c>
      <c r="AG193" s="5" t="str">
        <f t="shared" si="80"/>
        <v>#TEMP_MID</v>
      </c>
      <c r="AH193" s="3" t="str">
        <f t="shared" si="81"/>
        <v>1</v>
      </c>
      <c r="AI193" s="3" t="str">
        <f t="shared" si="82"/>
        <v>0</v>
      </c>
      <c r="AJ193" s="7">
        <f t="shared" si="87"/>
        <v>1</v>
      </c>
    </row>
    <row r="194" spans="1:36" x14ac:dyDescent="0.3">
      <c r="A194" s="15" t="s">
        <v>478</v>
      </c>
      <c r="B194" s="1">
        <f t="shared" si="88"/>
        <v>8</v>
      </c>
      <c r="C194" s="1">
        <f t="shared" si="89"/>
        <v>9</v>
      </c>
      <c r="D194" s="10" t="str">
        <f t="shared" si="90"/>
        <v>1</v>
      </c>
      <c r="E194" s="1">
        <f t="shared" si="91"/>
        <v>11</v>
      </c>
      <c r="F194" s="1">
        <f t="shared" si="92"/>
        <v>67</v>
      </c>
      <c r="G194" s="1">
        <f t="shared" si="93"/>
        <v>28</v>
      </c>
      <c r="H194" s="1">
        <f t="shared" si="100"/>
        <v>28</v>
      </c>
      <c r="I194" s="10" t="str">
        <f t="shared" si="94"/>
        <v>UpBY_GAINN_TEMP_M</v>
      </c>
      <c r="J194" s="1">
        <f t="shared" si="101"/>
        <v>0</v>
      </c>
      <c r="K194" s="1">
        <f t="shared" si="95"/>
        <v>0</v>
      </c>
      <c r="L194" s="1" t="str">
        <f t="shared" si="96"/>
        <v>0</v>
      </c>
      <c r="M194" s="10">
        <f t="shared" si="97"/>
        <v>0</v>
      </c>
      <c r="N194" s="1">
        <f t="shared" si="98"/>
        <v>31</v>
      </c>
      <c r="O194" s="1">
        <f t="shared" si="83"/>
        <v>0</v>
      </c>
      <c r="P194" s="1">
        <f t="shared" si="99"/>
        <v>83</v>
      </c>
      <c r="Q194" s="3" t="str">
        <f t="shared" si="70"/>
        <v xml:space="preserve"> B-Y Negative Gain Control (0 ~ 0xFF, Default:0x60) </v>
      </c>
      <c r="R194" s="11">
        <f t="shared" si="84"/>
        <v>394</v>
      </c>
      <c r="S194" s="11"/>
      <c r="T194" s="13" t="str">
        <f t="shared" si="85"/>
        <v>18A</v>
      </c>
      <c r="U194" s="14" t="str">
        <f t="shared" si="71"/>
        <v>UpBY_GAINN_TEMP_M</v>
      </c>
      <c r="V194" s="13" t="str">
        <f t="shared" si="72"/>
        <v>1</v>
      </c>
      <c r="W194" s="13">
        <f t="shared" si="73"/>
        <v>0</v>
      </c>
      <c r="X194" s="14" t="str">
        <f t="shared" si="103"/>
        <v xml:space="preserve"> B-Y Negative Gain Control (0 ~ 0xFF, Default:0x60) </v>
      </c>
      <c r="Y194" s="1">
        <f t="shared" si="75"/>
        <v>1</v>
      </c>
      <c r="Z194" s="1">
        <f t="shared" si="76"/>
        <v>1</v>
      </c>
      <c r="AA194" s="1">
        <f t="shared" si="102"/>
        <v>0</v>
      </c>
      <c r="AB194" s="1">
        <f t="shared" si="77"/>
        <v>0</v>
      </c>
      <c r="AC194" s="10" t="e">
        <f t="shared" si="78"/>
        <v>#VALUE!</v>
      </c>
      <c r="AD194" s="1" t="e">
        <f t="shared" si="86"/>
        <v>#VALUE!</v>
      </c>
      <c r="AF194" s="3" t="e">
        <f t="shared" si="79"/>
        <v>#VALUE!</v>
      </c>
      <c r="AG194" s="5" t="str">
        <f t="shared" si="80"/>
        <v>UpBY_GAINN_TEMP_M)/* B-Y Negative Gain Control (0 ~ 0xFF, Default:0x60) *</v>
      </c>
      <c r="AH194" s="3">
        <f t="shared" si="81"/>
        <v>1</v>
      </c>
      <c r="AI194" s="3">
        <f t="shared" si="82"/>
        <v>0</v>
      </c>
      <c r="AJ194" s="7">
        <f t="shared" si="87"/>
        <v>1</v>
      </c>
    </row>
    <row r="195" spans="1:36" x14ac:dyDescent="0.3">
      <c r="A195" s="15" t="s">
        <v>479</v>
      </c>
      <c r="B195" s="1">
        <f t="shared" si="88"/>
        <v>8</v>
      </c>
      <c r="C195" s="1">
        <f t="shared" si="89"/>
        <v>9</v>
      </c>
      <c r="D195" s="10" t="str">
        <f t="shared" si="90"/>
        <v>1</v>
      </c>
      <c r="E195" s="1">
        <f t="shared" si="91"/>
        <v>11</v>
      </c>
      <c r="F195" s="1">
        <f t="shared" si="92"/>
        <v>67</v>
      </c>
      <c r="G195" s="1">
        <f t="shared" si="93"/>
        <v>28</v>
      </c>
      <c r="H195" s="1">
        <f t="shared" si="100"/>
        <v>28</v>
      </c>
      <c r="I195" s="10" t="str">
        <f t="shared" si="94"/>
        <v>UpBY_GAINP_TEMP_M</v>
      </c>
      <c r="J195" s="1">
        <f t="shared" si="101"/>
        <v>0</v>
      </c>
      <c r="K195" s="1">
        <f t="shared" si="95"/>
        <v>0</v>
      </c>
      <c r="L195" s="1" t="str">
        <f t="shared" si="96"/>
        <v>0</v>
      </c>
      <c r="M195" s="10">
        <f t="shared" si="97"/>
        <v>0</v>
      </c>
      <c r="N195" s="1">
        <f t="shared" si="98"/>
        <v>31</v>
      </c>
      <c r="O195" s="1">
        <f t="shared" si="83"/>
        <v>0</v>
      </c>
      <c r="P195" s="1">
        <f t="shared" si="99"/>
        <v>83</v>
      </c>
      <c r="Q195" s="3" t="str">
        <f t="shared" si="70"/>
        <v xml:space="preserve"> B-Y Positive Gain Control (0 ~ 0xFF, Default:0x60) </v>
      </c>
      <c r="R195" s="11">
        <f t="shared" si="84"/>
        <v>395</v>
      </c>
      <c r="S195" s="11"/>
      <c r="T195" s="13" t="str">
        <f t="shared" si="85"/>
        <v>18B</v>
      </c>
      <c r="U195" s="14" t="str">
        <f t="shared" si="71"/>
        <v>UpBY_GAINP_TEMP_M</v>
      </c>
      <c r="V195" s="13" t="str">
        <f t="shared" si="72"/>
        <v>1</v>
      </c>
      <c r="W195" s="13">
        <f t="shared" si="73"/>
        <v>0</v>
      </c>
      <c r="X195" s="14" t="str">
        <f t="shared" si="103"/>
        <v xml:space="preserve"> B-Y Positive Gain Control (0 ~ 0xFF, Default:0x60) </v>
      </c>
      <c r="Y195" s="1">
        <f t="shared" si="75"/>
        <v>1</v>
      </c>
      <c r="Z195" s="1">
        <f t="shared" si="76"/>
        <v>1</v>
      </c>
      <c r="AA195" s="1">
        <f t="shared" si="102"/>
        <v>0</v>
      </c>
      <c r="AB195" s="1">
        <f t="shared" si="77"/>
        <v>0</v>
      </c>
      <c r="AC195" s="10" t="e">
        <f t="shared" si="78"/>
        <v>#VALUE!</v>
      </c>
      <c r="AD195" s="1" t="e">
        <f t="shared" si="86"/>
        <v>#VALUE!</v>
      </c>
      <c r="AF195" s="3" t="e">
        <f t="shared" si="79"/>
        <v>#VALUE!</v>
      </c>
      <c r="AG195" s="5" t="str">
        <f t="shared" si="80"/>
        <v>UpBY_GAINP_TEMP_M)/* B-Y Positive Gain Control (0 ~ 0xFF, Default:0x60) *</v>
      </c>
      <c r="AH195" s="3">
        <f t="shared" si="81"/>
        <v>1</v>
      </c>
      <c r="AI195" s="3">
        <f t="shared" si="82"/>
        <v>0</v>
      </c>
      <c r="AJ195" s="7">
        <f t="shared" si="87"/>
        <v>1</v>
      </c>
    </row>
    <row r="196" spans="1:36" x14ac:dyDescent="0.3">
      <c r="A196" s="15" t="s">
        <v>480</v>
      </c>
      <c r="B196" s="1">
        <f t="shared" si="88"/>
        <v>8</v>
      </c>
      <c r="C196" s="1">
        <f t="shared" si="89"/>
        <v>9</v>
      </c>
      <c r="D196" s="10" t="str">
        <f t="shared" si="90"/>
        <v>1</v>
      </c>
      <c r="E196" s="1">
        <f t="shared" si="91"/>
        <v>11</v>
      </c>
      <c r="F196" s="1">
        <f t="shared" si="92"/>
        <v>67</v>
      </c>
      <c r="G196" s="1">
        <f t="shared" si="93"/>
        <v>28</v>
      </c>
      <c r="H196" s="1">
        <f t="shared" si="100"/>
        <v>28</v>
      </c>
      <c r="I196" s="10" t="str">
        <f t="shared" si="94"/>
        <v>UpRY_GAINN_TEMP_M</v>
      </c>
      <c r="J196" s="1">
        <f t="shared" si="101"/>
        <v>0</v>
      </c>
      <c r="K196" s="1">
        <f t="shared" si="95"/>
        <v>0</v>
      </c>
      <c r="L196" s="1" t="str">
        <f t="shared" si="96"/>
        <v>0</v>
      </c>
      <c r="M196" s="10">
        <f t="shared" si="97"/>
        <v>0</v>
      </c>
      <c r="N196" s="1">
        <f t="shared" si="98"/>
        <v>31</v>
      </c>
      <c r="O196" s="1">
        <f t="shared" si="83"/>
        <v>0</v>
      </c>
      <c r="P196" s="1">
        <f t="shared" si="99"/>
        <v>83</v>
      </c>
      <c r="Q196" s="3" t="str">
        <f t="shared" ref="Q196:Q259" si="104">IF($N196&gt;0,MID($A196,($N196+$O196),$P196-($N196+$O196)),"")</f>
        <v xml:space="preserve"> R-Y Negative Gain Control (0 ~ 0xFF, Default:0x60) </v>
      </c>
      <c r="R196" s="11">
        <f t="shared" si="84"/>
        <v>396</v>
      </c>
      <c r="S196" s="11"/>
      <c r="T196" s="13" t="str">
        <f t="shared" si="85"/>
        <v>18C</v>
      </c>
      <c r="U196" s="14" t="str">
        <f t="shared" ref="U196:U213" si="105">IF(A196="",IF(A195="","",$U$1),  IF(B196=0,Q196,I196)  )</f>
        <v>UpRY_GAINN_TEMP_M</v>
      </c>
      <c r="V196" s="13" t="str">
        <f t="shared" ref="V196:V213" si="106">IF(U196=$U$1,"",IF(A196="",IF(A195="","",1),  IF(B196=0,1,D196)  ))</f>
        <v>1</v>
      </c>
      <c r="W196" s="13">
        <f t="shared" ref="W196:W213" si="107">IF(U196=$U$1,"",IF(A196="",IF(A195="","",0),  IF(C196=0,0,0)  ))</f>
        <v>0</v>
      </c>
      <c r="X196" s="14" t="str">
        <f t="shared" si="103"/>
        <v xml:space="preserve"> R-Y Negative Gain Control (0 ~ 0xFF, Default:0x60) </v>
      </c>
      <c r="Y196" s="1">
        <f t="shared" ref="Y196:Y259" si="108">IFERROR(SEARCH("UP_SET",A196),0)</f>
        <v>1</v>
      </c>
      <c r="Z196" s="1">
        <f t="shared" ref="Z196:Z259" si="109">IF(Y196=0,Z195,INT(MID(A196,8,1)))</f>
        <v>1</v>
      </c>
      <c r="AA196" s="1">
        <f t="shared" si="102"/>
        <v>0</v>
      </c>
      <c r="AB196" s="1">
        <f t="shared" ref="AB196:AB259" si="110">IF(AA196=0,0,MID(A196,AA196,LEN(A196)-AA196-1))</f>
        <v>0</v>
      </c>
      <c r="AC196" s="10" t="e">
        <f t="shared" ref="AC196:AC259" si="111">IF(AB196=0,IF(Y196=0,AC195,Z195+AC195),AB196)</f>
        <v>#VALUE!</v>
      </c>
      <c r="AD196" s="1" t="e">
        <f t="shared" si="86"/>
        <v>#VALUE!</v>
      </c>
      <c r="AF196" s="3" t="e">
        <f t="shared" ref="AF196:AF259" si="112">IF(A196="",IF(A195="","",$T$1),IF(Y196=0,"0",AD196))</f>
        <v>#VALUE!</v>
      </c>
      <c r="AG196" s="5" t="str">
        <f t="shared" ref="AG196:AG259" si="113">IF(A196="",IF(A195="","",$U$1),IFERROR(IF(Y196=0,MID(A196,3,LEN(A196)-5),MID(A196,11,IF(AA196=0,LEN(A196)-1-11,AA196-11-2))),"-"))</f>
        <v>UpRY_GAINN_TEMP_M)/* R-Y Negative Gain Control (0 ~ 0xFF, Default:0x60) *</v>
      </c>
      <c r="AH196" s="3">
        <f t="shared" ref="AH196:AH259" si="114">IF(Y196=0,"1",Z196)</f>
        <v>1</v>
      </c>
      <c r="AI196" s="3">
        <f t="shared" ref="AI196:AI259" si="115">IF(Y196=0,"0",0)</f>
        <v>0</v>
      </c>
      <c r="AJ196" s="7">
        <f t="shared" si="87"/>
        <v>1</v>
      </c>
    </row>
    <row r="197" spans="1:36" x14ac:dyDescent="0.3">
      <c r="A197" s="15" t="s">
        <v>481</v>
      </c>
      <c r="B197" s="1">
        <f t="shared" si="88"/>
        <v>8</v>
      </c>
      <c r="C197" s="1">
        <f t="shared" si="89"/>
        <v>9</v>
      </c>
      <c r="D197" s="10" t="str">
        <f t="shared" si="90"/>
        <v>1</v>
      </c>
      <c r="E197" s="1">
        <f t="shared" si="91"/>
        <v>11</v>
      </c>
      <c r="F197" s="1">
        <f t="shared" si="92"/>
        <v>67</v>
      </c>
      <c r="G197" s="1">
        <f t="shared" si="93"/>
        <v>28</v>
      </c>
      <c r="H197" s="1">
        <f t="shared" si="100"/>
        <v>28</v>
      </c>
      <c r="I197" s="10" t="str">
        <f t="shared" si="94"/>
        <v>UpRY_GAINP_TEMP_M</v>
      </c>
      <c r="J197" s="1">
        <f t="shared" si="101"/>
        <v>0</v>
      </c>
      <c r="K197" s="1">
        <f t="shared" si="95"/>
        <v>0</v>
      </c>
      <c r="L197" s="1" t="str">
        <f t="shared" si="96"/>
        <v>0</v>
      </c>
      <c r="M197" s="10">
        <f t="shared" si="97"/>
        <v>0</v>
      </c>
      <c r="N197" s="1">
        <f t="shared" si="98"/>
        <v>31</v>
      </c>
      <c r="O197" s="1">
        <f t="shared" ref="O197:O260" si="116">IFERROR(FIND("#",$A197)+1-N197,0)</f>
        <v>0</v>
      </c>
      <c r="P197" s="1">
        <f t="shared" si="99"/>
        <v>83</v>
      </c>
      <c r="Q197" s="3" t="str">
        <f t="shared" si="104"/>
        <v xml:space="preserve"> R-Y Positive Gain Control (0 ~ 0xFF, Default:0x60) </v>
      </c>
      <c r="R197" s="11">
        <f t="shared" ref="R197:R260" si="117">IF(M197&gt;0,M197,D196+R196)</f>
        <v>397</v>
      </c>
      <c r="S197" s="11"/>
      <c r="T197" s="13" t="str">
        <f t="shared" ref="T197:T260" si="118">IF(A197="",IF(A196="","",$T$1),IF(O197=1,"#",IF(B197=0,"*",DEC2HEX(R197))))</f>
        <v>18D</v>
      </c>
      <c r="U197" s="14" t="str">
        <f t="shared" si="105"/>
        <v>UpRY_GAINP_TEMP_M</v>
      </c>
      <c r="V197" s="13" t="str">
        <f t="shared" si="106"/>
        <v>1</v>
      </c>
      <c r="W197" s="13">
        <f t="shared" si="107"/>
        <v>0</v>
      </c>
      <c r="X197" s="14" t="str">
        <f t="shared" si="103"/>
        <v xml:space="preserve"> R-Y Positive Gain Control (0 ~ 0xFF, Default:0x60) </v>
      </c>
      <c r="Y197" s="1">
        <f t="shared" si="108"/>
        <v>1</v>
      </c>
      <c r="Z197" s="1">
        <f t="shared" si="109"/>
        <v>1</v>
      </c>
      <c r="AA197" s="1">
        <f t="shared" si="102"/>
        <v>0</v>
      </c>
      <c r="AB197" s="1">
        <f t="shared" si="110"/>
        <v>0</v>
      </c>
      <c r="AC197" s="10" t="e">
        <f t="shared" si="111"/>
        <v>#VALUE!</v>
      </c>
      <c r="AD197" s="1" t="e">
        <f t="shared" ref="AD197:AD260" si="119">DEC2HEX(AC197)</f>
        <v>#VALUE!</v>
      </c>
      <c r="AF197" s="3" t="e">
        <f t="shared" si="112"/>
        <v>#VALUE!</v>
      </c>
      <c r="AG197" s="5" t="str">
        <f t="shared" si="113"/>
        <v>UpRY_GAINP_TEMP_M)/* R-Y Positive Gain Control (0 ~ 0xFF, Default:0x60) *</v>
      </c>
      <c r="AH197" s="3">
        <f t="shared" si="114"/>
        <v>1</v>
      </c>
      <c r="AI197" s="3">
        <f t="shared" si="115"/>
        <v>0</v>
      </c>
      <c r="AJ197" s="7">
        <f t="shared" ref="AJ197:AJ260" si="120">IF(LEN(U197)=0,0,IF(U197="END_ID",0,1))</f>
        <v>1</v>
      </c>
    </row>
    <row r="198" spans="1:36" x14ac:dyDescent="0.3">
      <c r="A198" s="15" t="s">
        <v>482</v>
      </c>
      <c r="B198" s="1">
        <f t="shared" si="88"/>
        <v>8</v>
      </c>
      <c r="C198" s="1">
        <f t="shared" si="89"/>
        <v>9</v>
      </c>
      <c r="D198" s="10" t="str">
        <f t="shared" si="90"/>
        <v>1</v>
      </c>
      <c r="E198" s="1">
        <f t="shared" si="91"/>
        <v>11</v>
      </c>
      <c r="F198" s="1">
        <f t="shared" si="92"/>
        <v>65</v>
      </c>
      <c r="G198" s="1">
        <f t="shared" si="93"/>
        <v>27</v>
      </c>
      <c r="H198" s="1">
        <f t="shared" si="100"/>
        <v>27</v>
      </c>
      <c r="I198" s="10" t="str">
        <f t="shared" si="94"/>
        <v>UpBY_HUEN_TEMP_M</v>
      </c>
      <c r="J198" s="1">
        <f t="shared" si="101"/>
        <v>0</v>
      </c>
      <c r="K198" s="1">
        <f t="shared" si="95"/>
        <v>0</v>
      </c>
      <c r="L198" s="1" t="str">
        <f t="shared" si="96"/>
        <v>0</v>
      </c>
      <c r="M198" s="10">
        <f t="shared" si="97"/>
        <v>0</v>
      </c>
      <c r="N198" s="1">
        <f t="shared" si="98"/>
        <v>30</v>
      </c>
      <c r="O198" s="1">
        <f t="shared" si="116"/>
        <v>0</v>
      </c>
      <c r="P198" s="1">
        <f t="shared" si="99"/>
        <v>86</v>
      </c>
      <c r="Q198" s="3" t="str">
        <f t="shared" si="104"/>
        <v xml:space="preserve"> B-Y Negative Hue Control (0x1:-90°, 0x80:0°, 0xFF:90°) </v>
      </c>
      <c r="R198" s="11">
        <f t="shared" si="117"/>
        <v>398</v>
      </c>
      <c r="S198" s="11"/>
      <c r="T198" s="13" t="str">
        <f t="shared" si="118"/>
        <v>18E</v>
      </c>
      <c r="U198" s="14" t="str">
        <f t="shared" si="105"/>
        <v>UpBY_HUEN_TEMP_M</v>
      </c>
      <c r="V198" s="13" t="str">
        <f t="shared" si="106"/>
        <v>1</v>
      </c>
      <c r="W198" s="13">
        <f t="shared" si="107"/>
        <v>0</v>
      </c>
      <c r="X198" s="14" t="str">
        <f t="shared" si="103"/>
        <v xml:space="preserve"> B-Y Negative Hue Control (0x1:-90°, 0x80:0°, 0xFF:90°) </v>
      </c>
      <c r="Y198" s="1">
        <f t="shared" si="108"/>
        <v>1</v>
      </c>
      <c r="Z198" s="1">
        <f t="shared" si="109"/>
        <v>1</v>
      </c>
      <c r="AA198" s="1">
        <f t="shared" si="102"/>
        <v>0</v>
      </c>
      <c r="AB198" s="1">
        <f t="shared" si="110"/>
        <v>0</v>
      </c>
      <c r="AC198" s="10" t="e">
        <f t="shared" si="111"/>
        <v>#VALUE!</v>
      </c>
      <c r="AD198" s="1" t="e">
        <f t="shared" si="119"/>
        <v>#VALUE!</v>
      </c>
      <c r="AF198" s="3" t="e">
        <f t="shared" si="112"/>
        <v>#VALUE!</v>
      </c>
      <c r="AG198" s="5" t="str">
        <f t="shared" si="113"/>
        <v>UpBY_HUEN_TEMP_M)/* B-Y Negative Hue Control (0x1:-90°, 0x80:0°, 0xFF:90°) *</v>
      </c>
      <c r="AH198" s="3">
        <f t="shared" si="114"/>
        <v>1</v>
      </c>
      <c r="AI198" s="3">
        <f t="shared" si="115"/>
        <v>0</v>
      </c>
      <c r="AJ198" s="7">
        <f t="shared" si="120"/>
        <v>1</v>
      </c>
    </row>
    <row r="199" spans="1:36" x14ac:dyDescent="0.3">
      <c r="A199" s="15" t="s">
        <v>483</v>
      </c>
      <c r="B199" s="1">
        <f t="shared" ref="B199:B262" si="121">IFERROR(FIND("UP_SET(",$A199)+7,0)</f>
        <v>8</v>
      </c>
      <c r="C199" s="1">
        <f t="shared" ref="C199:C262" si="122">IF($B199&gt;0,FIND(",",$A199,$B199),0)</f>
        <v>9</v>
      </c>
      <c r="D199" s="10" t="str">
        <f t="shared" ref="D199:D262" si="123">IF($B199&gt;0,MID($A199,$B199,$C199-$B199),0)</f>
        <v>1</v>
      </c>
      <c r="E199" s="1">
        <f t="shared" ref="E199:E262" si="124">IF($B199&gt;0,FIND("Up",$A199,$C199),0)</f>
        <v>11</v>
      </c>
      <c r="F199" s="1">
        <f t="shared" ref="F199:F262" si="125">IF($B199&gt;0,IFERROR(FIND(",",$A199,$E199),0),0)</f>
        <v>65</v>
      </c>
      <c r="G199" s="1">
        <f t="shared" ref="G199:G262" si="126">IF($B199&gt;0,FIND(")",$A199,$B199),0)</f>
        <v>27</v>
      </c>
      <c r="H199" s="1">
        <f t="shared" si="100"/>
        <v>27</v>
      </c>
      <c r="I199" s="10" t="str">
        <f t="shared" ref="I199:I262" si="127">IF($B199&gt;0,MID($A199,$E199,$H199-$E199),0)</f>
        <v>UpBY_HUEP_TEMP_M</v>
      </c>
      <c r="J199" s="1">
        <f t="shared" si="101"/>
        <v>0</v>
      </c>
      <c r="K199" s="1">
        <f t="shared" ref="K199:K262" si="128">IF(J199&gt;0,MID(A199,J199,G199-J199),0)</f>
        <v>0</v>
      </c>
      <c r="L199" s="1" t="str">
        <f t="shared" ref="L199:L262" si="129">IFERROR(RIGHT(K199,LEN(K199)-FIND("0x",K199)-1),DEC2HEX(K199))</f>
        <v>0</v>
      </c>
      <c r="M199" s="10">
        <f t="shared" ref="M199:M262" si="130">HEX2DEC(L199)</f>
        <v>0</v>
      </c>
      <c r="N199" s="1">
        <f t="shared" ref="N199:N262" si="131">IFERROR(FIND("/*",$A199)+2,0)</f>
        <v>30</v>
      </c>
      <c r="O199" s="1">
        <f t="shared" si="116"/>
        <v>0</v>
      </c>
      <c r="P199" s="1">
        <f t="shared" ref="P199:P262" si="132">IFERROR(FIND("*/",$A199,N199+1),0)</f>
        <v>86</v>
      </c>
      <c r="Q199" s="3" t="str">
        <f t="shared" si="104"/>
        <v xml:space="preserve"> B-Y Positive Hue Control (0x1:-90°, 0x80:0°, 0xFF:90°) </v>
      </c>
      <c r="R199" s="11">
        <f t="shared" si="117"/>
        <v>399</v>
      </c>
      <c r="S199" s="11"/>
      <c r="T199" s="13" t="str">
        <f t="shared" si="118"/>
        <v>18F</v>
      </c>
      <c r="U199" s="14" t="str">
        <f t="shared" si="105"/>
        <v>UpBY_HUEP_TEMP_M</v>
      </c>
      <c r="V199" s="13" t="str">
        <f t="shared" si="106"/>
        <v>1</v>
      </c>
      <c r="W199" s="13">
        <f t="shared" si="107"/>
        <v>0</v>
      </c>
      <c r="X199" s="14" t="str">
        <f t="shared" si="103"/>
        <v xml:space="preserve"> B-Y Positive Hue Control (0x1:-90°, 0x80:0°, 0xFF:90°) </v>
      </c>
      <c r="Y199" s="1">
        <f t="shared" si="108"/>
        <v>1</v>
      </c>
      <c r="Z199" s="1">
        <f t="shared" si="109"/>
        <v>1</v>
      </c>
      <c r="AA199" s="1">
        <f t="shared" si="102"/>
        <v>0</v>
      </c>
      <c r="AB199" s="1">
        <f t="shared" si="110"/>
        <v>0</v>
      </c>
      <c r="AC199" s="10" t="e">
        <f t="shared" si="111"/>
        <v>#VALUE!</v>
      </c>
      <c r="AD199" s="1" t="e">
        <f t="shared" si="119"/>
        <v>#VALUE!</v>
      </c>
      <c r="AF199" s="3" t="e">
        <f t="shared" si="112"/>
        <v>#VALUE!</v>
      </c>
      <c r="AG199" s="5" t="str">
        <f t="shared" si="113"/>
        <v>UpBY_HUEP_TEMP_M)/* B-Y Positive Hue Control (0x1:-90°, 0x80:0°, 0xFF:90°) *</v>
      </c>
      <c r="AH199" s="3">
        <f t="shared" si="114"/>
        <v>1</v>
      </c>
      <c r="AI199" s="3">
        <f t="shared" si="115"/>
        <v>0</v>
      </c>
      <c r="AJ199" s="7">
        <f t="shared" si="120"/>
        <v>1</v>
      </c>
    </row>
    <row r="200" spans="1:36" x14ac:dyDescent="0.3">
      <c r="A200" s="15" t="s">
        <v>484</v>
      </c>
      <c r="B200" s="1">
        <f t="shared" si="121"/>
        <v>8</v>
      </c>
      <c r="C200" s="1">
        <f t="shared" si="122"/>
        <v>9</v>
      </c>
      <c r="D200" s="10" t="str">
        <f t="shared" si="123"/>
        <v>1</v>
      </c>
      <c r="E200" s="1">
        <f t="shared" si="124"/>
        <v>11</v>
      </c>
      <c r="F200" s="1">
        <f t="shared" si="125"/>
        <v>65</v>
      </c>
      <c r="G200" s="1">
        <f t="shared" si="126"/>
        <v>27</v>
      </c>
      <c r="H200" s="1">
        <f t="shared" ref="H200:H263" si="133">IF(AND(F200&gt;0,F200&lt;G200),F200,G200)</f>
        <v>27</v>
      </c>
      <c r="I200" s="10" t="str">
        <f t="shared" si="127"/>
        <v>UpRY_HUEN_TEMP_M</v>
      </c>
      <c r="J200" s="1">
        <f t="shared" ref="J200:J263" si="134">IF(AND(F200&gt;0,F200&lt;G200),FIND("=",A200,F200)+1,0)</f>
        <v>0</v>
      </c>
      <c r="K200" s="1">
        <f t="shared" si="128"/>
        <v>0</v>
      </c>
      <c r="L200" s="1" t="str">
        <f t="shared" si="129"/>
        <v>0</v>
      </c>
      <c r="M200" s="10">
        <f t="shared" si="130"/>
        <v>0</v>
      </c>
      <c r="N200" s="1">
        <f t="shared" si="131"/>
        <v>30</v>
      </c>
      <c r="O200" s="1">
        <f t="shared" si="116"/>
        <v>0</v>
      </c>
      <c r="P200" s="1">
        <f t="shared" si="132"/>
        <v>86</v>
      </c>
      <c r="Q200" s="3" t="str">
        <f t="shared" si="104"/>
        <v xml:space="preserve"> R-Y Negative Hue Control (0x1:-90°, 0x80:0°, 0xFF:90°) </v>
      </c>
      <c r="R200" s="11">
        <f t="shared" si="117"/>
        <v>400</v>
      </c>
      <c r="S200" s="11"/>
      <c r="T200" s="13" t="str">
        <f t="shared" si="118"/>
        <v>190</v>
      </c>
      <c r="U200" s="14" t="str">
        <f t="shared" si="105"/>
        <v>UpRY_HUEN_TEMP_M</v>
      </c>
      <c r="V200" s="13" t="str">
        <f t="shared" si="106"/>
        <v>1</v>
      </c>
      <c r="W200" s="13">
        <f t="shared" si="107"/>
        <v>0</v>
      </c>
      <c r="X200" s="14" t="str">
        <f t="shared" si="103"/>
        <v xml:space="preserve"> R-Y Negative Hue Control (0x1:-90°, 0x80:0°, 0xFF:90°) </v>
      </c>
      <c r="Y200" s="1">
        <f t="shared" si="108"/>
        <v>1</v>
      </c>
      <c r="Z200" s="1">
        <f t="shared" si="109"/>
        <v>1</v>
      </c>
      <c r="AA200" s="1">
        <f t="shared" si="102"/>
        <v>0</v>
      </c>
      <c r="AB200" s="1">
        <f t="shared" si="110"/>
        <v>0</v>
      </c>
      <c r="AC200" s="10" t="e">
        <f t="shared" si="111"/>
        <v>#VALUE!</v>
      </c>
      <c r="AD200" s="1" t="e">
        <f t="shared" si="119"/>
        <v>#VALUE!</v>
      </c>
      <c r="AF200" s="3" t="e">
        <f t="shared" si="112"/>
        <v>#VALUE!</v>
      </c>
      <c r="AG200" s="5" t="str">
        <f t="shared" si="113"/>
        <v>UpRY_HUEN_TEMP_M)/* R-Y Negative Hue Control (0x1:-90°, 0x80:0°, 0xFF:90°) *</v>
      </c>
      <c r="AH200" s="3">
        <f t="shared" si="114"/>
        <v>1</v>
      </c>
      <c r="AI200" s="3">
        <f t="shared" si="115"/>
        <v>0</v>
      </c>
      <c r="AJ200" s="7">
        <f t="shared" si="120"/>
        <v>1</v>
      </c>
    </row>
    <row r="201" spans="1:36" x14ac:dyDescent="0.3">
      <c r="A201" s="15" t="s">
        <v>485</v>
      </c>
      <c r="B201" s="1">
        <f t="shared" si="121"/>
        <v>8</v>
      </c>
      <c r="C201" s="1">
        <f t="shared" si="122"/>
        <v>9</v>
      </c>
      <c r="D201" s="10" t="str">
        <f t="shared" si="123"/>
        <v>1</v>
      </c>
      <c r="E201" s="1">
        <f t="shared" si="124"/>
        <v>11</v>
      </c>
      <c r="F201" s="1">
        <f t="shared" si="125"/>
        <v>65</v>
      </c>
      <c r="G201" s="1">
        <f t="shared" si="126"/>
        <v>27</v>
      </c>
      <c r="H201" s="1">
        <f t="shared" si="133"/>
        <v>27</v>
      </c>
      <c r="I201" s="10" t="str">
        <f t="shared" si="127"/>
        <v>UpRY_HUEP_TEMP_M</v>
      </c>
      <c r="J201" s="1">
        <f t="shared" si="134"/>
        <v>0</v>
      </c>
      <c r="K201" s="1">
        <f t="shared" si="128"/>
        <v>0</v>
      </c>
      <c r="L201" s="1" t="str">
        <f t="shared" si="129"/>
        <v>0</v>
      </c>
      <c r="M201" s="10">
        <f t="shared" si="130"/>
        <v>0</v>
      </c>
      <c r="N201" s="1">
        <f t="shared" si="131"/>
        <v>30</v>
      </c>
      <c r="O201" s="1">
        <f t="shared" si="116"/>
        <v>0</v>
      </c>
      <c r="P201" s="1">
        <f t="shared" si="132"/>
        <v>86</v>
      </c>
      <c r="Q201" s="3" t="str">
        <f t="shared" si="104"/>
        <v xml:space="preserve"> R-Y Positive Hue Control (0x1:-90°, 0x80:0°, 0xFF:90°) </v>
      </c>
      <c r="R201" s="11">
        <f t="shared" si="117"/>
        <v>401</v>
      </c>
      <c r="S201" s="11"/>
      <c r="T201" s="13" t="str">
        <f t="shared" si="118"/>
        <v>191</v>
      </c>
      <c r="U201" s="14" t="str">
        <f t="shared" si="105"/>
        <v>UpRY_HUEP_TEMP_M</v>
      </c>
      <c r="V201" s="13" t="str">
        <f t="shared" si="106"/>
        <v>1</v>
      </c>
      <c r="W201" s="13">
        <f t="shared" si="107"/>
        <v>0</v>
      </c>
      <c r="X201" s="14" t="str">
        <f t="shared" si="103"/>
        <v xml:space="preserve"> R-Y Positive Hue Control (0x1:-90°, 0x80:0°, 0xFF:90°) </v>
      </c>
      <c r="Y201" s="1">
        <f t="shared" si="108"/>
        <v>1</v>
      </c>
      <c r="Z201" s="1">
        <f t="shared" si="109"/>
        <v>1</v>
      </c>
      <c r="AA201" s="1">
        <f t="shared" si="102"/>
        <v>0</v>
      </c>
      <c r="AB201" s="1">
        <f t="shared" si="110"/>
        <v>0</v>
      </c>
      <c r="AC201" s="10" t="e">
        <f t="shared" si="111"/>
        <v>#VALUE!</v>
      </c>
      <c r="AD201" s="1" t="e">
        <f t="shared" si="119"/>
        <v>#VALUE!</v>
      </c>
      <c r="AF201" s="3" t="e">
        <f t="shared" si="112"/>
        <v>#VALUE!</v>
      </c>
      <c r="AG201" s="5" t="str">
        <f t="shared" si="113"/>
        <v>UpRY_HUEP_TEMP_M)/* R-Y Positive Hue Control (0x1:-90°, 0x80:0°, 0xFF:90°) *</v>
      </c>
      <c r="AH201" s="3">
        <f t="shared" si="114"/>
        <v>1</v>
      </c>
      <c r="AI201" s="3">
        <f t="shared" si="115"/>
        <v>0</v>
      </c>
      <c r="AJ201" s="7">
        <f t="shared" si="120"/>
        <v>1</v>
      </c>
    </row>
    <row r="202" spans="1:36" x14ac:dyDescent="0.3">
      <c r="A202" s="15" t="s">
        <v>486</v>
      </c>
      <c r="B202" s="1">
        <f t="shared" si="121"/>
        <v>0</v>
      </c>
      <c r="C202" s="1">
        <f t="shared" si="122"/>
        <v>0</v>
      </c>
      <c r="D202" s="10">
        <f t="shared" si="123"/>
        <v>0</v>
      </c>
      <c r="E202" s="1">
        <f t="shared" si="124"/>
        <v>0</v>
      </c>
      <c r="F202" s="1">
        <f t="shared" si="125"/>
        <v>0</v>
      </c>
      <c r="G202" s="1">
        <f t="shared" si="126"/>
        <v>0</v>
      </c>
      <c r="H202" s="1">
        <f t="shared" si="133"/>
        <v>0</v>
      </c>
      <c r="I202" s="10">
        <f t="shared" si="127"/>
        <v>0</v>
      </c>
      <c r="J202" s="1">
        <f t="shared" si="134"/>
        <v>0</v>
      </c>
      <c r="K202" s="1">
        <f t="shared" si="128"/>
        <v>0</v>
      </c>
      <c r="L202" s="1" t="str">
        <f t="shared" si="129"/>
        <v>0</v>
      </c>
      <c r="M202" s="10">
        <f t="shared" si="130"/>
        <v>0</v>
      </c>
      <c r="N202" s="1">
        <f t="shared" si="131"/>
        <v>3</v>
      </c>
      <c r="O202" s="1">
        <f t="shared" si="116"/>
        <v>1</v>
      </c>
      <c r="P202" s="1">
        <f t="shared" si="132"/>
        <v>11</v>
      </c>
      <c r="Q202" s="3" t="str">
        <f t="shared" si="104"/>
        <v>TEMP_HI</v>
      </c>
      <c r="R202" s="11">
        <f t="shared" si="117"/>
        <v>402</v>
      </c>
      <c r="S202" s="11"/>
      <c r="T202" s="13" t="str">
        <f t="shared" si="118"/>
        <v>#</v>
      </c>
      <c r="U202" s="14" t="str">
        <f t="shared" si="105"/>
        <v>TEMP_HI</v>
      </c>
      <c r="V202" s="13">
        <f t="shared" si="106"/>
        <v>1</v>
      </c>
      <c r="W202" s="13">
        <f t="shared" si="107"/>
        <v>0</v>
      </c>
      <c r="X202" s="14" t="str">
        <f t="shared" si="103"/>
        <v>-</v>
      </c>
      <c r="Y202" s="1">
        <f t="shared" si="108"/>
        <v>0</v>
      </c>
      <c r="Z202" s="1">
        <f t="shared" si="109"/>
        <v>1</v>
      </c>
      <c r="AA202" s="1">
        <f t="shared" si="102"/>
        <v>0</v>
      </c>
      <c r="AB202" s="1">
        <f t="shared" si="110"/>
        <v>0</v>
      </c>
      <c r="AC202" s="10" t="e">
        <f t="shared" si="111"/>
        <v>#VALUE!</v>
      </c>
      <c r="AD202" s="1" t="e">
        <f t="shared" si="119"/>
        <v>#VALUE!</v>
      </c>
      <c r="AF202" s="3" t="str">
        <f t="shared" si="112"/>
        <v>0</v>
      </c>
      <c r="AG202" s="5" t="str">
        <f t="shared" si="113"/>
        <v>#TEMP_HI</v>
      </c>
      <c r="AH202" s="3" t="str">
        <f t="shared" si="114"/>
        <v>1</v>
      </c>
      <c r="AI202" s="3" t="str">
        <f t="shared" si="115"/>
        <v>0</v>
      </c>
      <c r="AJ202" s="7">
        <f t="shared" si="120"/>
        <v>1</v>
      </c>
    </row>
    <row r="203" spans="1:36" x14ac:dyDescent="0.3">
      <c r="A203" s="15" t="s">
        <v>487</v>
      </c>
      <c r="B203" s="1">
        <f t="shared" si="121"/>
        <v>8</v>
      </c>
      <c r="C203" s="1">
        <f t="shared" si="122"/>
        <v>9</v>
      </c>
      <c r="D203" s="10" t="str">
        <f t="shared" si="123"/>
        <v>1</v>
      </c>
      <c r="E203" s="1">
        <f t="shared" si="124"/>
        <v>11</v>
      </c>
      <c r="F203" s="1">
        <f t="shared" si="125"/>
        <v>67</v>
      </c>
      <c r="G203" s="1">
        <f t="shared" si="126"/>
        <v>28</v>
      </c>
      <c r="H203" s="1">
        <f t="shared" si="133"/>
        <v>28</v>
      </c>
      <c r="I203" s="10" t="str">
        <f t="shared" si="127"/>
        <v>UpBY_GAINN_TEMP_H</v>
      </c>
      <c r="J203" s="1">
        <f t="shared" si="134"/>
        <v>0</v>
      </c>
      <c r="K203" s="1">
        <f t="shared" si="128"/>
        <v>0</v>
      </c>
      <c r="L203" s="1" t="str">
        <f t="shared" si="129"/>
        <v>0</v>
      </c>
      <c r="M203" s="10">
        <f t="shared" si="130"/>
        <v>0</v>
      </c>
      <c r="N203" s="1">
        <f t="shared" si="131"/>
        <v>31</v>
      </c>
      <c r="O203" s="1">
        <f t="shared" si="116"/>
        <v>0</v>
      </c>
      <c r="P203" s="1">
        <f t="shared" si="132"/>
        <v>83</v>
      </c>
      <c r="Q203" s="3" t="str">
        <f t="shared" si="104"/>
        <v xml:space="preserve"> B-Y Negative Gain Control (0 ~ 0xFF, Default:0x60) </v>
      </c>
      <c r="R203" s="11">
        <f t="shared" si="117"/>
        <v>402</v>
      </c>
      <c r="S203" s="11"/>
      <c r="T203" s="13" t="str">
        <f t="shared" si="118"/>
        <v>192</v>
      </c>
      <c r="U203" s="14" t="str">
        <f t="shared" si="105"/>
        <v>UpBY_GAINN_TEMP_H</v>
      </c>
      <c r="V203" s="13" t="str">
        <f t="shared" si="106"/>
        <v>1</v>
      </c>
      <c r="W203" s="13">
        <f t="shared" si="107"/>
        <v>0</v>
      </c>
      <c r="X203" s="14" t="str">
        <f t="shared" si="103"/>
        <v xml:space="preserve"> B-Y Negative Gain Control (0 ~ 0xFF, Default:0x60) </v>
      </c>
      <c r="Y203" s="1">
        <f t="shared" si="108"/>
        <v>1</v>
      </c>
      <c r="Z203" s="1">
        <f t="shared" si="109"/>
        <v>1</v>
      </c>
      <c r="AA203" s="1">
        <f t="shared" si="102"/>
        <v>0</v>
      </c>
      <c r="AB203" s="1">
        <f t="shared" si="110"/>
        <v>0</v>
      </c>
      <c r="AC203" s="10" t="e">
        <f t="shared" si="111"/>
        <v>#VALUE!</v>
      </c>
      <c r="AD203" s="1" t="e">
        <f t="shared" si="119"/>
        <v>#VALUE!</v>
      </c>
      <c r="AF203" s="3" t="e">
        <f t="shared" si="112"/>
        <v>#VALUE!</v>
      </c>
      <c r="AG203" s="5" t="str">
        <f t="shared" si="113"/>
        <v>UpBY_GAINN_TEMP_H)/* B-Y Negative Gain Control (0 ~ 0xFF, Default:0x60) *</v>
      </c>
      <c r="AH203" s="3">
        <f t="shared" si="114"/>
        <v>1</v>
      </c>
      <c r="AI203" s="3">
        <f t="shared" si="115"/>
        <v>0</v>
      </c>
      <c r="AJ203" s="7">
        <f t="shared" si="120"/>
        <v>1</v>
      </c>
    </row>
    <row r="204" spans="1:36" x14ac:dyDescent="0.3">
      <c r="A204" s="15" t="s">
        <v>488</v>
      </c>
      <c r="B204" s="1">
        <f t="shared" si="121"/>
        <v>8</v>
      </c>
      <c r="C204" s="1">
        <f t="shared" si="122"/>
        <v>9</v>
      </c>
      <c r="D204" s="10" t="str">
        <f t="shared" si="123"/>
        <v>1</v>
      </c>
      <c r="E204" s="1">
        <f t="shared" si="124"/>
        <v>11</v>
      </c>
      <c r="F204" s="1">
        <f t="shared" si="125"/>
        <v>67</v>
      </c>
      <c r="G204" s="1">
        <f t="shared" si="126"/>
        <v>28</v>
      </c>
      <c r="H204" s="1">
        <f t="shared" si="133"/>
        <v>28</v>
      </c>
      <c r="I204" s="10" t="str">
        <f t="shared" si="127"/>
        <v>UpBY_GAINP_TEMP_H</v>
      </c>
      <c r="J204" s="1">
        <f t="shared" si="134"/>
        <v>0</v>
      </c>
      <c r="K204" s="1">
        <f t="shared" si="128"/>
        <v>0</v>
      </c>
      <c r="L204" s="1" t="str">
        <f t="shared" si="129"/>
        <v>0</v>
      </c>
      <c r="M204" s="10">
        <f t="shared" si="130"/>
        <v>0</v>
      </c>
      <c r="N204" s="1">
        <f t="shared" si="131"/>
        <v>31</v>
      </c>
      <c r="O204" s="1">
        <f t="shared" si="116"/>
        <v>0</v>
      </c>
      <c r="P204" s="1">
        <f t="shared" si="132"/>
        <v>83</v>
      </c>
      <c r="Q204" s="3" t="str">
        <f t="shared" si="104"/>
        <v xml:space="preserve"> B-Y Positive Gain Control (0 ~ 0xFF, Default:0x60) </v>
      </c>
      <c r="R204" s="11">
        <f t="shared" si="117"/>
        <v>403</v>
      </c>
      <c r="S204" s="11"/>
      <c r="T204" s="13" t="str">
        <f t="shared" si="118"/>
        <v>193</v>
      </c>
      <c r="U204" s="14" t="str">
        <f t="shared" si="105"/>
        <v>UpBY_GAINP_TEMP_H</v>
      </c>
      <c r="V204" s="13" t="str">
        <f t="shared" si="106"/>
        <v>1</v>
      </c>
      <c r="W204" s="13">
        <f t="shared" si="107"/>
        <v>0</v>
      </c>
      <c r="X204" s="14" t="str">
        <f t="shared" si="103"/>
        <v xml:space="preserve"> B-Y Positive Gain Control (0 ~ 0xFF, Default:0x60) </v>
      </c>
      <c r="Y204" s="1">
        <f t="shared" si="108"/>
        <v>1</v>
      </c>
      <c r="Z204" s="1">
        <f t="shared" si="109"/>
        <v>1</v>
      </c>
      <c r="AA204" s="1">
        <f t="shared" si="102"/>
        <v>0</v>
      </c>
      <c r="AB204" s="1">
        <f t="shared" si="110"/>
        <v>0</v>
      </c>
      <c r="AC204" s="10" t="e">
        <f t="shared" si="111"/>
        <v>#VALUE!</v>
      </c>
      <c r="AD204" s="1" t="e">
        <f t="shared" si="119"/>
        <v>#VALUE!</v>
      </c>
      <c r="AF204" s="3" t="e">
        <f t="shared" si="112"/>
        <v>#VALUE!</v>
      </c>
      <c r="AG204" s="5" t="str">
        <f t="shared" si="113"/>
        <v>UpBY_GAINP_TEMP_H)/* B-Y Positive Gain Control (0 ~ 0xFF, Default:0x60) *</v>
      </c>
      <c r="AH204" s="3">
        <f t="shared" si="114"/>
        <v>1</v>
      </c>
      <c r="AI204" s="3">
        <f t="shared" si="115"/>
        <v>0</v>
      </c>
      <c r="AJ204" s="7">
        <f t="shared" si="120"/>
        <v>1</v>
      </c>
    </row>
    <row r="205" spans="1:36" x14ac:dyDescent="0.3">
      <c r="A205" s="15" t="s">
        <v>489</v>
      </c>
      <c r="B205" s="1">
        <f t="shared" si="121"/>
        <v>8</v>
      </c>
      <c r="C205" s="1">
        <f t="shared" si="122"/>
        <v>9</v>
      </c>
      <c r="D205" s="10" t="str">
        <f t="shared" si="123"/>
        <v>1</v>
      </c>
      <c r="E205" s="1">
        <f t="shared" si="124"/>
        <v>11</v>
      </c>
      <c r="F205" s="1">
        <f t="shared" si="125"/>
        <v>67</v>
      </c>
      <c r="G205" s="1">
        <f t="shared" si="126"/>
        <v>28</v>
      </c>
      <c r="H205" s="1">
        <f t="shared" si="133"/>
        <v>28</v>
      </c>
      <c r="I205" s="10" t="str">
        <f t="shared" si="127"/>
        <v>UpRY_GAINN_TEMP_H</v>
      </c>
      <c r="J205" s="1">
        <f t="shared" si="134"/>
        <v>0</v>
      </c>
      <c r="K205" s="1">
        <f t="shared" si="128"/>
        <v>0</v>
      </c>
      <c r="L205" s="1" t="str">
        <f t="shared" si="129"/>
        <v>0</v>
      </c>
      <c r="M205" s="10">
        <f t="shared" si="130"/>
        <v>0</v>
      </c>
      <c r="N205" s="1">
        <f t="shared" si="131"/>
        <v>31</v>
      </c>
      <c r="O205" s="1">
        <f t="shared" si="116"/>
        <v>0</v>
      </c>
      <c r="P205" s="1">
        <f t="shared" si="132"/>
        <v>83</v>
      </c>
      <c r="Q205" s="3" t="str">
        <f t="shared" si="104"/>
        <v xml:space="preserve"> R-Y Negative Gain Control (0 ~ 0xFF, Default:0x60) </v>
      </c>
      <c r="R205" s="11">
        <f t="shared" si="117"/>
        <v>404</v>
      </c>
      <c r="S205" s="11"/>
      <c r="T205" s="13" t="str">
        <f t="shared" si="118"/>
        <v>194</v>
      </c>
      <c r="U205" s="14" t="str">
        <f t="shared" si="105"/>
        <v>UpRY_GAINN_TEMP_H</v>
      </c>
      <c r="V205" s="13" t="str">
        <f t="shared" si="106"/>
        <v>1</v>
      </c>
      <c r="W205" s="13">
        <f t="shared" si="107"/>
        <v>0</v>
      </c>
      <c r="X205" s="14" t="str">
        <f t="shared" si="103"/>
        <v xml:space="preserve"> R-Y Negative Gain Control (0 ~ 0xFF, Default:0x60) </v>
      </c>
      <c r="Y205" s="1">
        <f t="shared" si="108"/>
        <v>1</v>
      </c>
      <c r="Z205" s="1">
        <f t="shared" si="109"/>
        <v>1</v>
      </c>
      <c r="AA205" s="1">
        <f t="shared" si="102"/>
        <v>0</v>
      </c>
      <c r="AB205" s="1">
        <f t="shared" si="110"/>
        <v>0</v>
      </c>
      <c r="AC205" s="10" t="e">
        <f t="shared" si="111"/>
        <v>#VALUE!</v>
      </c>
      <c r="AD205" s="1" t="e">
        <f t="shared" si="119"/>
        <v>#VALUE!</v>
      </c>
      <c r="AF205" s="3" t="e">
        <f t="shared" si="112"/>
        <v>#VALUE!</v>
      </c>
      <c r="AG205" s="5" t="str">
        <f t="shared" si="113"/>
        <v>UpRY_GAINN_TEMP_H)/* R-Y Negative Gain Control (0 ~ 0xFF, Default:0x60) *</v>
      </c>
      <c r="AH205" s="3">
        <f t="shared" si="114"/>
        <v>1</v>
      </c>
      <c r="AI205" s="3">
        <f t="shared" si="115"/>
        <v>0</v>
      </c>
      <c r="AJ205" s="7">
        <f t="shared" si="120"/>
        <v>1</v>
      </c>
    </row>
    <row r="206" spans="1:36" x14ac:dyDescent="0.3">
      <c r="A206" s="15" t="s">
        <v>490</v>
      </c>
      <c r="B206" s="1">
        <f t="shared" si="121"/>
        <v>8</v>
      </c>
      <c r="C206" s="1">
        <f t="shared" si="122"/>
        <v>9</v>
      </c>
      <c r="D206" s="10" t="str">
        <f t="shared" si="123"/>
        <v>1</v>
      </c>
      <c r="E206" s="1">
        <f t="shared" si="124"/>
        <v>11</v>
      </c>
      <c r="F206" s="1">
        <f t="shared" si="125"/>
        <v>67</v>
      </c>
      <c r="G206" s="1">
        <f t="shared" si="126"/>
        <v>28</v>
      </c>
      <c r="H206" s="1">
        <f t="shared" si="133"/>
        <v>28</v>
      </c>
      <c r="I206" s="10" t="str">
        <f t="shared" si="127"/>
        <v>UpRY_GAINP_TEMP_H</v>
      </c>
      <c r="J206" s="1">
        <f t="shared" si="134"/>
        <v>0</v>
      </c>
      <c r="K206" s="1">
        <f t="shared" si="128"/>
        <v>0</v>
      </c>
      <c r="L206" s="1" t="str">
        <f t="shared" si="129"/>
        <v>0</v>
      </c>
      <c r="M206" s="10">
        <f t="shared" si="130"/>
        <v>0</v>
      </c>
      <c r="N206" s="1">
        <f t="shared" si="131"/>
        <v>31</v>
      </c>
      <c r="O206" s="1">
        <f t="shared" si="116"/>
        <v>0</v>
      </c>
      <c r="P206" s="1">
        <f t="shared" si="132"/>
        <v>83</v>
      </c>
      <c r="Q206" s="3" t="str">
        <f t="shared" si="104"/>
        <v xml:space="preserve"> R-Y Positive Gain Control (0 ~ 0xFF, Default:0x60) </v>
      </c>
      <c r="R206" s="11">
        <f t="shared" si="117"/>
        <v>405</v>
      </c>
      <c r="S206" s="11"/>
      <c r="T206" s="13" t="str">
        <f t="shared" si="118"/>
        <v>195</v>
      </c>
      <c r="U206" s="14" t="str">
        <f t="shared" si="105"/>
        <v>UpRY_GAINP_TEMP_H</v>
      </c>
      <c r="V206" s="13" t="str">
        <f t="shared" si="106"/>
        <v>1</v>
      </c>
      <c r="W206" s="13">
        <f t="shared" si="107"/>
        <v>0</v>
      </c>
      <c r="X206" s="14" t="str">
        <f t="shared" si="103"/>
        <v xml:space="preserve"> R-Y Positive Gain Control (0 ~ 0xFF, Default:0x60) </v>
      </c>
      <c r="Y206" s="1">
        <f t="shared" si="108"/>
        <v>1</v>
      </c>
      <c r="Z206" s="1">
        <f t="shared" si="109"/>
        <v>1</v>
      </c>
      <c r="AA206" s="1">
        <f t="shared" si="102"/>
        <v>0</v>
      </c>
      <c r="AB206" s="1">
        <f t="shared" si="110"/>
        <v>0</v>
      </c>
      <c r="AC206" s="10" t="e">
        <f t="shared" si="111"/>
        <v>#VALUE!</v>
      </c>
      <c r="AD206" s="1" t="e">
        <f t="shared" si="119"/>
        <v>#VALUE!</v>
      </c>
      <c r="AF206" s="3" t="e">
        <f t="shared" si="112"/>
        <v>#VALUE!</v>
      </c>
      <c r="AG206" s="5" t="str">
        <f t="shared" si="113"/>
        <v>UpRY_GAINP_TEMP_H)/* R-Y Positive Gain Control (0 ~ 0xFF, Default:0x60) *</v>
      </c>
      <c r="AH206" s="3">
        <f t="shared" si="114"/>
        <v>1</v>
      </c>
      <c r="AI206" s="3">
        <f t="shared" si="115"/>
        <v>0</v>
      </c>
      <c r="AJ206" s="7">
        <f t="shared" si="120"/>
        <v>1</v>
      </c>
    </row>
    <row r="207" spans="1:36" x14ac:dyDescent="0.3">
      <c r="A207" s="15" t="s">
        <v>491</v>
      </c>
      <c r="B207" s="1">
        <f t="shared" si="121"/>
        <v>8</v>
      </c>
      <c r="C207" s="1">
        <f t="shared" si="122"/>
        <v>9</v>
      </c>
      <c r="D207" s="10" t="str">
        <f t="shared" si="123"/>
        <v>1</v>
      </c>
      <c r="E207" s="1">
        <f t="shared" si="124"/>
        <v>11</v>
      </c>
      <c r="F207" s="1">
        <f t="shared" si="125"/>
        <v>65</v>
      </c>
      <c r="G207" s="1">
        <f t="shared" si="126"/>
        <v>27</v>
      </c>
      <c r="H207" s="1">
        <f t="shared" si="133"/>
        <v>27</v>
      </c>
      <c r="I207" s="10" t="str">
        <f t="shared" si="127"/>
        <v>UpBY_HUEN_TEMP_H</v>
      </c>
      <c r="J207" s="1">
        <f t="shared" si="134"/>
        <v>0</v>
      </c>
      <c r="K207" s="1">
        <f t="shared" si="128"/>
        <v>0</v>
      </c>
      <c r="L207" s="1" t="str">
        <f t="shared" si="129"/>
        <v>0</v>
      </c>
      <c r="M207" s="10">
        <f t="shared" si="130"/>
        <v>0</v>
      </c>
      <c r="N207" s="1">
        <f t="shared" si="131"/>
        <v>30</v>
      </c>
      <c r="O207" s="1">
        <f t="shared" si="116"/>
        <v>0</v>
      </c>
      <c r="P207" s="1">
        <f t="shared" si="132"/>
        <v>86</v>
      </c>
      <c r="Q207" s="3" t="str">
        <f t="shared" si="104"/>
        <v xml:space="preserve"> B-Y Negative Hue Control (0x1:-90°, 0x80:0°, 0xFF:90°) </v>
      </c>
      <c r="R207" s="11">
        <f t="shared" si="117"/>
        <v>406</v>
      </c>
      <c r="S207" s="11"/>
      <c r="T207" s="13" t="str">
        <f t="shared" si="118"/>
        <v>196</v>
      </c>
      <c r="U207" s="14" t="str">
        <f t="shared" si="105"/>
        <v>UpBY_HUEN_TEMP_H</v>
      </c>
      <c r="V207" s="13" t="str">
        <f t="shared" si="106"/>
        <v>1</v>
      </c>
      <c r="W207" s="13">
        <f t="shared" si="107"/>
        <v>0</v>
      </c>
      <c r="X207" s="14" t="str">
        <f t="shared" si="103"/>
        <v xml:space="preserve"> B-Y Negative Hue Control (0x1:-90°, 0x80:0°, 0xFF:90°) </v>
      </c>
      <c r="Y207" s="1">
        <f t="shared" si="108"/>
        <v>1</v>
      </c>
      <c r="Z207" s="1">
        <f t="shared" si="109"/>
        <v>1</v>
      </c>
      <c r="AA207" s="1">
        <f t="shared" si="102"/>
        <v>0</v>
      </c>
      <c r="AB207" s="1">
        <f t="shared" si="110"/>
        <v>0</v>
      </c>
      <c r="AC207" s="10" t="e">
        <f t="shared" si="111"/>
        <v>#VALUE!</v>
      </c>
      <c r="AD207" s="1" t="e">
        <f t="shared" si="119"/>
        <v>#VALUE!</v>
      </c>
      <c r="AF207" s="3" t="e">
        <f t="shared" si="112"/>
        <v>#VALUE!</v>
      </c>
      <c r="AG207" s="5" t="str">
        <f t="shared" si="113"/>
        <v>UpBY_HUEN_TEMP_H)/* B-Y Negative Hue Control (0x1:-90°, 0x80:0°, 0xFF:90°) *</v>
      </c>
      <c r="AH207" s="3">
        <f t="shared" si="114"/>
        <v>1</v>
      </c>
      <c r="AI207" s="3">
        <f t="shared" si="115"/>
        <v>0</v>
      </c>
      <c r="AJ207" s="7">
        <f t="shared" si="120"/>
        <v>1</v>
      </c>
    </row>
    <row r="208" spans="1:36" x14ac:dyDescent="0.3">
      <c r="A208" s="15" t="s">
        <v>492</v>
      </c>
      <c r="B208" s="1">
        <f t="shared" si="121"/>
        <v>8</v>
      </c>
      <c r="C208" s="1">
        <f t="shared" si="122"/>
        <v>9</v>
      </c>
      <c r="D208" s="10" t="str">
        <f t="shared" si="123"/>
        <v>1</v>
      </c>
      <c r="E208" s="1">
        <f t="shared" si="124"/>
        <v>11</v>
      </c>
      <c r="F208" s="1">
        <f t="shared" si="125"/>
        <v>65</v>
      </c>
      <c r="G208" s="1">
        <f t="shared" si="126"/>
        <v>27</v>
      </c>
      <c r="H208" s="1">
        <f t="shared" si="133"/>
        <v>27</v>
      </c>
      <c r="I208" s="10" t="str">
        <f t="shared" si="127"/>
        <v>UpBY_HUEP_TEMP_H</v>
      </c>
      <c r="J208" s="1">
        <f t="shared" si="134"/>
        <v>0</v>
      </c>
      <c r="K208" s="1">
        <f t="shared" si="128"/>
        <v>0</v>
      </c>
      <c r="L208" s="1" t="str">
        <f t="shared" si="129"/>
        <v>0</v>
      </c>
      <c r="M208" s="10">
        <f t="shared" si="130"/>
        <v>0</v>
      </c>
      <c r="N208" s="1">
        <f t="shared" si="131"/>
        <v>30</v>
      </c>
      <c r="O208" s="1">
        <f t="shared" si="116"/>
        <v>0</v>
      </c>
      <c r="P208" s="1">
        <f t="shared" si="132"/>
        <v>86</v>
      </c>
      <c r="Q208" s="3" t="str">
        <f t="shared" si="104"/>
        <v xml:space="preserve"> B-Y Positive Hue Control (0x1:-90°, 0x80:0°, 0xFF:90°) </v>
      </c>
      <c r="R208" s="11">
        <f t="shared" si="117"/>
        <v>407</v>
      </c>
      <c r="S208" s="11"/>
      <c r="T208" s="13" t="str">
        <f t="shared" si="118"/>
        <v>197</v>
      </c>
      <c r="U208" s="14" t="str">
        <f t="shared" si="105"/>
        <v>UpBY_HUEP_TEMP_H</v>
      </c>
      <c r="V208" s="13" t="str">
        <f t="shared" si="106"/>
        <v>1</v>
      </c>
      <c r="W208" s="13">
        <f t="shared" si="107"/>
        <v>0</v>
      </c>
      <c r="X208" s="14" t="str">
        <f t="shared" si="103"/>
        <v xml:space="preserve"> B-Y Positive Hue Control (0x1:-90°, 0x80:0°, 0xFF:90°) </v>
      </c>
      <c r="Y208" s="1">
        <f t="shared" si="108"/>
        <v>1</v>
      </c>
      <c r="Z208" s="1">
        <f t="shared" si="109"/>
        <v>1</v>
      </c>
      <c r="AA208" s="1">
        <f t="shared" si="102"/>
        <v>0</v>
      </c>
      <c r="AB208" s="1">
        <f t="shared" si="110"/>
        <v>0</v>
      </c>
      <c r="AC208" s="10" t="e">
        <f t="shared" si="111"/>
        <v>#VALUE!</v>
      </c>
      <c r="AD208" s="1" t="e">
        <f t="shared" si="119"/>
        <v>#VALUE!</v>
      </c>
      <c r="AF208" s="3" t="e">
        <f t="shared" si="112"/>
        <v>#VALUE!</v>
      </c>
      <c r="AG208" s="5" t="str">
        <f t="shared" si="113"/>
        <v>UpBY_HUEP_TEMP_H)/* B-Y Positive Hue Control (0x1:-90°, 0x80:0°, 0xFF:90°) *</v>
      </c>
      <c r="AH208" s="3">
        <f t="shared" si="114"/>
        <v>1</v>
      </c>
      <c r="AI208" s="3">
        <f t="shared" si="115"/>
        <v>0</v>
      </c>
      <c r="AJ208" s="7">
        <f t="shared" si="120"/>
        <v>1</v>
      </c>
    </row>
    <row r="209" spans="1:36" x14ac:dyDescent="0.3">
      <c r="A209" s="15" t="s">
        <v>493</v>
      </c>
      <c r="B209" s="1">
        <f t="shared" si="121"/>
        <v>8</v>
      </c>
      <c r="C209" s="1">
        <f t="shared" si="122"/>
        <v>9</v>
      </c>
      <c r="D209" s="10" t="str">
        <f t="shared" si="123"/>
        <v>1</v>
      </c>
      <c r="E209" s="1">
        <f t="shared" si="124"/>
        <v>11</v>
      </c>
      <c r="F209" s="1">
        <f t="shared" si="125"/>
        <v>65</v>
      </c>
      <c r="G209" s="1">
        <f t="shared" si="126"/>
        <v>27</v>
      </c>
      <c r="H209" s="1">
        <f t="shared" si="133"/>
        <v>27</v>
      </c>
      <c r="I209" s="10" t="str">
        <f t="shared" si="127"/>
        <v>UpRY_HUEN_TEMP_H</v>
      </c>
      <c r="J209" s="1">
        <f t="shared" si="134"/>
        <v>0</v>
      </c>
      <c r="K209" s="1">
        <f t="shared" si="128"/>
        <v>0</v>
      </c>
      <c r="L209" s="1" t="str">
        <f t="shared" si="129"/>
        <v>0</v>
      </c>
      <c r="M209" s="10">
        <f t="shared" si="130"/>
        <v>0</v>
      </c>
      <c r="N209" s="1">
        <f t="shared" si="131"/>
        <v>30</v>
      </c>
      <c r="O209" s="1">
        <f t="shared" si="116"/>
        <v>0</v>
      </c>
      <c r="P209" s="1">
        <f t="shared" si="132"/>
        <v>86</v>
      </c>
      <c r="Q209" s="3" t="str">
        <f t="shared" si="104"/>
        <v xml:space="preserve"> R-Y Negative Hue Control (0x1:-90°, 0x80:0°, 0xFF:90°) </v>
      </c>
      <c r="R209" s="11">
        <f t="shared" si="117"/>
        <v>408</v>
      </c>
      <c r="S209" s="11"/>
      <c r="T209" s="13" t="str">
        <f t="shared" si="118"/>
        <v>198</v>
      </c>
      <c r="U209" s="14" t="str">
        <f t="shared" si="105"/>
        <v>UpRY_HUEN_TEMP_H</v>
      </c>
      <c r="V209" s="13" t="str">
        <f t="shared" si="106"/>
        <v>1</v>
      </c>
      <c r="W209" s="13">
        <f t="shared" si="107"/>
        <v>0</v>
      </c>
      <c r="X209" s="14" t="str">
        <f t="shared" si="103"/>
        <v xml:space="preserve"> R-Y Negative Hue Control (0x1:-90°, 0x80:0°, 0xFF:90°) </v>
      </c>
      <c r="Y209" s="1">
        <f t="shared" si="108"/>
        <v>1</v>
      </c>
      <c r="Z209" s="1">
        <f t="shared" si="109"/>
        <v>1</v>
      </c>
      <c r="AA209" s="1">
        <f t="shared" si="102"/>
        <v>0</v>
      </c>
      <c r="AB209" s="1">
        <f t="shared" si="110"/>
        <v>0</v>
      </c>
      <c r="AC209" s="10" t="e">
        <f t="shared" si="111"/>
        <v>#VALUE!</v>
      </c>
      <c r="AD209" s="1" t="e">
        <f t="shared" si="119"/>
        <v>#VALUE!</v>
      </c>
      <c r="AF209" s="3" t="e">
        <f t="shared" si="112"/>
        <v>#VALUE!</v>
      </c>
      <c r="AG209" s="5" t="str">
        <f t="shared" si="113"/>
        <v>UpRY_HUEN_TEMP_H)/* R-Y Negative Hue Control (0x1:-90°, 0x80:0°, 0xFF:90°) *</v>
      </c>
      <c r="AH209" s="3">
        <f t="shared" si="114"/>
        <v>1</v>
      </c>
      <c r="AI209" s="3">
        <f t="shared" si="115"/>
        <v>0</v>
      </c>
      <c r="AJ209" s="7">
        <f t="shared" si="120"/>
        <v>1</v>
      </c>
    </row>
    <row r="210" spans="1:36" x14ac:dyDescent="0.3">
      <c r="A210" s="15" t="s">
        <v>494</v>
      </c>
      <c r="B210" s="1">
        <f t="shared" si="121"/>
        <v>8</v>
      </c>
      <c r="C210" s="1">
        <f t="shared" si="122"/>
        <v>9</v>
      </c>
      <c r="D210" s="10" t="str">
        <f t="shared" si="123"/>
        <v>1</v>
      </c>
      <c r="E210" s="1">
        <f t="shared" si="124"/>
        <v>11</v>
      </c>
      <c r="F210" s="1">
        <f t="shared" si="125"/>
        <v>65</v>
      </c>
      <c r="G210" s="1">
        <f t="shared" si="126"/>
        <v>27</v>
      </c>
      <c r="H210" s="1">
        <f t="shared" si="133"/>
        <v>27</v>
      </c>
      <c r="I210" s="10" t="str">
        <f t="shared" si="127"/>
        <v>UpRY_HUEP_TEMP_H</v>
      </c>
      <c r="J210" s="1">
        <f t="shared" si="134"/>
        <v>0</v>
      </c>
      <c r="K210" s="1">
        <f t="shared" si="128"/>
        <v>0</v>
      </c>
      <c r="L210" s="1" t="str">
        <f t="shared" si="129"/>
        <v>0</v>
      </c>
      <c r="M210" s="10">
        <f t="shared" si="130"/>
        <v>0</v>
      </c>
      <c r="N210" s="1">
        <f t="shared" si="131"/>
        <v>30</v>
      </c>
      <c r="O210" s="1">
        <f t="shared" si="116"/>
        <v>0</v>
      </c>
      <c r="P210" s="1">
        <f t="shared" si="132"/>
        <v>86</v>
      </c>
      <c r="Q210" s="3" t="str">
        <f t="shared" si="104"/>
        <v xml:space="preserve"> R-Y Positive Hue Control (0x1:-90°, 0x80:0°, 0xFF:90°) </v>
      </c>
      <c r="R210" s="11">
        <f t="shared" si="117"/>
        <v>409</v>
      </c>
      <c r="S210" s="11"/>
      <c r="T210" s="13" t="str">
        <f t="shared" si="118"/>
        <v>199</v>
      </c>
      <c r="U210" s="14" t="str">
        <f t="shared" si="105"/>
        <v>UpRY_HUEP_TEMP_H</v>
      </c>
      <c r="V210" s="13" t="str">
        <f t="shared" si="106"/>
        <v>1</v>
      </c>
      <c r="W210" s="13">
        <f t="shared" si="107"/>
        <v>0</v>
      </c>
      <c r="X210" s="14" t="str">
        <f t="shared" si="103"/>
        <v xml:space="preserve"> R-Y Positive Hue Control (0x1:-90°, 0x80:0°, 0xFF:90°) </v>
      </c>
      <c r="Y210" s="1">
        <f t="shared" si="108"/>
        <v>1</v>
      </c>
      <c r="Z210" s="1">
        <f t="shared" si="109"/>
        <v>1</v>
      </c>
      <c r="AA210" s="1">
        <f t="shared" si="102"/>
        <v>0</v>
      </c>
      <c r="AB210" s="1">
        <f t="shared" si="110"/>
        <v>0</v>
      </c>
      <c r="AC210" s="10" t="e">
        <f t="shared" si="111"/>
        <v>#VALUE!</v>
      </c>
      <c r="AD210" s="1" t="e">
        <f t="shared" si="119"/>
        <v>#VALUE!</v>
      </c>
      <c r="AF210" s="3" t="e">
        <f t="shared" si="112"/>
        <v>#VALUE!</v>
      </c>
      <c r="AG210" s="5" t="str">
        <f t="shared" si="113"/>
        <v>UpRY_HUEP_TEMP_H)/* R-Y Positive Hue Control (0x1:-90°, 0x80:0°, 0xFF:90°) *</v>
      </c>
      <c r="AH210" s="3">
        <f t="shared" si="114"/>
        <v>1</v>
      </c>
      <c r="AI210" s="3">
        <f t="shared" si="115"/>
        <v>0</v>
      </c>
      <c r="AJ210" s="7">
        <f t="shared" si="120"/>
        <v>1</v>
      </c>
    </row>
    <row r="211" spans="1:36" x14ac:dyDescent="0.3">
      <c r="A211" s="15" t="s">
        <v>161</v>
      </c>
      <c r="B211" s="1">
        <f t="shared" si="121"/>
        <v>0</v>
      </c>
      <c r="C211" s="1">
        <f t="shared" si="122"/>
        <v>0</v>
      </c>
      <c r="D211" s="10">
        <f t="shared" si="123"/>
        <v>0</v>
      </c>
      <c r="E211" s="1">
        <f t="shared" si="124"/>
        <v>0</v>
      </c>
      <c r="F211" s="1">
        <f t="shared" si="125"/>
        <v>0</v>
      </c>
      <c r="G211" s="1">
        <f t="shared" si="126"/>
        <v>0</v>
      </c>
      <c r="H211" s="1">
        <f t="shared" si="133"/>
        <v>0</v>
      </c>
      <c r="I211" s="10">
        <f t="shared" si="127"/>
        <v>0</v>
      </c>
      <c r="J211" s="1">
        <f t="shared" si="134"/>
        <v>0</v>
      </c>
      <c r="K211" s="1">
        <f t="shared" si="128"/>
        <v>0</v>
      </c>
      <c r="L211" s="1" t="str">
        <f t="shared" si="129"/>
        <v>0</v>
      </c>
      <c r="M211" s="10">
        <f t="shared" si="130"/>
        <v>0</v>
      </c>
      <c r="N211" s="1">
        <f t="shared" si="131"/>
        <v>3</v>
      </c>
      <c r="O211" s="1">
        <f t="shared" si="116"/>
        <v>0</v>
      </c>
      <c r="P211" s="1">
        <f t="shared" si="132"/>
        <v>40</v>
      </c>
      <c r="Q211" s="3" t="str">
        <f t="shared" si="104"/>
        <v>---------------　GAMMA　---------------</v>
      </c>
      <c r="R211" s="11">
        <f t="shared" si="117"/>
        <v>410</v>
      </c>
      <c r="S211" s="11"/>
      <c r="T211" s="13" t="str">
        <f t="shared" si="118"/>
        <v>*</v>
      </c>
      <c r="U211" s="14" t="str">
        <f t="shared" si="105"/>
        <v>---------------　GAMMA　---------------</v>
      </c>
      <c r="V211" s="13">
        <f t="shared" si="106"/>
        <v>1</v>
      </c>
      <c r="W211" s="13">
        <f t="shared" si="107"/>
        <v>0</v>
      </c>
      <c r="X211" s="14" t="str">
        <f t="shared" si="103"/>
        <v>-</v>
      </c>
      <c r="Y211" s="1">
        <f t="shared" si="108"/>
        <v>0</v>
      </c>
      <c r="Z211" s="1">
        <f t="shared" si="109"/>
        <v>1</v>
      </c>
      <c r="AA211" s="1">
        <f t="shared" si="102"/>
        <v>0</v>
      </c>
      <c r="AB211" s="1">
        <f t="shared" si="110"/>
        <v>0</v>
      </c>
      <c r="AC211" s="10" t="e">
        <f t="shared" si="111"/>
        <v>#VALUE!</v>
      </c>
      <c r="AD211" s="1" t="e">
        <f t="shared" si="119"/>
        <v>#VALUE!</v>
      </c>
      <c r="AF211" s="3" t="str">
        <f t="shared" si="112"/>
        <v>0</v>
      </c>
      <c r="AG211" s="5" t="str">
        <f t="shared" si="113"/>
        <v>---------------　GAMMA　---------------</v>
      </c>
      <c r="AH211" s="3" t="str">
        <f t="shared" si="114"/>
        <v>1</v>
      </c>
      <c r="AI211" s="3" t="str">
        <f t="shared" si="115"/>
        <v>0</v>
      </c>
      <c r="AJ211" s="7">
        <f t="shared" si="120"/>
        <v>1</v>
      </c>
    </row>
    <row r="212" spans="1:36" x14ac:dyDescent="0.3">
      <c r="A212" s="15" t="s">
        <v>505</v>
      </c>
      <c r="B212" s="1">
        <f t="shared" si="121"/>
        <v>8</v>
      </c>
      <c r="C212" s="1">
        <f t="shared" si="122"/>
        <v>9</v>
      </c>
      <c r="D212" s="10" t="str">
        <f t="shared" si="123"/>
        <v>1</v>
      </c>
      <c r="E212" s="1">
        <f t="shared" si="124"/>
        <v>11</v>
      </c>
      <c r="F212" s="1">
        <f t="shared" si="125"/>
        <v>23</v>
      </c>
      <c r="G212" s="1">
        <f t="shared" si="126"/>
        <v>28</v>
      </c>
      <c r="H212" s="1">
        <f t="shared" si="133"/>
        <v>23</v>
      </c>
      <c r="I212" s="10" t="str">
        <f t="shared" si="127"/>
        <v>UpGAMMA_Y_ON</v>
      </c>
      <c r="J212" s="1">
        <f t="shared" si="134"/>
        <v>25</v>
      </c>
      <c r="K212" s="1" t="str">
        <f t="shared" si="128"/>
        <v>420</v>
      </c>
      <c r="L212" s="1" t="str">
        <f t="shared" si="129"/>
        <v>1A4</v>
      </c>
      <c r="M212" s="10">
        <f t="shared" si="130"/>
        <v>420</v>
      </c>
      <c r="N212" s="1">
        <f t="shared" si="131"/>
        <v>31</v>
      </c>
      <c r="O212" s="1">
        <f t="shared" si="116"/>
        <v>0</v>
      </c>
      <c r="P212" s="1">
        <f t="shared" si="132"/>
        <v>63</v>
      </c>
      <c r="Q212" s="3" t="str">
        <f t="shared" si="104"/>
        <v xml:space="preserve"> Y GAMMA on/off (0: off, 1: on) </v>
      </c>
      <c r="R212" s="11">
        <f t="shared" si="117"/>
        <v>420</v>
      </c>
      <c r="S212" s="11"/>
      <c r="T212" s="13" t="str">
        <f t="shared" si="118"/>
        <v>1A4</v>
      </c>
      <c r="U212" s="14" t="str">
        <f t="shared" si="105"/>
        <v>UpGAMMA_Y_ON</v>
      </c>
      <c r="V212" s="13" t="str">
        <f t="shared" si="106"/>
        <v>1</v>
      </c>
      <c r="W212" s="13">
        <f t="shared" si="107"/>
        <v>0</v>
      </c>
      <c r="X212" s="14" t="str">
        <f t="shared" si="103"/>
        <v xml:space="preserve"> Y GAMMA on/off (0: off, 1: on) </v>
      </c>
      <c r="Y212" s="1">
        <f t="shared" si="108"/>
        <v>1</v>
      </c>
      <c r="Z212" s="1">
        <f t="shared" si="109"/>
        <v>1</v>
      </c>
      <c r="AA212" s="1">
        <f t="shared" si="102"/>
        <v>25</v>
      </c>
      <c r="AB212" s="1" t="str">
        <f t="shared" si="110"/>
        <v>420)/* Y GAMMA on/off (0: off, 1: on) *</v>
      </c>
      <c r="AC212" s="10" t="str">
        <f t="shared" si="111"/>
        <v>420)/* Y GAMMA on/off (0: off, 1: on) *</v>
      </c>
      <c r="AD212" s="1" t="e">
        <f t="shared" si="119"/>
        <v>#VALUE!</v>
      </c>
      <c r="AF212" s="3" t="e">
        <f t="shared" si="112"/>
        <v>#VALUE!</v>
      </c>
      <c r="AG212" s="5" t="str">
        <f t="shared" si="113"/>
        <v>UpGAMMA_Y_ON</v>
      </c>
      <c r="AH212" s="3">
        <f t="shared" si="114"/>
        <v>1</v>
      </c>
      <c r="AI212" s="3">
        <f t="shared" si="115"/>
        <v>0</v>
      </c>
      <c r="AJ212" s="7">
        <f t="shared" si="120"/>
        <v>1</v>
      </c>
    </row>
    <row r="213" spans="1:36" x14ac:dyDescent="0.3">
      <c r="A213" s="15" t="s">
        <v>59</v>
      </c>
      <c r="B213" s="1">
        <f t="shared" si="121"/>
        <v>8</v>
      </c>
      <c r="C213" s="1">
        <f t="shared" si="122"/>
        <v>9</v>
      </c>
      <c r="D213" s="10" t="str">
        <f t="shared" si="123"/>
        <v>1</v>
      </c>
      <c r="E213" s="1">
        <f t="shared" si="124"/>
        <v>11</v>
      </c>
      <c r="F213" s="1">
        <f t="shared" si="125"/>
        <v>48</v>
      </c>
      <c r="G213" s="1">
        <f t="shared" si="126"/>
        <v>23</v>
      </c>
      <c r="H213" s="1">
        <f t="shared" si="133"/>
        <v>23</v>
      </c>
      <c r="I213" s="10" t="str">
        <f t="shared" si="127"/>
        <v>UpGAMMA_C_ON</v>
      </c>
      <c r="J213" s="1">
        <f t="shared" si="134"/>
        <v>0</v>
      </c>
      <c r="K213" s="1">
        <f t="shared" si="128"/>
        <v>0</v>
      </c>
      <c r="L213" s="1" t="str">
        <f t="shared" si="129"/>
        <v>0</v>
      </c>
      <c r="M213" s="10">
        <f t="shared" si="130"/>
        <v>0</v>
      </c>
      <c r="N213" s="1">
        <f t="shared" si="131"/>
        <v>26</v>
      </c>
      <c r="O213" s="1">
        <f t="shared" si="116"/>
        <v>0</v>
      </c>
      <c r="P213" s="1">
        <f t="shared" si="132"/>
        <v>56</v>
      </c>
      <c r="Q213" s="3" t="str">
        <f t="shared" si="104"/>
        <v xml:space="preserve"> C GAMMA on/off (0:off, 1:on) </v>
      </c>
      <c r="R213" s="11">
        <f t="shared" si="117"/>
        <v>421</v>
      </c>
      <c r="S213" s="11"/>
      <c r="T213" s="13" t="str">
        <f t="shared" si="118"/>
        <v>1A5</v>
      </c>
      <c r="U213" s="14" t="str">
        <f t="shared" si="105"/>
        <v>UpGAMMA_C_ON</v>
      </c>
      <c r="V213" s="13" t="str">
        <f t="shared" si="106"/>
        <v>1</v>
      </c>
      <c r="W213" s="13">
        <f t="shared" si="107"/>
        <v>0</v>
      </c>
      <c r="X213" s="14" t="str">
        <f t="shared" si="103"/>
        <v xml:space="preserve"> C GAMMA on/off (0:off, 1:on) </v>
      </c>
      <c r="Y213" s="1">
        <f t="shared" si="108"/>
        <v>1</v>
      </c>
      <c r="Z213" s="1">
        <f t="shared" si="109"/>
        <v>1</v>
      </c>
      <c r="AA213" s="1">
        <f t="shared" si="102"/>
        <v>0</v>
      </c>
      <c r="AB213" s="1">
        <f t="shared" si="110"/>
        <v>0</v>
      </c>
      <c r="AC213" s="10" t="e">
        <f t="shared" si="111"/>
        <v>#VALUE!</v>
      </c>
      <c r="AD213" s="1" t="e">
        <f t="shared" si="119"/>
        <v>#VALUE!</v>
      </c>
      <c r="AF213" s="3" t="e">
        <f t="shared" si="112"/>
        <v>#VALUE!</v>
      </c>
      <c r="AG213" s="5" t="str">
        <f t="shared" si="113"/>
        <v>UpGAMMA_C_ON)/* C GAMMA on/off (0:off, 1:on) *</v>
      </c>
      <c r="AH213" s="3">
        <f t="shared" si="114"/>
        <v>1</v>
      </c>
      <c r="AI213" s="3">
        <f t="shared" si="115"/>
        <v>0</v>
      </c>
      <c r="AJ213" s="7">
        <f t="shared" si="120"/>
        <v>1</v>
      </c>
    </row>
    <row r="214" spans="1:36" x14ac:dyDescent="0.3">
      <c r="A214" s="15" t="s">
        <v>280</v>
      </c>
      <c r="B214" s="1">
        <f t="shared" si="121"/>
        <v>8</v>
      </c>
      <c r="C214" s="1">
        <f t="shared" si="122"/>
        <v>9</v>
      </c>
      <c r="D214" s="10" t="str">
        <f t="shared" si="123"/>
        <v>2</v>
      </c>
      <c r="E214" s="1">
        <f t="shared" si="124"/>
        <v>11</v>
      </c>
      <c r="F214" s="1">
        <f t="shared" si="125"/>
        <v>0</v>
      </c>
      <c r="G214" s="1">
        <f t="shared" si="126"/>
        <v>25</v>
      </c>
      <c r="H214" s="1">
        <f t="shared" si="133"/>
        <v>25</v>
      </c>
      <c r="I214" s="10" t="str">
        <f t="shared" si="127"/>
        <v>UpYGMA_AGC_PT0</v>
      </c>
      <c r="J214" s="1">
        <f t="shared" si="134"/>
        <v>0</v>
      </c>
      <c r="K214" s="1">
        <f t="shared" si="128"/>
        <v>0</v>
      </c>
      <c r="L214" s="1" t="str">
        <f t="shared" si="129"/>
        <v>0</v>
      </c>
      <c r="M214" s="10">
        <f t="shared" si="130"/>
        <v>0</v>
      </c>
      <c r="N214" s="1">
        <f t="shared" si="131"/>
        <v>28</v>
      </c>
      <c r="O214" s="1">
        <f t="shared" si="116"/>
        <v>0</v>
      </c>
      <c r="P214" s="1">
        <f t="shared" si="132"/>
        <v>65</v>
      </c>
      <c r="Q214" s="3" t="str">
        <f t="shared" si="104"/>
        <v xml:space="preserve"> Apply Y Gamma1 interlocking point 0 </v>
      </c>
      <c r="R214" s="11">
        <f t="shared" si="117"/>
        <v>422</v>
      </c>
      <c r="S214" s="11"/>
      <c r="T214" s="13" t="str">
        <f t="shared" si="118"/>
        <v>1A6</v>
      </c>
      <c r="U214" s="14" t="str">
        <f t="shared" ref="U214:U221" si="135">IF(A214="",IF(A213="","",$U$1),  IF(B214=0,Q214,I214)  )</f>
        <v>UpYGMA_AGC_PT0</v>
      </c>
      <c r="V214" s="13" t="str">
        <f t="shared" ref="V214:V221" si="136">IF(U214=$U$1,"",IF(A214="",IF(A213="","",1),  IF(B214=0,1,D214)  ))</f>
        <v>2</v>
      </c>
      <c r="W214" s="13">
        <f t="shared" ref="W214:W221" si="137">IF(U214=$U$1,"",IF(A214="",IF(A213="","",0),  IF(C214=0,0,0)  ))</f>
        <v>0</v>
      </c>
      <c r="X214" s="14" t="str">
        <f t="shared" ref="X214:X221" si="138">IF(U214=$U$1,"",IF(U214="","",IF(B214&gt;0,IF(Q214&lt;&gt;"",Q214,"No description"),"-")))</f>
        <v xml:space="preserve"> Apply Y Gamma1 interlocking point 0 </v>
      </c>
      <c r="Y214" s="1">
        <f t="shared" ref="Y214:Y221" si="139">IFERROR(SEARCH("UP_SET",A214),0)</f>
        <v>1</v>
      </c>
      <c r="Z214" s="1">
        <f t="shared" ref="Z214:Z221" si="140">IF(Y214=0,Z213,INT(MID(A214,8,1)))</f>
        <v>2</v>
      </c>
      <c r="AA214" s="1">
        <f t="shared" ref="AA214:AA221" si="141">IFERROR(FIND("=",A214)+1,0)</f>
        <v>0</v>
      </c>
      <c r="AB214" s="1">
        <f t="shared" ref="AB214:AB221" si="142">IF(AA214=0,0,MID(A214,AA214,LEN(A214)-AA214-1))</f>
        <v>0</v>
      </c>
      <c r="AC214" s="10" t="e">
        <f t="shared" ref="AC214:AC221" si="143">IF(AB214=0,IF(Y214=0,AC213,Z213+AC213),AB214)</f>
        <v>#VALUE!</v>
      </c>
      <c r="AD214" s="1" t="e">
        <f t="shared" ref="AD214:AD221" si="144">DEC2HEX(AC214)</f>
        <v>#VALUE!</v>
      </c>
      <c r="AF214" s="3" t="e">
        <f t="shared" ref="AF214:AF221" si="145">IF(A214="",IF(A213="","",$T$1),IF(Y214=0,"0",AD214))</f>
        <v>#VALUE!</v>
      </c>
      <c r="AG214" s="5" t="str">
        <f t="shared" ref="AG214:AG221" si="146">IF(A214="",IF(A213="","",$U$1),IFERROR(IF(Y214=0,MID(A214,3,LEN(A214)-5),MID(A214,11,IF(AA214=0,LEN(A214)-1-11,AA214-11-2))),"-"))</f>
        <v>UpYGMA_AGC_PT0)/* Apply Y Gamma1 interlocking point 0 *</v>
      </c>
      <c r="AH214" s="3">
        <f t="shared" ref="AH214:AH221" si="147">IF(Y214=0,"1",Z214)</f>
        <v>2</v>
      </c>
      <c r="AI214" s="3">
        <f t="shared" ref="AI214:AI221" si="148">IF(Y214=0,"0",0)</f>
        <v>0</v>
      </c>
      <c r="AJ214" s="7">
        <f t="shared" ref="AJ214:AJ221" si="149">IF(LEN(U214)=0,0,IF(U214="END_ID",0,1))</f>
        <v>1</v>
      </c>
    </row>
    <row r="215" spans="1:36" x14ac:dyDescent="0.3">
      <c r="A215" s="15" t="s">
        <v>168</v>
      </c>
      <c r="B215" s="1">
        <f t="shared" si="121"/>
        <v>8</v>
      </c>
      <c r="C215" s="1">
        <f t="shared" si="122"/>
        <v>9</v>
      </c>
      <c r="D215" s="10" t="str">
        <f t="shared" si="123"/>
        <v>2</v>
      </c>
      <c r="E215" s="1">
        <f t="shared" si="124"/>
        <v>11</v>
      </c>
      <c r="F215" s="1">
        <f t="shared" si="125"/>
        <v>0</v>
      </c>
      <c r="G215" s="1">
        <f t="shared" si="126"/>
        <v>25</v>
      </c>
      <c r="H215" s="1">
        <f t="shared" si="133"/>
        <v>25</v>
      </c>
      <c r="I215" s="10" t="str">
        <f t="shared" si="127"/>
        <v>UpYGMA_AGC_PT1</v>
      </c>
      <c r="J215" s="1">
        <f t="shared" si="134"/>
        <v>0</v>
      </c>
      <c r="K215" s="1">
        <f t="shared" si="128"/>
        <v>0</v>
      </c>
      <c r="L215" s="1" t="str">
        <f t="shared" si="129"/>
        <v>0</v>
      </c>
      <c r="M215" s="10">
        <f t="shared" si="130"/>
        <v>0</v>
      </c>
      <c r="N215" s="1">
        <f t="shared" si="131"/>
        <v>28</v>
      </c>
      <c r="O215" s="1">
        <f t="shared" si="116"/>
        <v>0</v>
      </c>
      <c r="P215" s="1">
        <f t="shared" si="132"/>
        <v>65</v>
      </c>
      <c r="Q215" s="3" t="str">
        <f t="shared" si="104"/>
        <v xml:space="preserve"> Apply Y Gamma2 interlocking point 1 </v>
      </c>
      <c r="R215" s="11">
        <f t="shared" si="117"/>
        <v>424</v>
      </c>
      <c r="S215" s="11"/>
      <c r="T215" s="13" t="str">
        <f t="shared" si="118"/>
        <v>1A8</v>
      </c>
      <c r="U215" s="14" t="str">
        <f t="shared" si="135"/>
        <v>UpYGMA_AGC_PT1</v>
      </c>
      <c r="V215" s="13" t="str">
        <f t="shared" si="136"/>
        <v>2</v>
      </c>
      <c r="W215" s="13">
        <f t="shared" si="137"/>
        <v>0</v>
      </c>
      <c r="X215" s="14" t="str">
        <f t="shared" si="138"/>
        <v xml:space="preserve"> Apply Y Gamma2 interlocking point 1 </v>
      </c>
      <c r="Y215" s="1">
        <f t="shared" si="139"/>
        <v>1</v>
      </c>
      <c r="Z215" s="1">
        <f t="shared" si="140"/>
        <v>2</v>
      </c>
      <c r="AA215" s="1">
        <f t="shared" si="141"/>
        <v>0</v>
      </c>
      <c r="AB215" s="1">
        <f t="shared" si="142"/>
        <v>0</v>
      </c>
      <c r="AC215" s="10" t="e">
        <f t="shared" si="143"/>
        <v>#VALUE!</v>
      </c>
      <c r="AD215" s="1" t="e">
        <f t="shared" si="144"/>
        <v>#VALUE!</v>
      </c>
      <c r="AF215" s="3" t="e">
        <f t="shared" si="145"/>
        <v>#VALUE!</v>
      </c>
      <c r="AG215" s="5" t="str">
        <f t="shared" si="146"/>
        <v>UpYGMA_AGC_PT1)/* Apply Y Gamma2 interlocking point 1 *</v>
      </c>
      <c r="AH215" s="3">
        <f t="shared" si="147"/>
        <v>2</v>
      </c>
      <c r="AI215" s="3">
        <f t="shared" si="148"/>
        <v>0</v>
      </c>
      <c r="AJ215" s="7">
        <f t="shared" si="149"/>
        <v>1</v>
      </c>
    </row>
    <row r="216" spans="1:36" x14ac:dyDescent="0.3">
      <c r="A216" s="15" t="s">
        <v>281</v>
      </c>
      <c r="B216" s="1">
        <f t="shared" si="121"/>
        <v>8</v>
      </c>
      <c r="C216" s="1">
        <f t="shared" si="122"/>
        <v>9</v>
      </c>
      <c r="D216" s="10" t="str">
        <f t="shared" si="123"/>
        <v>2</v>
      </c>
      <c r="E216" s="1">
        <f t="shared" si="124"/>
        <v>11</v>
      </c>
      <c r="F216" s="1">
        <f t="shared" si="125"/>
        <v>0</v>
      </c>
      <c r="G216" s="1">
        <f t="shared" si="126"/>
        <v>25</v>
      </c>
      <c r="H216" s="1">
        <f t="shared" si="133"/>
        <v>25</v>
      </c>
      <c r="I216" s="10" t="str">
        <f t="shared" si="127"/>
        <v>UpCGMA_AGC_PT0</v>
      </c>
      <c r="J216" s="1">
        <f t="shared" si="134"/>
        <v>0</v>
      </c>
      <c r="K216" s="1">
        <f t="shared" si="128"/>
        <v>0</v>
      </c>
      <c r="L216" s="1" t="str">
        <f t="shared" si="129"/>
        <v>0</v>
      </c>
      <c r="M216" s="10">
        <f t="shared" si="130"/>
        <v>0</v>
      </c>
      <c r="N216" s="1">
        <f t="shared" si="131"/>
        <v>28</v>
      </c>
      <c r="O216" s="1">
        <f t="shared" si="116"/>
        <v>0</v>
      </c>
      <c r="P216" s="1">
        <f t="shared" si="132"/>
        <v>65</v>
      </c>
      <c r="Q216" s="3" t="str">
        <f t="shared" si="104"/>
        <v xml:space="preserve"> Apply C Gamma1 interlocking point 0 </v>
      </c>
      <c r="R216" s="11">
        <f t="shared" si="117"/>
        <v>426</v>
      </c>
      <c r="S216" s="11"/>
      <c r="T216" s="13" t="str">
        <f t="shared" si="118"/>
        <v>1AA</v>
      </c>
      <c r="U216" s="14" t="str">
        <f t="shared" si="135"/>
        <v>UpCGMA_AGC_PT0</v>
      </c>
      <c r="V216" s="13" t="str">
        <f t="shared" si="136"/>
        <v>2</v>
      </c>
      <c r="W216" s="13">
        <f t="shared" si="137"/>
        <v>0</v>
      </c>
      <c r="X216" s="14" t="str">
        <f t="shared" si="138"/>
        <v xml:space="preserve"> Apply C Gamma1 interlocking point 0 </v>
      </c>
      <c r="Y216" s="1">
        <f t="shared" si="139"/>
        <v>1</v>
      </c>
      <c r="Z216" s="1">
        <f t="shared" si="140"/>
        <v>2</v>
      </c>
      <c r="AA216" s="1">
        <f t="shared" si="141"/>
        <v>0</v>
      </c>
      <c r="AB216" s="1">
        <f t="shared" si="142"/>
        <v>0</v>
      </c>
      <c r="AC216" s="10" t="e">
        <f t="shared" si="143"/>
        <v>#VALUE!</v>
      </c>
      <c r="AD216" s="1" t="e">
        <f t="shared" si="144"/>
        <v>#VALUE!</v>
      </c>
      <c r="AF216" s="3" t="e">
        <f t="shared" si="145"/>
        <v>#VALUE!</v>
      </c>
      <c r="AG216" s="5" t="str">
        <f t="shared" si="146"/>
        <v>UpCGMA_AGC_PT0)/* Apply C Gamma1 interlocking point 0 *</v>
      </c>
      <c r="AH216" s="3">
        <f t="shared" si="147"/>
        <v>2</v>
      </c>
      <c r="AI216" s="3">
        <f t="shared" si="148"/>
        <v>0</v>
      </c>
      <c r="AJ216" s="7">
        <f t="shared" si="149"/>
        <v>1</v>
      </c>
    </row>
    <row r="217" spans="1:36" x14ac:dyDescent="0.3">
      <c r="A217" s="15" t="s">
        <v>169</v>
      </c>
      <c r="B217" s="1">
        <f t="shared" si="121"/>
        <v>8</v>
      </c>
      <c r="C217" s="1">
        <f t="shared" si="122"/>
        <v>9</v>
      </c>
      <c r="D217" s="10" t="str">
        <f t="shared" si="123"/>
        <v>2</v>
      </c>
      <c r="E217" s="1">
        <f t="shared" si="124"/>
        <v>11</v>
      </c>
      <c r="F217" s="1">
        <f t="shared" si="125"/>
        <v>0</v>
      </c>
      <c r="G217" s="1">
        <f t="shared" si="126"/>
        <v>25</v>
      </c>
      <c r="H217" s="1">
        <f t="shared" si="133"/>
        <v>25</v>
      </c>
      <c r="I217" s="10" t="str">
        <f t="shared" si="127"/>
        <v>UpCGMA_AGC_PT1</v>
      </c>
      <c r="J217" s="1">
        <f t="shared" si="134"/>
        <v>0</v>
      </c>
      <c r="K217" s="1">
        <f t="shared" si="128"/>
        <v>0</v>
      </c>
      <c r="L217" s="1" t="str">
        <f t="shared" si="129"/>
        <v>0</v>
      </c>
      <c r="M217" s="10">
        <f t="shared" si="130"/>
        <v>0</v>
      </c>
      <c r="N217" s="1">
        <f t="shared" si="131"/>
        <v>28</v>
      </c>
      <c r="O217" s="1">
        <f t="shared" si="116"/>
        <v>0</v>
      </c>
      <c r="P217" s="1">
        <f t="shared" si="132"/>
        <v>65</v>
      </c>
      <c r="Q217" s="3" t="str">
        <f t="shared" si="104"/>
        <v xml:space="preserve"> Apply C Gamma2 interlocking point 1 </v>
      </c>
      <c r="R217" s="11">
        <f t="shared" si="117"/>
        <v>428</v>
      </c>
      <c r="S217" s="11"/>
      <c r="T217" s="13" t="str">
        <f t="shared" si="118"/>
        <v>1AC</v>
      </c>
      <c r="U217" s="14" t="str">
        <f t="shared" si="135"/>
        <v>UpCGMA_AGC_PT1</v>
      </c>
      <c r="V217" s="13" t="str">
        <f t="shared" si="136"/>
        <v>2</v>
      </c>
      <c r="W217" s="13">
        <f t="shared" si="137"/>
        <v>0</v>
      </c>
      <c r="X217" s="14" t="str">
        <f t="shared" si="138"/>
        <v xml:space="preserve"> Apply C Gamma2 interlocking point 1 </v>
      </c>
      <c r="Y217" s="1">
        <f t="shared" si="139"/>
        <v>1</v>
      </c>
      <c r="Z217" s="1">
        <f t="shared" si="140"/>
        <v>2</v>
      </c>
      <c r="AA217" s="1">
        <f t="shared" si="141"/>
        <v>0</v>
      </c>
      <c r="AB217" s="1">
        <f t="shared" si="142"/>
        <v>0</v>
      </c>
      <c r="AC217" s="10" t="e">
        <f t="shared" si="143"/>
        <v>#VALUE!</v>
      </c>
      <c r="AD217" s="1" t="e">
        <f t="shared" si="144"/>
        <v>#VALUE!</v>
      </c>
      <c r="AF217" s="3" t="e">
        <f t="shared" si="145"/>
        <v>#VALUE!</v>
      </c>
      <c r="AG217" s="5" t="str">
        <f t="shared" si="146"/>
        <v>UpCGMA_AGC_PT1)/* Apply C Gamma2 interlocking point 1 *</v>
      </c>
      <c r="AH217" s="3">
        <f t="shared" si="147"/>
        <v>2</v>
      </c>
      <c r="AI217" s="3">
        <f t="shared" si="148"/>
        <v>0</v>
      </c>
      <c r="AJ217" s="7">
        <f t="shared" si="149"/>
        <v>1</v>
      </c>
    </row>
    <row r="218" spans="1:36" x14ac:dyDescent="0.3">
      <c r="A218" s="15" t="s">
        <v>282</v>
      </c>
      <c r="B218" s="1">
        <f t="shared" si="121"/>
        <v>8</v>
      </c>
      <c r="C218" s="1">
        <f t="shared" si="122"/>
        <v>9</v>
      </c>
      <c r="D218" s="10" t="str">
        <f t="shared" si="123"/>
        <v>2</v>
      </c>
      <c r="E218" s="1">
        <f t="shared" si="124"/>
        <v>11</v>
      </c>
      <c r="F218" s="1">
        <f t="shared" si="125"/>
        <v>0</v>
      </c>
      <c r="G218" s="1">
        <f t="shared" si="126"/>
        <v>29</v>
      </c>
      <c r="H218" s="1">
        <f t="shared" si="133"/>
        <v>29</v>
      </c>
      <c r="I218" s="10" t="str">
        <f t="shared" si="127"/>
        <v>UpYGMA_WDR_AGC_PT0</v>
      </c>
      <c r="J218" s="1">
        <f t="shared" si="134"/>
        <v>0</v>
      </c>
      <c r="K218" s="1">
        <f t="shared" si="128"/>
        <v>0</v>
      </c>
      <c r="L218" s="1" t="str">
        <f t="shared" si="129"/>
        <v>0</v>
      </c>
      <c r="M218" s="10">
        <f t="shared" si="130"/>
        <v>0</v>
      </c>
      <c r="N218" s="1">
        <f t="shared" si="131"/>
        <v>32</v>
      </c>
      <c r="O218" s="1">
        <f t="shared" si="116"/>
        <v>0</v>
      </c>
      <c r="P218" s="1">
        <f t="shared" si="132"/>
        <v>69</v>
      </c>
      <c r="Q218" s="3" t="str">
        <f t="shared" si="104"/>
        <v xml:space="preserve"> Apply Y Gamma1 interlocking point 0 </v>
      </c>
      <c r="R218" s="11">
        <f t="shared" si="117"/>
        <v>430</v>
      </c>
      <c r="S218" s="11"/>
      <c r="T218" s="13" t="str">
        <f t="shared" si="118"/>
        <v>1AE</v>
      </c>
      <c r="U218" s="14" t="str">
        <f t="shared" si="135"/>
        <v>UpYGMA_WDR_AGC_PT0</v>
      </c>
      <c r="V218" s="13" t="str">
        <f t="shared" si="136"/>
        <v>2</v>
      </c>
      <c r="W218" s="13">
        <f t="shared" si="137"/>
        <v>0</v>
      </c>
      <c r="X218" s="14" t="str">
        <f t="shared" si="138"/>
        <v xml:space="preserve"> Apply Y Gamma1 interlocking point 0 </v>
      </c>
      <c r="Y218" s="1">
        <f t="shared" si="139"/>
        <v>1</v>
      </c>
      <c r="Z218" s="1">
        <f t="shared" si="140"/>
        <v>2</v>
      </c>
      <c r="AA218" s="1">
        <f t="shared" si="141"/>
        <v>0</v>
      </c>
      <c r="AB218" s="1">
        <f t="shared" si="142"/>
        <v>0</v>
      </c>
      <c r="AC218" s="10" t="e">
        <f t="shared" si="143"/>
        <v>#VALUE!</v>
      </c>
      <c r="AD218" s="1" t="e">
        <f t="shared" si="144"/>
        <v>#VALUE!</v>
      </c>
      <c r="AF218" s="3" t="e">
        <f t="shared" si="145"/>
        <v>#VALUE!</v>
      </c>
      <c r="AG218" s="5" t="str">
        <f t="shared" si="146"/>
        <v>UpYGMA_WDR_AGC_PT0)/* Apply Y Gamma1 interlocking point 0 *</v>
      </c>
      <c r="AH218" s="3">
        <f t="shared" si="147"/>
        <v>2</v>
      </c>
      <c r="AI218" s="3">
        <f t="shared" si="148"/>
        <v>0</v>
      </c>
      <c r="AJ218" s="7">
        <f t="shared" si="149"/>
        <v>1</v>
      </c>
    </row>
    <row r="219" spans="1:36" x14ac:dyDescent="0.3">
      <c r="A219" s="15" t="s">
        <v>205</v>
      </c>
      <c r="B219" s="1">
        <f t="shared" si="121"/>
        <v>8</v>
      </c>
      <c r="C219" s="1">
        <f t="shared" si="122"/>
        <v>9</v>
      </c>
      <c r="D219" s="10" t="str">
        <f t="shared" si="123"/>
        <v>2</v>
      </c>
      <c r="E219" s="1">
        <f t="shared" si="124"/>
        <v>11</v>
      </c>
      <c r="F219" s="1">
        <f t="shared" si="125"/>
        <v>0</v>
      </c>
      <c r="G219" s="1">
        <f t="shared" si="126"/>
        <v>29</v>
      </c>
      <c r="H219" s="1">
        <f t="shared" si="133"/>
        <v>29</v>
      </c>
      <c r="I219" s="10" t="str">
        <f t="shared" si="127"/>
        <v>UpYGMA_WDR_AGC_PT1</v>
      </c>
      <c r="J219" s="1">
        <f t="shared" si="134"/>
        <v>0</v>
      </c>
      <c r="K219" s="1">
        <f t="shared" si="128"/>
        <v>0</v>
      </c>
      <c r="L219" s="1" t="str">
        <f t="shared" si="129"/>
        <v>0</v>
      </c>
      <c r="M219" s="10">
        <f t="shared" si="130"/>
        <v>0</v>
      </c>
      <c r="N219" s="1">
        <f t="shared" si="131"/>
        <v>32</v>
      </c>
      <c r="O219" s="1">
        <f t="shared" si="116"/>
        <v>0</v>
      </c>
      <c r="P219" s="1">
        <f t="shared" si="132"/>
        <v>69</v>
      </c>
      <c r="Q219" s="3" t="str">
        <f t="shared" si="104"/>
        <v xml:space="preserve"> Apply Y Gamma2 interlocking point 1 </v>
      </c>
      <c r="R219" s="11">
        <f t="shared" si="117"/>
        <v>432</v>
      </c>
      <c r="S219" s="11"/>
      <c r="T219" s="13" t="str">
        <f t="shared" si="118"/>
        <v>1B0</v>
      </c>
      <c r="U219" s="14" t="str">
        <f t="shared" si="135"/>
        <v>UpYGMA_WDR_AGC_PT1</v>
      </c>
      <c r="V219" s="13" t="str">
        <f t="shared" si="136"/>
        <v>2</v>
      </c>
      <c r="W219" s="13">
        <f t="shared" si="137"/>
        <v>0</v>
      </c>
      <c r="X219" s="14" t="str">
        <f t="shared" si="138"/>
        <v xml:space="preserve"> Apply Y Gamma2 interlocking point 1 </v>
      </c>
      <c r="Y219" s="1">
        <f t="shared" si="139"/>
        <v>1</v>
      </c>
      <c r="Z219" s="1">
        <f t="shared" si="140"/>
        <v>2</v>
      </c>
      <c r="AA219" s="1">
        <f t="shared" si="141"/>
        <v>0</v>
      </c>
      <c r="AB219" s="1">
        <f t="shared" si="142"/>
        <v>0</v>
      </c>
      <c r="AC219" s="10" t="e">
        <f t="shared" si="143"/>
        <v>#VALUE!</v>
      </c>
      <c r="AD219" s="1" t="e">
        <f t="shared" si="144"/>
        <v>#VALUE!</v>
      </c>
      <c r="AF219" s="3" t="e">
        <f t="shared" si="145"/>
        <v>#VALUE!</v>
      </c>
      <c r="AG219" s="5" t="str">
        <f t="shared" si="146"/>
        <v>UpYGMA_WDR_AGC_PT1)/* Apply Y Gamma2 interlocking point 1 *</v>
      </c>
      <c r="AH219" s="3">
        <f t="shared" si="147"/>
        <v>2</v>
      </c>
      <c r="AI219" s="3">
        <f t="shared" si="148"/>
        <v>0</v>
      </c>
      <c r="AJ219" s="7">
        <f t="shared" si="149"/>
        <v>1</v>
      </c>
    </row>
    <row r="220" spans="1:36" x14ac:dyDescent="0.3">
      <c r="A220" s="15" t="s">
        <v>283</v>
      </c>
      <c r="B220" s="1">
        <f t="shared" si="121"/>
        <v>8</v>
      </c>
      <c r="C220" s="1">
        <f t="shared" si="122"/>
        <v>9</v>
      </c>
      <c r="D220" s="10" t="str">
        <f t="shared" si="123"/>
        <v>2</v>
      </c>
      <c r="E220" s="1">
        <f t="shared" si="124"/>
        <v>11</v>
      </c>
      <c r="F220" s="1">
        <f t="shared" si="125"/>
        <v>0</v>
      </c>
      <c r="G220" s="1">
        <f t="shared" si="126"/>
        <v>29</v>
      </c>
      <c r="H220" s="1">
        <f t="shared" si="133"/>
        <v>29</v>
      </c>
      <c r="I220" s="10" t="str">
        <f t="shared" si="127"/>
        <v>UpCGMA_WDR_AGC_PT0</v>
      </c>
      <c r="J220" s="1">
        <f t="shared" si="134"/>
        <v>0</v>
      </c>
      <c r="K220" s="1">
        <f t="shared" si="128"/>
        <v>0</v>
      </c>
      <c r="L220" s="1" t="str">
        <f t="shared" si="129"/>
        <v>0</v>
      </c>
      <c r="M220" s="10">
        <f t="shared" si="130"/>
        <v>0</v>
      </c>
      <c r="N220" s="1">
        <f t="shared" si="131"/>
        <v>32</v>
      </c>
      <c r="O220" s="1">
        <f t="shared" si="116"/>
        <v>0</v>
      </c>
      <c r="P220" s="1">
        <f t="shared" si="132"/>
        <v>69</v>
      </c>
      <c r="Q220" s="3" t="str">
        <f t="shared" si="104"/>
        <v xml:space="preserve"> Apply C Gamma1 interlocking point 0 </v>
      </c>
      <c r="R220" s="11">
        <f t="shared" si="117"/>
        <v>434</v>
      </c>
      <c r="S220" s="11"/>
      <c r="T220" s="13" t="str">
        <f t="shared" si="118"/>
        <v>1B2</v>
      </c>
      <c r="U220" s="14" t="str">
        <f t="shared" si="135"/>
        <v>UpCGMA_WDR_AGC_PT0</v>
      </c>
      <c r="V220" s="13" t="str">
        <f t="shared" si="136"/>
        <v>2</v>
      </c>
      <c r="W220" s="13">
        <f t="shared" si="137"/>
        <v>0</v>
      </c>
      <c r="X220" s="14" t="str">
        <f t="shared" si="138"/>
        <v xml:space="preserve"> Apply C Gamma1 interlocking point 0 </v>
      </c>
      <c r="Y220" s="1">
        <f t="shared" si="139"/>
        <v>1</v>
      </c>
      <c r="Z220" s="1">
        <f t="shared" si="140"/>
        <v>2</v>
      </c>
      <c r="AA220" s="1">
        <f t="shared" si="141"/>
        <v>0</v>
      </c>
      <c r="AB220" s="1">
        <f t="shared" si="142"/>
        <v>0</v>
      </c>
      <c r="AC220" s="10" t="e">
        <f t="shared" si="143"/>
        <v>#VALUE!</v>
      </c>
      <c r="AD220" s="1" t="e">
        <f t="shared" si="144"/>
        <v>#VALUE!</v>
      </c>
      <c r="AF220" s="3" t="e">
        <f t="shared" si="145"/>
        <v>#VALUE!</v>
      </c>
      <c r="AG220" s="5" t="str">
        <f t="shared" si="146"/>
        <v>UpCGMA_WDR_AGC_PT0)/* Apply C Gamma1 interlocking point 0 *</v>
      </c>
      <c r="AH220" s="3">
        <f t="shared" si="147"/>
        <v>2</v>
      </c>
      <c r="AI220" s="3">
        <f t="shared" si="148"/>
        <v>0</v>
      </c>
      <c r="AJ220" s="7">
        <f t="shared" si="149"/>
        <v>1</v>
      </c>
    </row>
    <row r="221" spans="1:36" x14ac:dyDescent="0.3">
      <c r="A221" s="15" t="s">
        <v>206</v>
      </c>
      <c r="B221" s="1">
        <f t="shared" si="121"/>
        <v>8</v>
      </c>
      <c r="C221" s="1">
        <f t="shared" si="122"/>
        <v>9</v>
      </c>
      <c r="D221" s="10" t="str">
        <f t="shared" si="123"/>
        <v>2</v>
      </c>
      <c r="E221" s="1">
        <f t="shared" si="124"/>
        <v>11</v>
      </c>
      <c r="F221" s="1">
        <f t="shared" si="125"/>
        <v>0</v>
      </c>
      <c r="G221" s="1">
        <f t="shared" si="126"/>
        <v>29</v>
      </c>
      <c r="H221" s="1">
        <f t="shared" si="133"/>
        <v>29</v>
      </c>
      <c r="I221" s="10" t="str">
        <f t="shared" si="127"/>
        <v>UpCGMA_WDR_AGC_PT1</v>
      </c>
      <c r="J221" s="1">
        <f t="shared" si="134"/>
        <v>0</v>
      </c>
      <c r="K221" s="1">
        <f t="shared" si="128"/>
        <v>0</v>
      </c>
      <c r="L221" s="1" t="str">
        <f t="shared" si="129"/>
        <v>0</v>
      </c>
      <c r="M221" s="10">
        <f t="shared" si="130"/>
        <v>0</v>
      </c>
      <c r="N221" s="1">
        <f t="shared" si="131"/>
        <v>32</v>
      </c>
      <c r="O221" s="1">
        <f t="shared" si="116"/>
        <v>0</v>
      </c>
      <c r="P221" s="1">
        <f t="shared" si="132"/>
        <v>69</v>
      </c>
      <c r="Q221" s="3" t="str">
        <f t="shared" si="104"/>
        <v xml:space="preserve"> Apply C Gamma2 interlocking point 1 </v>
      </c>
      <c r="R221" s="11">
        <f t="shared" si="117"/>
        <v>436</v>
      </c>
      <c r="S221" s="11"/>
      <c r="T221" s="13" t="str">
        <f t="shared" si="118"/>
        <v>1B4</v>
      </c>
      <c r="U221" s="14" t="str">
        <f t="shared" si="135"/>
        <v>UpCGMA_WDR_AGC_PT1</v>
      </c>
      <c r="V221" s="13" t="str">
        <f t="shared" si="136"/>
        <v>2</v>
      </c>
      <c r="W221" s="13">
        <f t="shared" si="137"/>
        <v>0</v>
      </c>
      <c r="X221" s="14" t="str">
        <f t="shared" si="138"/>
        <v xml:space="preserve"> Apply C Gamma2 interlocking point 1 </v>
      </c>
      <c r="Y221" s="1">
        <f t="shared" si="139"/>
        <v>1</v>
      </c>
      <c r="Z221" s="1">
        <f t="shared" si="140"/>
        <v>2</v>
      </c>
      <c r="AA221" s="1">
        <f t="shared" si="141"/>
        <v>0</v>
      </c>
      <c r="AB221" s="1">
        <f t="shared" si="142"/>
        <v>0</v>
      </c>
      <c r="AC221" s="10" t="e">
        <f t="shared" si="143"/>
        <v>#VALUE!</v>
      </c>
      <c r="AD221" s="1" t="e">
        <f t="shared" si="144"/>
        <v>#VALUE!</v>
      </c>
      <c r="AF221" s="3" t="e">
        <f t="shared" si="145"/>
        <v>#VALUE!</v>
      </c>
      <c r="AG221" s="5" t="str">
        <f t="shared" si="146"/>
        <v>UpCGMA_WDR_AGC_PT1)/* Apply C Gamma2 interlocking point 1 *</v>
      </c>
      <c r="AH221" s="3">
        <f t="shared" si="147"/>
        <v>2</v>
      </c>
      <c r="AI221" s="3">
        <f t="shared" si="148"/>
        <v>0</v>
      </c>
      <c r="AJ221" s="7">
        <f t="shared" si="149"/>
        <v>1</v>
      </c>
    </row>
    <row r="222" spans="1:36" x14ac:dyDescent="0.3">
      <c r="A222" s="15" t="s">
        <v>37</v>
      </c>
      <c r="B222" s="1">
        <f t="shared" si="121"/>
        <v>0</v>
      </c>
      <c r="C222" s="1">
        <f t="shared" si="122"/>
        <v>0</v>
      </c>
      <c r="D222" s="10">
        <f t="shared" si="123"/>
        <v>0</v>
      </c>
      <c r="E222" s="1">
        <f t="shared" si="124"/>
        <v>0</v>
      </c>
      <c r="F222" s="1">
        <f t="shared" si="125"/>
        <v>0</v>
      </c>
      <c r="G222" s="1">
        <f t="shared" si="126"/>
        <v>0</v>
      </c>
      <c r="H222" s="1">
        <f t="shared" si="133"/>
        <v>0</v>
      </c>
      <c r="I222" s="10">
        <f t="shared" si="127"/>
        <v>0</v>
      </c>
      <c r="J222" s="1">
        <f t="shared" si="134"/>
        <v>0</v>
      </c>
      <c r="K222" s="1">
        <f t="shared" si="128"/>
        <v>0</v>
      </c>
      <c r="L222" s="1" t="str">
        <f t="shared" si="129"/>
        <v>0</v>
      </c>
      <c r="M222" s="10">
        <f t="shared" si="130"/>
        <v>0</v>
      </c>
      <c r="N222" s="1">
        <f t="shared" si="131"/>
        <v>3</v>
      </c>
      <c r="O222" s="1">
        <f t="shared" si="116"/>
        <v>0</v>
      </c>
      <c r="P222" s="1">
        <f t="shared" si="132"/>
        <v>38</v>
      </c>
      <c r="Q222" s="3" t="str">
        <f t="shared" si="104"/>
        <v>---------------　DNR　---------------</v>
      </c>
      <c r="R222" s="11">
        <f t="shared" si="117"/>
        <v>438</v>
      </c>
      <c r="S222" s="11"/>
      <c r="T222" s="13" t="str">
        <f t="shared" si="118"/>
        <v>*</v>
      </c>
      <c r="U222" s="14" t="str">
        <f t="shared" ref="U222:U284" si="150">IF(A222="",IF(A221="","",$U$1),  IF(B222=0,Q222,I222)  )</f>
        <v>---------------　DNR　---------------</v>
      </c>
      <c r="V222" s="13">
        <f t="shared" ref="V222:V284" si="151">IF(U222=$U$1,"",IF(A222="",IF(A221="","",1),  IF(B222=0,1,D222)  ))</f>
        <v>1</v>
      </c>
      <c r="W222" s="13">
        <f t="shared" ref="W222:W284" si="152">IF(U222=$U$1,"",IF(A222="",IF(A221="","",0),  IF(C222=0,0,0)  ))</f>
        <v>0</v>
      </c>
      <c r="X222" s="14" t="str">
        <f t="shared" si="103"/>
        <v>-</v>
      </c>
      <c r="Y222" s="1">
        <f t="shared" si="108"/>
        <v>0</v>
      </c>
      <c r="Z222" s="1">
        <f t="shared" si="109"/>
        <v>2</v>
      </c>
      <c r="AA222" s="1">
        <f t="shared" si="102"/>
        <v>0</v>
      </c>
      <c r="AB222" s="1">
        <f t="shared" si="110"/>
        <v>0</v>
      </c>
      <c r="AC222" s="10" t="e">
        <f t="shared" si="111"/>
        <v>#VALUE!</v>
      </c>
      <c r="AD222" s="1" t="e">
        <f t="shared" si="119"/>
        <v>#VALUE!</v>
      </c>
      <c r="AF222" s="3" t="str">
        <f t="shared" si="112"/>
        <v>0</v>
      </c>
      <c r="AG222" s="5" t="str">
        <f t="shared" si="113"/>
        <v>---------------　DNR　---------------</v>
      </c>
      <c r="AH222" s="3" t="str">
        <f t="shared" si="114"/>
        <v>1</v>
      </c>
      <c r="AI222" s="3" t="str">
        <f t="shared" si="115"/>
        <v>0</v>
      </c>
      <c r="AJ222" s="7">
        <f t="shared" si="120"/>
        <v>1</v>
      </c>
    </row>
    <row r="223" spans="1:36" x14ac:dyDescent="0.3">
      <c r="A223" s="15" t="s">
        <v>165</v>
      </c>
      <c r="B223" s="1">
        <f t="shared" si="121"/>
        <v>0</v>
      </c>
      <c r="C223" s="1">
        <f t="shared" si="122"/>
        <v>0</v>
      </c>
      <c r="D223" s="10">
        <f t="shared" si="123"/>
        <v>0</v>
      </c>
      <c r="E223" s="1">
        <f t="shared" si="124"/>
        <v>0</v>
      </c>
      <c r="F223" s="1">
        <f t="shared" si="125"/>
        <v>0</v>
      </c>
      <c r="G223" s="1">
        <f t="shared" si="126"/>
        <v>0</v>
      </c>
      <c r="H223" s="1">
        <f t="shared" si="133"/>
        <v>0</v>
      </c>
      <c r="I223" s="10">
        <f t="shared" si="127"/>
        <v>0</v>
      </c>
      <c r="J223" s="1">
        <f t="shared" si="134"/>
        <v>0</v>
      </c>
      <c r="K223" s="1">
        <f t="shared" si="128"/>
        <v>0</v>
      </c>
      <c r="L223" s="1" t="str">
        <f t="shared" si="129"/>
        <v>0</v>
      </c>
      <c r="M223" s="10">
        <f t="shared" si="130"/>
        <v>0</v>
      </c>
      <c r="N223" s="1">
        <f t="shared" si="131"/>
        <v>3</v>
      </c>
      <c r="O223" s="1">
        <f t="shared" si="116"/>
        <v>1</v>
      </c>
      <c r="P223" s="1">
        <f t="shared" si="132"/>
        <v>14</v>
      </c>
      <c r="Q223" s="3" t="str">
        <f t="shared" si="104"/>
        <v>DNR_AGC_PT</v>
      </c>
      <c r="R223" s="11">
        <f t="shared" si="117"/>
        <v>438</v>
      </c>
      <c r="S223" s="11"/>
      <c r="T223" s="13" t="str">
        <f t="shared" si="118"/>
        <v>#</v>
      </c>
      <c r="U223" s="14" t="str">
        <f t="shared" si="150"/>
        <v>DNR_AGC_PT</v>
      </c>
      <c r="V223" s="13">
        <f t="shared" si="151"/>
        <v>1</v>
      </c>
      <c r="W223" s="13">
        <f t="shared" si="152"/>
        <v>0</v>
      </c>
      <c r="X223" s="14" t="str">
        <f t="shared" si="103"/>
        <v>-</v>
      </c>
      <c r="Y223" s="1">
        <f t="shared" si="108"/>
        <v>0</v>
      </c>
      <c r="Z223" s="1">
        <f t="shared" si="109"/>
        <v>2</v>
      </c>
      <c r="AA223" s="1">
        <f t="shared" si="102"/>
        <v>0</v>
      </c>
      <c r="AB223" s="1">
        <f t="shared" si="110"/>
        <v>0</v>
      </c>
      <c r="AC223" s="10" t="e">
        <f t="shared" si="111"/>
        <v>#VALUE!</v>
      </c>
      <c r="AD223" s="1" t="e">
        <f t="shared" si="119"/>
        <v>#VALUE!</v>
      </c>
      <c r="AF223" s="3" t="str">
        <f t="shared" si="112"/>
        <v>0</v>
      </c>
      <c r="AG223" s="5" t="str">
        <f t="shared" si="113"/>
        <v>#DNR_AGC_PT</v>
      </c>
      <c r="AH223" s="3" t="str">
        <f t="shared" si="114"/>
        <v>1</v>
      </c>
      <c r="AI223" s="3" t="str">
        <f t="shared" si="115"/>
        <v>0</v>
      </c>
      <c r="AJ223" s="7">
        <f t="shared" si="120"/>
        <v>1</v>
      </c>
    </row>
    <row r="224" spans="1:36" x14ac:dyDescent="0.3">
      <c r="A224" s="15" t="s">
        <v>506</v>
      </c>
      <c r="B224" s="1">
        <f t="shared" si="121"/>
        <v>8</v>
      </c>
      <c r="C224" s="1">
        <f t="shared" si="122"/>
        <v>9</v>
      </c>
      <c r="D224" s="10" t="str">
        <f t="shared" si="123"/>
        <v>2</v>
      </c>
      <c r="E224" s="1">
        <f t="shared" si="124"/>
        <v>11</v>
      </c>
      <c r="F224" s="1">
        <f t="shared" si="125"/>
        <v>24</v>
      </c>
      <c r="G224" s="1">
        <f t="shared" si="126"/>
        <v>29</v>
      </c>
      <c r="H224" s="1">
        <f t="shared" si="133"/>
        <v>24</v>
      </c>
      <c r="I224" s="10" t="str">
        <f t="shared" si="127"/>
        <v>UpDNR_AGC_PT0</v>
      </c>
      <c r="J224" s="1">
        <f t="shared" si="134"/>
        <v>26</v>
      </c>
      <c r="K224" s="1" t="str">
        <f t="shared" si="128"/>
        <v>460</v>
      </c>
      <c r="L224" s="1" t="str">
        <f t="shared" si="129"/>
        <v>1CC</v>
      </c>
      <c r="M224" s="10">
        <f t="shared" si="130"/>
        <v>460</v>
      </c>
      <c r="N224" s="1">
        <f t="shared" si="131"/>
        <v>32</v>
      </c>
      <c r="O224" s="1">
        <f t="shared" si="116"/>
        <v>0</v>
      </c>
      <c r="P224" s="1">
        <f t="shared" si="132"/>
        <v>96</v>
      </c>
      <c r="Q224" s="3" t="str">
        <f t="shared" si="104"/>
        <v xml:space="preserve"> AGC interlocking point 0 in DNR function (0x0 ~ UpDNR_AGC_PT1) </v>
      </c>
      <c r="R224" s="11">
        <f t="shared" si="117"/>
        <v>460</v>
      </c>
      <c r="S224" s="11"/>
      <c r="T224" s="13" t="str">
        <f t="shared" si="118"/>
        <v>1CC</v>
      </c>
      <c r="U224" s="14" t="str">
        <f t="shared" si="150"/>
        <v>UpDNR_AGC_PT0</v>
      </c>
      <c r="V224" s="13" t="str">
        <f t="shared" si="151"/>
        <v>2</v>
      </c>
      <c r="W224" s="13">
        <f t="shared" si="152"/>
        <v>0</v>
      </c>
      <c r="X224" s="14" t="str">
        <f t="shared" si="103"/>
        <v xml:space="preserve"> AGC interlocking point 0 in DNR function (0x0 ~ UpDNR_AGC_PT1) </v>
      </c>
      <c r="Y224" s="1">
        <f t="shared" si="108"/>
        <v>1</v>
      </c>
      <c r="Z224" s="1">
        <f t="shared" si="109"/>
        <v>2</v>
      </c>
      <c r="AA224" s="1">
        <f t="shared" si="102"/>
        <v>26</v>
      </c>
      <c r="AB224" s="1" t="str">
        <f t="shared" si="110"/>
        <v>460)/* AGC interlocking point 0 in DNR function (0x0 ~ UpDNR_AGC_PT1) *</v>
      </c>
      <c r="AC224" s="10" t="str">
        <f t="shared" si="111"/>
        <v>460)/* AGC interlocking point 0 in DNR function (0x0 ~ UpDNR_AGC_PT1) *</v>
      </c>
      <c r="AD224" s="1" t="e">
        <f t="shared" si="119"/>
        <v>#VALUE!</v>
      </c>
      <c r="AF224" s="3" t="e">
        <f t="shared" si="112"/>
        <v>#VALUE!</v>
      </c>
      <c r="AG224" s="5" t="str">
        <f t="shared" si="113"/>
        <v>UpDNR_AGC_PT0</v>
      </c>
      <c r="AH224" s="3">
        <f t="shared" si="114"/>
        <v>2</v>
      </c>
      <c r="AI224" s="3">
        <f t="shared" si="115"/>
        <v>0</v>
      </c>
      <c r="AJ224" s="7">
        <f t="shared" si="120"/>
        <v>1</v>
      </c>
    </row>
    <row r="225" spans="1:36" x14ac:dyDescent="0.3">
      <c r="A225" s="15" t="s">
        <v>190</v>
      </c>
      <c r="B225" s="1">
        <f t="shared" si="121"/>
        <v>8</v>
      </c>
      <c r="C225" s="1">
        <f t="shared" si="122"/>
        <v>9</v>
      </c>
      <c r="D225" s="10" t="str">
        <f t="shared" si="123"/>
        <v>2</v>
      </c>
      <c r="E225" s="1">
        <f t="shared" si="124"/>
        <v>11</v>
      </c>
      <c r="F225" s="1">
        <f t="shared" si="125"/>
        <v>0</v>
      </c>
      <c r="G225" s="1">
        <f t="shared" si="126"/>
        <v>24</v>
      </c>
      <c r="H225" s="1">
        <f t="shared" si="133"/>
        <v>24</v>
      </c>
      <c r="I225" s="10" t="str">
        <f t="shared" si="127"/>
        <v>UpDNR_AGC_PT1</v>
      </c>
      <c r="J225" s="1">
        <f t="shared" si="134"/>
        <v>0</v>
      </c>
      <c r="K225" s="1">
        <f t="shared" si="128"/>
        <v>0</v>
      </c>
      <c r="L225" s="1" t="str">
        <f t="shared" si="129"/>
        <v>0</v>
      </c>
      <c r="M225" s="10">
        <f t="shared" si="130"/>
        <v>0</v>
      </c>
      <c r="N225" s="1">
        <f t="shared" si="131"/>
        <v>27</v>
      </c>
      <c r="O225" s="1">
        <f t="shared" si="116"/>
        <v>0</v>
      </c>
      <c r="P225" s="1">
        <f t="shared" si="132"/>
        <v>91</v>
      </c>
      <c r="Q225" s="3" t="str">
        <f t="shared" si="104"/>
        <v xml:space="preserve"> AGC interlocking point 1 in DNR function (0x0 ~ UpDNR_AGC_PT2) </v>
      </c>
      <c r="R225" s="11">
        <f t="shared" si="117"/>
        <v>462</v>
      </c>
      <c r="S225" s="11"/>
      <c r="T225" s="13" t="str">
        <f t="shared" si="118"/>
        <v>1CE</v>
      </c>
      <c r="U225" s="14" t="str">
        <f t="shared" si="150"/>
        <v>UpDNR_AGC_PT1</v>
      </c>
      <c r="V225" s="13" t="str">
        <f t="shared" si="151"/>
        <v>2</v>
      </c>
      <c r="W225" s="13">
        <f t="shared" si="152"/>
        <v>0</v>
      </c>
      <c r="X225" s="14" t="str">
        <f t="shared" si="103"/>
        <v xml:space="preserve"> AGC interlocking point 1 in DNR function (0x0 ~ UpDNR_AGC_PT2) </v>
      </c>
      <c r="Y225" s="1">
        <f t="shared" si="108"/>
        <v>1</v>
      </c>
      <c r="Z225" s="1">
        <f t="shared" si="109"/>
        <v>2</v>
      </c>
      <c r="AA225" s="1">
        <f t="shared" si="102"/>
        <v>0</v>
      </c>
      <c r="AB225" s="1">
        <f t="shared" si="110"/>
        <v>0</v>
      </c>
      <c r="AC225" s="10" t="e">
        <f t="shared" si="111"/>
        <v>#VALUE!</v>
      </c>
      <c r="AD225" s="1" t="e">
        <f t="shared" si="119"/>
        <v>#VALUE!</v>
      </c>
      <c r="AF225" s="3" t="e">
        <f t="shared" si="112"/>
        <v>#VALUE!</v>
      </c>
      <c r="AG225" s="5" t="str">
        <f t="shared" si="113"/>
        <v>UpDNR_AGC_PT1)/* AGC interlocking point 1 in DNR function (0x0 ~ UpDNR_AGC_PT2) *</v>
      </c>
      <c r="AH225" s="3">
        <f t="shared" si="114"/>
        <v>2</v>
      </c>
      <c r="AI225" s="3">
        <f t="shared" si="115"/>
        <v>0</v>
      </c>
      <c r="AJ225" s="7">
        <f t="shared" si="120"/>
        <v>1</v>
      </c>
    </row>
    <row r="226" spans="1:36" x14ac:dyDescent="0.3">
      <c r="A226" s="15" t="s">
        <v>191</v>
      </c>
      <c r="B226" s="1">
        <f t="shared" si="121"/>
        <v>8</v>
      </c>
      <c r="C226" s="1">
        <f t="shared" si="122"/>
        <v>9</v>
      </c>
      <c r="D226" s="10" t="str">
        <f t="shared" si="123"/>
        <v>2</v>
      </c>
      <c r="E226" s="1">
        <f t="shared" si="124"/>
        <v>11</v>
      </c>
      <c r="F226" s="1">
        <f t="shared" si="125"/>
        <v>0</v>
      </c>
      <c r="G226" s="1">
        <f t="shared" si="126"/>
        <v>24</v>
      </c>
      <c r="H226" s="1">
        <f t="shared" si="133"/>
        <v>24</v>
      </c>
      <c r="I226" s="10" t="str">
        <f t="shared" si="127"/>
        <v>UpDNR_AGC_PT2</v>
      </c>
      <c r="J226" s="1">
        <f t="shared" si="134"/>
        <v>0</v>
      </c>
      <c r="K226" s="1">
        <f t="shared" si="128"/>
        <v>0</v>
      </c>
      <c r="L226" s="1" t="str">
        <f t="shared" si="129"/>
        <v>0</v>
      </c>
      <c r="M226" s="10">
        <f t="shared" si="130"/>
        <v>0</v>
      </c>
      <c r="N226" s="1">
        <f t="shared" si="131"/>
        <v>27</v>
      </c>
      <c r="O226" s="1">
        <f t="shared" si="116"/>
        <v>0</v>
      </c>
      <c r="P226" s="1">
        <f t="shared" si="132"/>
        <v>91</v>
      </c>
      <c r="Q226" s="3" t="str">
        <f t="shared" si="104"/>
        <v xml:space="preserve"> AGC interlocking point 2 in DNR function (0x0 ~ AGC Max value) </v>
      </c>
      <c r="R226" s="11">
        <f t="shared" si="117"/>
        <v>464</v>
      </c>
      <c r="S226" s="11"/>
      <c r="T226" s="13" t="str">
        <f t="shared" si="118"/>
        <v>1D0</v>
      </c>
      <c r="U226" s="14" t="str">
        <f t="shared" si="150"/>
        <v>UpDNR_AGC_PT2</v>
      </c>
      <c r="V226" s="13" t="str">
        <f t="shared" si="151"/>
        <v>2</v>
      </c>
      <c r="W226" s="13">
        <f t="shared" si="152"/>
        <v>0</v>
      </c>
      <c r="X226" s="14" t="str">
        <f t="shared" si="103"/>
        <v xml:space="preserve"> AGC interlocking point 2 in DNR function (0x0 ~ AGC Max value) </v>
      </c>
      <c r="Y226" s="1">
        <f t="shared" si="108"/>
        <v>1</v>
      </c>
      <c r="Z226" s="1">
        <f t="shared" si="109"/>
        <v>2</v>
      </c>
      <c r="AA226" s="1">
        <f t="shared" si="102"/>
        <v>0</v>
      </c>
      <c r="AB226" s="1">
        <f t="shared" si="110"/>
        <v>0</v>
      </c>
      <c r="AC226" s="10" t="e">
        <f t="shared" si="111"/>
        <v>#VALUE!</v>
      </c>
      <c r="AD226" s="1" t="e">
        <f t="shared" si="119"/>
        <v>#VALUE!</v>
      </c>
      <c r="AF226" s="3" t="e">
        <f t="shared" si="112"/>
        <v>#VALUE!</v>
      </c>
      <c r="AG226" s="5" t="str">
        <f t="shared" si="113"/>
        <v>UpDNR_AGC_PT2)/* AGC interlocking point 2 in DNR function (0x0 ~ AGC Max value) *</v>
      </c>
      <c r="AH226" s="3">
        <f t="shared" si="114"/>
        <v>2</v>
      </c>
      <c r="AI226" s="3">
        <f t="shared" si="115"/>
        <v>0</v>
      </c>
      <c r="AJ226" s="7">
        <f t="shared" si="120"/>
        <v>1</v>
      </c>
    </row>
    <row r="227" spans="1:36" x14ac:dyDescent="0.3">
      <c r="A227" s="15" t="s">
        <v>197</v>
      </c>
      <c r="B227" s="1">
        <f t="shared" si="121"/>
        <v>8</v>
      </c>
      <c r="C227" s="1">
        <f t="shared" si="122"/>
        <v>9</v>
      </c>
      <c r="D227" s="10" t="str">
        <f t="shared" si="123"/>
        <v>2</v>
      </c>
      <c r="E227" s="1">
        <f t="shared" si="124"/>
        <v>11</v>
      </c>
      <c r="F227" s="1">
        <f t="shared" si="125"/>
        <v>0</v>
      </c>
      <c r="G227" s="1">
        <f t="shared" si="126"/>
        <v>28</v>
      </c>
      <c r="H227" s="1">
        <f t="shared" si="133"/>
        <v>28</v>
      </c>
      <c r="I227" s="10" t="str">
        <f t="shared" si="127"/>
        <v>UpDNR_WDR_AGC_PT0</v>
      </c>
      <c r="J227" s="1">
        <f t="shared" si="134"/>
        <v>0</v>
      </c>
      <c r="K227" s="1">
        <f t="shared" si="128"/>
        <v>0</v>
      </c>
      <c r="L227" s="1" t="str">
        <f t="shared" si="129"/>
        <v>0</v>
      </c>
      <c r="M227" s="10">
        <f t="shared" si="130"/>
        <v>0</v>
      </c>
      <c r="N227" s="1">
        <f t="shared" si="131"/>
        <v>31</v>
      </c>
      <c r="O227" s="1">
        <f t="shared" si="116"/>
        <v>0</v>
      </c>
      <c r="P227" s="1">
        <f t="shared" si="132"/>
        <v>106</v>
      </c>
      <c r="Q227" s="3" t="str">
        <f t="shared" si="104"/>
        <v xml:space="preserve"> AGC interlocking point 0 in DNR function of WDR (0x0 ~ UpDNR_WDR_AGC_PT1) </v>
      </c>
      <c r="R227" s="11">
        <f t="shared" si="117"/>
        <v>466</v>
      </c>
      <c r="S227" s="11"/>
      <c r="T227" s="13" t="str">
        <f t="shared" si="118"/>
        <v>1D2</v>
      </c>
      <c r="U227" s="14" t="str">
        <f t="shared" si="150"/>
        <v>UpDNR_WDR_AGC_PT0</v>
      </c>
      <c r="V227" s="13" t="str">
        <f t="shared" si="151"/>
        <v>2</v>
      </c>
      <c r="W227" s="13">
        <f t="shared" si="152"/>
        <v>0</v>
      </c>
      <c r="X227" s="14" t="str">
        <f t="shared" si="103"/>
        <v xml:space="preserve"> AGC interlocking point 0 in DNR function of WDR (0x0 ~ UpDNR_WDR_AGC_PT1) </v>
      </c>
      <c r="Y227" s="1">
        <f t="shared" si="108"/>
        <v>1</v>
      </c>
      <c r="Z227" s="1">
        <f t="shared" si="109"/>
        <v>2</v>
      </c>
      <c r="AA227" s="1">
        <f t="shared" si="102"/>
        <v>0</v>
      </c>
      <c r="AB227" s="1">
        <f t="shared" si="110"/>
        <v>0</v>
      </c>
      <c r="AC227" s="10" t="e">
        <f t="shared" si="111"/>
        <v>#VALUE!</v>
      </c>
      <c r="AD227" s="1" t="e">
        <f t="shared" si="119"/>
        <v>#VALUE!</v>
      </c>
      <c r="AF227" s="3" t="e">
        <f t="shared" si="112"/>
        <v>#VALUE!</v>
      </c>
      <c r="AG227" s="5" t="str">
        <f t="shared" si="113"/>
        <v>UpDNR_WDR_AGC_PT0)/* AGC interlocking point 0 in DNR function of WDR (0x0 ~ UpDNR_WDR_AGC_PT1) *</v>
      </c>
      <c r="AH227" s="3">
        <f t="shared" si="114"/>
        <v>2</v>
      </c>
      <c r="AI227" s="3">
        <f t="shared" si="115"/>
        <v>0</v>
      </c>
      <c r="AJ227" s="7">
        <f t="shared" si="120"/>
        <v>1</v>
      </c>
    </row>
    <row r="228" spans="1:36" x14ac:dyDescent="0.3">
      <c r="A228" s="15" t="s">
        <v>198</v>
      </c>
      <c r="B228" s="1">
        <f t="shared" si="121"/>
        <v>8</v>
      </c>
      <c r="C228" s="1">
        <f t="shared" si="122"/>
        <v>9</v>
      </c>
      <c r="D228" s="10" t="str">
        <f t="shared" si="123"/>
        <v>2</v>
      </c>
      <c r="E228" s="1">
        <f t="shared" si="124"/>
        <v>11</v>
      </c>
      <c r="F228" s="1">
        <f t="shared" si="125"/>
        <v>0</v>
      </c>
      <c r="G228" s="1">
        <f t="shared" si="126"/>
        <v>28</v>
      </c>
      <c r="H228" s="1">
        <f t="shared" si="133"/>
        <v>28</v>
      </c>
      <c r="I228" s="10" t="str">
        <f t="shared" si="127"/>
        <v>UpDNR_WDR_AGC_PT1</v>
      </c>
      <c r="J228" s="1">
        <f t="shared" si="134"/>
        <v>0</v>
      </c>
      <c r="K228" s="1">
        <f t="shared" si="128"/>
        <v>0</v>
      </c>
      <c r="L228" s="1" t="str">
        <f t="shared" si="129"/>
        <v>0</v>
      </c>
      <c r="M228" s="10">
        <f t="shared" si="130"/>
        <v>0</v>
      </c>
      <c r="N228" s="1">
        <f t="shared" si="131"/>
        <v>31</v>
      </c>
      <c r="O228" s="1">
        <f t="shared" si="116"/>
        <v>0</v>
      </c>
      <c r="P228" s="1">
        <f t="shared" si="132"/>
        <v>106</v>
      </c>
      <c r="Q228" s="3" t="str">
        <f t="shared" si="104"/>
        <v xml:space="preserve"> AGC interlocking point 1 in DNR function of WDR (0x0 ~ UpDNR_WDR_AGC_PT2) </v>
      </c>
      <c r="R228" s="11">
        <f t="shared" si="117"/>
        <v>468</v>
      </c>
      <c r="S228" s="11"/>
      <c r="T228" s="13" t="str">
        <f t="shared" si="118"/>
        <v>1D4</v>
      </c>
      <c r="U228" s="14" t="str">
        <f t="shared" si="150"/>
        <v>UpDNR_WDR_AGC_PT1</v>
      </c>
      <c r="V228" s="13" t="str">
        <f t="shared" si="151"/>
        <v>2</v>
      </c>
      <c r="W228" s="13">
        <f t="shared" si="152"/>
        <v>0</v>
      </c>
      <c r="X228" s="14" t="str">
        <f t="shared" si="103"/>
        <v xml:space="preserve"> AGC interlocking point 1 in DNR function of WDR (0x0 ~ UpDNR_WDR_AGC_PT2) </v>
      </c>
      <c r="Y228" s="1">
        <f t="shared" si="108"/>
        <v>1</v>
      </c>
      <c r="Z228" s="1">
        <f t="shared" si="109"/>
        <v>2</v>
      </c>
      <c r="AA228" s="1">
        <f t="shared" ref="AA228:AA291" si="153">IFERROR(FIND("=",A228)+1,0)</f>
        <v>0</v>
      </c>
      <c r="AB228" s="1">
        <f t="shared" si="110"/>
        <v>0</v>
      </c>
      <c r="AC228" s="10" t="e">
        <f t="shared" si="111"/>
        <v>#VALUE!</v>
      </c>
      <c r="AD228" s="1" t="e">
        <f t="shared" si="119"/>
        <v>#VALUE!</v>
      </c>
      <c r="AF228" s="3" t="e">
        <f t="shared" si="112"/>
        <v>#VALUE!</v>
      </c>
      <c r="AG228" s="5" t="str">
        <f t="shared" si="113"/>
        <v>UpDNR_WDR_AGC_PT1)/* AGC interlocking point 1 in DNR function of WDR (0x0 ~ UpDNR_WDR_AGC_PT2) *</v>
      </c>
      <c r="AH228" s="3">
        <f t="shared" si="114"/>
        <v>2</v>
      </c>
      <c r="AI228" s="3">
        <f t="shared" si="115"/>
        <v>0</v>
      </c>
      <c r="AJ228" s="7">
        <f t="shared" si="120"/>
        <v>1</v>
      </c>
    </row>
    <row r="229" spans="1:36" x14ac:dyDescent="0.3">
      <c r="A229" s="15" t="s">
        <v>199</v>
      </c>
      <c r="B229" s="1">
        <f t="shared" si="121"/>
        <v>8</v>
      </c>
      <c r="C229" s="1">
        <f t="shared" si="122"/>
        <v>9</v>
      </c>
      <c r="D229" s="10" t="str">
        <f t="shared" si="123"/>
        <v>2</v>
      </c>
      <c r="E229" s="1">
        <f t="shared" si="124"/>
        <v>11</v>
      </c>
      <c r="F229" s="1">
        <f t="shared" si="125"/>
        <v>0</v>
      </c>
      <c r="G229" s="1">
        <f t="shared" si="126"/>
        <v>28</v>
      </c>
      <c r="H229" s="1">
        <f t="shared" si="133"/>
        <v>28</v>
      </c>
      <c r="I229" s="10" t="str">
        <f t="shared" si="127"/>
        <v>UpDNR_WDR_AGC_PT2</v>
      </c>
      <c r="J229" s="1">
        <f t="shared" si="134"/>
        <v>0</v>
      </c>
      <c r="K229" s="1">
        <f t="shared" si="128"/>
        <v>0</v>
      </c>
      <c r="L229" s="1" t="str">
        <f t="shared" si="129"/>
        <v>0</v>
      </c>
      <c r="M229" s="10">
        <f t="shared" si="130"/>
        <v>0</v>
      </c>
      <c r="N229" s="1">
        <f t="shared" si="131"/>
        <v>31</v>
      </c>
      <c r="O229" s="1">
        <f t="shared" si="116"/>
        <v>0</v>
      </c>
      <c r="P229" s="1">
        <f t="shared" si="132"/>
        <v>102</v>
      </c>
      <c r="Q229" s="3" t="str">
        <f t="shared" si="104"/>
        <v xml:space="preserve"> AGC interlocking point 2 in DNR function of WDR (0x0 ~ AGC Max value) </v>
      </c>
      <c r="R229" s="11">
        <f t="shared" si="117"/>
        <v>470</v>
      </c>
      <c r="S229" s="11"/>
      <c r="T229" s="13" t="str">
        <f t="shared" si="118"/>
        <v>1D6</v>
      </c>
      <c r="U229" s="14" t="str">
        <f t="shared" si="150"/>
        <v>UpDNR_WDR_AGC_PT2</v>
      </c>
      <c r="V229" s="13" t="str">
        <f t="shared" si="151"/>
        <v>2</v>
      </c>
      <c r="W229" s="13">
        <f t="shared" si="152"/>
        <v>0</v>
      </c>
      <c r="X229" s="14" t="str">
        <f t="shared" si="103"/>
        <v xml:space="preserve"> AGC interlocking point 2 in DNR function of WDR (0x0 ~ AGC Max value) </v>
      </c>
      <c r="Y229" s="1">
        <f t="shared" si="108"/>
        <v>1</v>
      </c>
      <c r="Z229" s="1">
        <f t="shared" si="109"/>
        <v>2</v>
      </c>
      <c r="AA229" s="1">
        <f t="shared" si="153"/>
        <v>0</v>
      </c>
      <c r="AB229" s="1">
        <f t="shared" si="110"/>
        <v>0</v>
      </c>
      <c r="AC229" s="10" t="e">
        <f t="shared" si="111"/>
        <v>#VALUE!</v>
      </c>
      <c r="AD229" s="1" t="e">
        <f t="shared" si="119"/>
        <v>#VALUE!</v>
      </c>
      <c r="AF229" s="3" t="e">
        <f t="shared" si="112"/>
        <v>#VALUE!</v>
      </c>
      <c r="AG229" s="5" t="str">
        <f t="shared" si="113"/>
        <v>UpDNR_WDR_AGC_PT2)/* AGC interlocking point 2 in DNR function of WDR (0x0 ~ AGC Max value) *</v>
      </c>
      <c r="AH229" s="3">
        <f t="shared" si="114"/>
        <v>2</v>
      </c>
      <c r="AI229" s="3">
        <f t="shared" si="115"/>
        <v>0</v>
      </c>
      <c r="AJ229" s="7">
        <f t="shared" si="120"/>
        <v>1</v>
      </c>
    </row>
    <row r="230" spans="1:36" x14ac:dyDescent="0.3">
      <c r="A230" s="15" t="s">
        <v>192</v>
      </c>
      <c r="B230" s="1">
        <f t="shared" si="121"/>
        <v>0</v>
      </c>
      <c r="C230" s="1">
        <f t="shared" si="122"/>
        <v>0</v>
      </c>
      <c r="D230" s="10">
        <f t="shared" si="123"/>
        <v>0</v>
      </c>
      <c r="E230" s="1">
        <f t="shared" si="124"/>
        <v>0</v>
      </c>
      <c r="F230" s="1">
        <f t="shared" si="125"/>
        <v>0</v>
      </c>
      <c r="G230" s="1">
        <f t="shared" si="126"/>
        <v>0</v>
      </c>
      <c r="H230" s="1">
        <f t="shared" si="133"/>
        <v>0</v>
      </c>
      <c r="I230" s="10">
        <f t="shared" si="127"/>
        <v>0</v>
      </c>
      <c r="J230" s="1">
        <f t="shared" si="134"/>
        <v>0</v>
      </c>
      <c r="K230" s="1">
        <f t="shared" si="128"/>
        <v>0</v>
      </c>
      <c r="L230" s="1" t="str">
        <f t="shared" si="129"/>
        <v>0</v>
      </c>
      <c r="M230" s="10">
        <f t="shared" si="130"/>
        <v>0</v>
      </c>
      <c r="N230" s="1">
        <f t="shared" si="131"/>
        <v>3</v>
      </c>
      <c r="O230" s="1">
        <f t="shared" si="116"/>
        <v>1</v>
      </c>
      <c r="P230" s="1">
        <f t="shared" si="132"/>
        <v>16</v>
      </c>
      <c r="Q230" s="3" t="str">
        <f t="shared" si="104"/>
        <v>DNR_VAL_OFST</v>
      </c>
      <c r="R230" s="11">
        <f t="shared" si="117"/>
        <v>472</v>
      </c>
      <c r="S230" s="11"/>
      <c r="T230" s="13" t="str">
        <f t="shared" si="118"/>
        <v>#</v>
      </c>
      <c r="U230" s="14" t="str">
        <f t="shared" si="150"/>
        <v>DNR_VAL_OFST</v>
      </c>
      <c r="V230" s="13">
        <f t="shared" si="151"/>
        <v>1</v>
      </c>
      <c r="W230" s="13">
        <f t="shared" si="152"/>
        <v>0</v>
      </c>
      <c r="X230" s="14" t="str">
        <f t="shared" si="103"/>
        <v>-</v>
      </c>
      <c r="Y230" s="1">
        <f t="shared" si="108"/>
        <v>0</v>
      </c>
      <c r="Z230" s="1">
        <f t="shared" si="109"/>
        <v>2</v>
      </c>
      <c r="AA230" s="1">
        <f t="shared" si="153"/>
        <v>0</v>
      </c>
      <c r="AB230" s="1">
        <f t="shared" si="110"/>
        <v>0</v>
      </c>
      <c r="AC230" s="10" t="e">
        <f t="shared" si="111"/>
        <v>#VALUE!</v>
      </c>
      <c r="AD230" s="1" t="e">
        <f t="shared" si="119"/>
        <v>#VALUE!</v>
      </c>
      <c r="AF230" s="3" t="str">
        <f t="shared" si="112"/>
        <v>0</v>
      </c>
      <c r="AG230" s="5" t="str">
        <f t="shared" si="113"/>
        <v>#DNR_VAL_OFST</v>
      </c>
      <c r="AH230" s="3" t="str">
        <f t="shared" si="114"/>
        <v>1</v>
      </c>
      <c r="AI230" s="3" t="str">
        <f t="shared" si="115"/>
        <v>0</v>
      </c>
      <c r="AJ230" s="7">
        <f t="shared" si="120"/>
        <v>1</v>
      </c>
    </row>
    <row r="231" spans="1:36" x14ac:dyDescent="0.3">
      <c r="A231" s="15" t="s">
        <v>284</v>
      </c>
      <c r="B231" s="1">
        <f t="shared" si="121"/>
        <v>8</v>
      </c>
      <c r="C231" s="1">
        <f t="shared" si="122"/>
        <v>9</v>
      </c>
      <c r="D231" s="10" t="str">
        <f t="shared" si="123"/>
        <v>1</v>
      </c>
      <c r="E231" s="1">
        <f t="shared" si="124"/>
        <v>11</v>
      </c>
      <c r="F231" s="1">
        <f t="shared" si="125"/>
        <v>0</v>
      </c>
      <c r="G231" s="1">
        <f t="shared" si="126"/>
        <v>31</v>
      </c>
      <c r="H231" s="1">
        <f t="shared" si="133"/>
        <v>31</v>
      </c>
      <c r="I231" s="10" t="str">
        <f t="shared" si="127"/>
        <v>UpDNR_AGC_OFST_PVAL0</v>
      </c>
      <c r="J231" s="1">
        <f t="shared" si="134"/>
        <v>0</v>
      </c>
      <c r="K231" s="1">
        <f t="shared" si="128"/>
        <v>0</v>
      </c>
      <c r="L231" s="1" t="str">
        <f t="shared" si="129"/>
        <v>0</v>
      </c>
      <c r="M231" s="10">
        <f t="shared" si="130"/>
        <v>0</v>
      </c>
      <c r="N231" s="1">
        <f t="shared" si="131"/>
        <v>34</v>
      </c>
      <c r="O231" s="1">
        <f t="shared" si="116"/>
        <v>0</v>
      </c>
      <c r="P231" s="1">
        <f t="shared" si="132"/>
        <v>67</v>
      </c>
      <c r="Q231" s="3" t="str">
        <f t="shared" si="104"/>
        <v xml:space="preserve"> DNR Q-table point 0 plus offset </v>
      </c>
      <c r="R231" s="11">
        <f t="shared" si="117"/>
        <v>472</v>
      </c>
      <c r="S231" s="11"/>
      <c r="T231" s="13" t="str">
        <f t="shared" si="118"/>
        <v>1D8</v>
      </c>
      <c r="U231" s="14" t="str">
        <f t="shared" si="150"/>
        <v>UpDNR_AGC_OFST_PVAL0</v>
      </c>
      <c r="V231" s="13" t="str">
        <f t="shared" si="151"/>
        <v>1</v>
      </c>
      <c r="W231" s="13">
        <f t="shared" si="152"/>
        <v>0</v>
      </c>
      <c r="X231" s="14" t="str">
        <f t="shared" si="103"/>
        <v xml:space="preserve"> DNR Q-table point 0 plus offset </v>
      </c>
      <c r="Y231" s="1">
        <f t="shared" si="108"/>
        <v>1</v>
      </c>
      <c r="Z231" s="1">
        <f t="shared" si="109"/>
        <v>1</v>
      </c>
      <c r="AA231" s="1">
        <f t="shared" si="153"/>
        <v>0</v>
      </c>
      <c r="AB231" s="1">
        <f t="shared" si="110"/>
        <v>0</v>
      </c>
      <c r="AC231" s="10" t="e">
        <f t="shared" si="111"/>
        <v>#VALUE!</v>
      </c>
      <c r="AD231" s="1" t="e">
        <f t="shared" si="119"/>
        <v>#VALUE!</v>
      </c>
      <c r="AF231" s="3" t="e">
        <f t="shared" si="112"/>
        <v>#VALUE!</v>
      </c>
      <c r="AG231" s="5" t="str">
        <f t="shared" si="113"/>
        <v>UpDNR_AGC_OFST_PVAL0)/* DNR Q-table point 0 plus offset *</v>
      </c>
      <c r="AH231" s="3">
        <f t="shared" si="114"/>
        <v>1</v>
      </c>
      <c r="AI231" s="3">
        <f t="shared" si="115"/>
        <v>0</v>
      </c>
      <c r="AJ231" s="7">
        <f t="shared" si="120"/>
        <v>1</v>
      </c>
    </row>
    <row r="232" spans="1:36" x14ac:dyDescent="0.3">
      <c r="A232" s="15" t="s">
        <v>285</v>
      </c>
      <c r="B232" s="1">
        <f t="shared" si="121"/>
        <v>8</v>
      </c>
      <c r="C232" s="1">
        <f t="shared" si="122"/>
        <v>9</v>
      </c>
      <c r="D232" s="10" t="str">
        <f t="shared" si="123"/>
        <v>1</v>
      </c>
      <c r="E232" s="1">
        <f t="shared" si="124"/>
        <v>11</v>
      </c>
      <c r="F232" s="1">
        <f t="shared" si="125"/>
        <v>0</v>
      </c>
      <c r="G232" s="1">
        <f t="shared" si="126"/>
        <v>31</v>
      </c>
      <c r="H232" s="1">
        <f t="shared" si="133"/>
        <v>31</v>
      </c>
      <c r="I232" s="10" t="str">
        <f t="shared" si="127"/>
        <v>UpDNR_AGC_OFST_PVAL1</v>
      </c>
      <c r="J232" s="1">
        <f t="shared" si="134"/>
        <v>0</v>
      </c>
      <c r="K232" s="1">
        <f t="shared" si="128"/>
        <v>0</v>
      </c>
      <c r="L232" s="1" t="str">
        <f t="shared" si="129"/>
        <v>0</v>
      </c>
      <c r="M232" s="10">
        <f t="shared" si="130"/>
        <v>0</v>
      </c>
      <c r="N232" s="1">
        <f t="shared" si="131"/>
        <v>34</v>
      </c>
      <c r="O232" s="1">
        <f t="shared" si="116"/>
        <v>0</v>
      </c>
      <c r="P232" s="1">
        <f t="shared" si="132"/>
        <v>67</v>
      </c>
      <c r="Q232" s="3" t="str">
        <f t="shared" si="104"/>
        <v xml:space="preserve"> DNR Q-table point 1 plus offset </v>
      </c>
      <c r="R232" s="11">
        <f t="shared" si="117"/>
        <v>473</v>
      </c>
      <c r="S232" s="11"/>
      <c r="T232" s="13" t="str">
        <f t="shared" si="118"/>
        <v>1D9</v>
      </c>
      <c r="U232" s="14" t="str">
        <f t="shared" si="150"/>
        <v>UpDNR_AGC_OFST_PVAL1</v>
      </c>
      <c r="V232" s="13" t="str">
        <f t="shared" si="151"/>
        <v>1</v>
      </c>
      <c r="W232" s="13">
        <f t="shared" si="152"/>
        <v>0</v>
      </c>
      <c r="X232" s="14" t="str">
        <f t="shared" si="103"/>
        <v xml:space="preserve"> DNR Q-table point 1 plus offset </v>
      </c>
      <c r="Y232" s="1">
        <f t="shared" si="108"/>
        <v>1</v>
      </c>
      <c r="Z232" s="1">
        <f t="shared" si="109"/>
        <v>1</v>
      </c>
      <c r="AA232" s="1">
        <f t="shared" si="153"/>
        <v>0</v>
      </c>
      <c r="AB232" s="1">
        <f t="shared" si="110"/>
        <v>0</v>
      </c>
      <c r="AC232" s="10" t="e">
        <f t="shared" si="111"/>
        <v>#VALUE!</v>
      </c>
      <c r="AD232" s="1" t="e">
        <f t="shared" si="119"/>
        <v>#VALUE!</v>
      </c>
      <c r="AF232" s="3" t="e">
        <f t="shared" si="112"/>
        <v>#VALUE!</v>
      </c>
      <c r="AG232" s="5" t="str">
        <f t="shared" si="113"/>
        <v>UpDNR_AGC_OFST_PVAL1)/* DNR Q-table point 1 plus offset *</v>
      </c>
      <c r="AH232" s="3">
        <f t="shared" si="114"/>
        <v>1</v>
      </c>
      <c r="AI232" s="3">
        <f t="shared" si="115"/>
        <v>0</v>
      </c>
      <c r="AJ232" s="7">
        <f t="shared" si="120"/>
        <v>1</v>
      </c>
    </row>
    <row r="233" spans="1:36" x14ac:dyDescent="0.3">
      <c r="A233" s="15" t="s">
        <v>286</v>
      </c>
      <c r="B233" s="1">
        <f t="shared" si="121"/>
        <v>8</v>
      </c>
      <c r="C233" s="1">
        <f t="shared" si="122"/>
        <v>9</v>
      </c>
      <c r="D233" s="10" t="str">
        <f t="shared" si="123"/>
        <v>1</v>
      </c>
      <c r="E233" s="1">
        <f t="shared" si="124"/>
        <v>11</v>
      </c>
      <c r="F233" s="1">
        <f t="shared" si="125"/>
        <v>0</v>
      </c>
      <c r="G233" s="1">
        <f t="shared" si="126"/>
        <v>31</v>
      </c>
      <c r="H233" s="1">
        <f t="shared" si="133"/>
        <v>31</v>
      </c>
      <c r="I233" s="10" t="str">
        <f t="shared" si="127"/>
        <v>UpDNR_AGC_OFST_PVAL2</v>
      </c>
      <c r="J233" s="1">
        <f t="shared" si="134"/>
        <v>0</v>
      </c>
      <c r="K233" s="1">
        <f t="shared" si="128"/>
        <v>0</v>
      </c>
      <c r="L233" s="1" t="str">
        <f t="shared" si="129"/>
        <v>0</v>
      </c>
      <c r="M233" s="10">
        <f t="shared" si="130"/>
        <v>0</v>
      </c>
      <c r="N233" s="1">
        <f t="shared" si="131"/>
        <v>34</v>
      </c>
      <c r="O233" s="1">
        <f t="shared" si="116"/>
        <v>0</v>
      </c>
      <c r="P233" s="1">
        <f t="shared" si="132"/>
        <v>67</v>
      </c>
      <c r="Q233" s="3" t="str">
        <f t="shared" si="104"/>
        <v xml:space="preserve"> DNR Q-table point 2 plus offset </v>
      </c>
      <c r="R233" s="11">
        <f t="shared" si="117"/>
        <v>474</v>
      </c>
      <c r="S233" s="11"/>
      <c r="T233" s="13" t="str">
        <f t="shared" si="118"/>
        <v>1DA</v>
      </c>
      <c r="U233" s="14" t="str">
        <f t="shared" si="150"/>
        <v>UpDNR_AGC_OFST_PVAL2</v>
      </c>
      <c r="V233" s="13" t="str">
        <f t="shared" si="151"/>
        <v>1</v>
      </c>
      <c r="W233" s="13">
        <f t="shared" si="152"/>
        <v>0</v>
      </c>
      <c r="X233" s="14" t="str">
        <f t="shared" si="103"/>
        <v xml:space="preserve"> DNR Q-table point 2 plus offset </v>
      </c>
      <c r="Y233" s="1">
        <f t="shared" si="108"/>
        <v>1</v>
      </c>
      <c r="Z233" s="1">
        <f t="shared" si="109"/>
        <v>1</v>
      </c>
      <c r="AA233" s="1">
        <f t="shared" si="153"/>
        <v>0</v>
      </c>
      <c r="AB233" s="1">
        <f t="shared" si="110"/>
        <v>0</v>
      </c>
      <c r="AC233" s="10" t="e">
        <f t="shared" si="111"/>
        <v>#VALUE!</v>
      </c>
      <c r="AD233" s="1" t="e">
        <f t="shared" si="119"/>
        <v>#VALUE!</v>
      </c>
      <c r="AF233" s="3" t="e">
        <f t="shared" si="112"/>
        <v>#VALUE!</v>
      </c>
      <c r="AG233" s="5" t="str">
        <f t="shared" si="113"/>
        <v>UpDNR_AGC_OFST_PVAL2)/* DNR Q-table point 2 plus offset *</v>
      </c>
      <c r="AH233" s="3">
        <f t="shared" si="114"/>
        <v>1</v>
      </c>
      <c r="AI233" s="3">
        <f t="shared" si="115"/>
        <v>0</v>
      </c>
      <c r="AJ233" s="7">
        <f t="shared" si="120"/>
        <v>1</v>
      </c>
    </row>
    <row r="234" spans="1:36" x14ac:dyDescent="0.3">
      <c r="A234" s="15" t="s">
        <v>287</v>
      </c>
      <c r="B234" s="1">
        <f t="shared" si="121"/>
        <v>8</v>
      </c>
      <c r="C234" s="1">
        <f t="shared" si="122"/>
        <v>9</v>
      </c>
      <c r="D234" s="10" t="str">
        <f t="shared" si="123"/>
        <v>1</v>
      </c>
      <c r="E234" s="1">
        <f t="shared" si="124"/>
        <v>11</v>
      </c>
      <c r="F234" s="1">
        <f t="shared" si="125"/>
        <v>0</v>
      </c>
      <c r="G234" s="1">
        <f t="shared" si="126"/>
        <v>31</v>
      </c>
      <c r="H234" s="1">
        <f t="shared" si="133"/>
        <v>31</v>
      </c>
      <c r="I234" s="10" t="str">
        <f t="shared" si="127"/>
        <v>UpDNR_AGC_OFST_MVAL0</v>
      </c>
      <c r="J234" s="1">
        <f t="shared" si="134"/>
        <v>0</v>
      </c>
      <c r="K234" s="1">
        <f t="shared" si="128"/>
        <v>0</v>
      </c>
      <c r="L234" s="1" t="str">
        <f t="shared" si="129"/>
        <v>0</v>
      </c>
      <c r="M234" s="10">
        <f t="shared" si="130"/>
        <v>0</v>
      </c>
      <c r="N234" s="1">
        <f t="shared" si="131"/>
        <v>34</v>
      </c>
      <c r="O234" s="1">
        <f t="shared" si="116"/>
        <v>0</v>
      </c>
      <c r="P234" s="1">
        <f t="shared" si="132"/>
        <v>68</v>
      </c>
      <c r="Q234" s="3" t="str">
        <f t="shared" si="104"/>
        <v xml:space="preserve"> DNR Q-table point 0 minus offset </v>
      </c>
      <c r="R234" s="11">
        <f t="shared" si="117"/>
        <v>475</v>
      </c>
      <c r="S234" s="11"/>
      <c r="T234" s="13" t="str">
        <f t="shared" si="118"/>
        <v>1DB</v>
      </c>
      <c r="U234" s="14" t="str">
        <f t="shared" si="150"/>
        <v>UpDNR_AGC_OFST_MVAL0</v>
      </c>
      <c r="V234" s="13" t="str">
        <f t="shared" si="151"/>
        <v>1</v>
      </c>
      <c r="W234" s="13">
        <f t="shared" si="152"/>
        <v>0</v>
      </c>
      <c r="X234" s="14" t="str">
        <f t="shared" si="103"/>
        <v xml:space="preserve"> DNR Q-table point 0 minus offset </v>
      </c>
      <c r="Y234" s="1">
        <f t="shared" si="108"/>
        <v>1</v>
      </c>
      <c r="Z234" s="1">
        <f t="shared" si="109"/>
        <v>1</v>
      </c>
      <c r="AA234" s="1">
        <f t="shared" si="153"/>
        <v>0</v>
      </c>
      <c r="AB234" s="1">
        <f t="shared" si="110"/>
        <v>0</v>
      </c>
      <c r="AC234" s="10" t="e">
        <f t="shared" si="111"/>
        <v>#VALUE!</v>
      </c>
      <c r="AD234" s="1" t="e">
        <f t="shared" si="119"/>
        <v>#VALUE!</v>
      </c>
      <c r="AF234" s="3" t="e">
        <f t="shared" si="112"/>
        <v>#VALUE!</v>
      </c>
      <c r="AG234" s="5" t="str">
        <f t="shared" si="113"/>
        <v>UpDNR_AGC_OFST_MVAL0)/* DNR Q-table point 0 minus offset *</v>
      </c>
      <c r="AH234" s="3">
        <f t="shared" si="114"/>
        <v>1</v>
      </c>
      <c r="AI234" s="3">
        <f t="shared" si="115"/>
        <v>0</v>
      </c>
      <c r="AJ234" s="7">
        <f t="shared" si="120"/>
        <v>1</v>
      </c>
    </row>
    <row r="235" spans="1:36" x14ac:dyDescent="0.3">
      <c r="A235" s="15" t="s">
        <v>288</v>
      </c>
      <c r="B235" s="1">
        <f t="shared" si="121"/>
        <v>8</v>
      </c>
      <c r="C235" s="1">
        <f t="shared" si="122"/>
        <v>9</v>
      </c>
      <c r="D235" s="10" t="str">
        <f t="shared" si="123"/>
        <v>1</v>
      </c>
      <c r="E235" s="1">
        <f t="shared" si="124"/>
        <v>11</v>
      </c>
      <c r="F235" s="1">
        <f t="shared" si="125"/>
        <v>0</v>
      </c>
      <c r="G235" s="1">
        <f t="shared" si="126"/>
        <v>31</v>
      </c>
      <c r="H235" s="1">
        <f t="shared" si="133"/>
        <v>31</v>
      </c>
      <c r="I235" s="10" t="str">
        <f t="shared" si="127"/>
        <v>UpDNR_AGC_OFST_MVAL1</v>
      </c>
      <c r="J235" s="1">
        <f t="shared" si="134"/>
        <v>0</v>
      </c>
      <c r="K235" s="1">
        <f t="shared" si="128"/>
        <v>0</v>
      </c>
      <c r="L235" s="1" t="str">
        <f t="shared" si="129"/>
        <v>0</v>
      </c>
      <c r="M235" s="10">
        <f t="shared" si="130"/>
        <v>0</v>
      </c>
      <c r="N235" s="1">
        <f t="shared" si="131"/>
        <v>34</v>
      </c>
      <c r="O235" s="1">
        <f t="shared" si="116"/>
        <v>0</v>
      </c>
      <c r="P235" s="1">
        <f t="shared" si="132"/>
        <v>68</v>
      </c>
      <c r="Q235" s="3" t="str">
        <f t="shared" si="104"/>
        <v xml:space="preserve"> DNR Q-table point 1 minus offset </v>
      </c>
      <c r="R235" s="11">
        <f t="shared" si="117"/>
        <v>476</v>
      </c>
      <c r="S235" s="11"/>
      <c r="T235" s="13" t="str">
        <f t="shared" si="118"/>
        <v>1DC</v>
      </c>
      <c r="U235" s="14" t="str">
        <f t="shared" si="150"/>
        <v>UpDNR_AGC_OFST_MVAL1</v>
      </c>
      <c r="V235" s="13" t="str">
        <f t="shared" si="151"/>
        <v>1</v>
      </c>
      <c r="W235" s="13">
        <f t="shared" si="152"/>
        <v>0</v>
      </c>
      <c r="X235" s="14" t="str">
        <f t="shared" si="103"/>
        <v xml:space="preserve"> DNR Q-table point 1 minus offset </v>
      </c>
      <c r="Y235" s="1">
        <f t="shared" si="108"/>
        <v>1</v>
      </c>
      <c r="Z235" s="1">
        <f t="shared" si="109"/>
        <v>1</v>
      </c>
      <c r="AA235" s="1">
        <f t="shared" si="153"/>
        <v>0</v>
      </c>
      <c r="AB235" s="1">
        <f t="shared" si="110"/>
        <v>0</v>
      </c>
      <c r="AC235" s="10" t="e">
        <f t="shared" si="111"/>
        <v>#VALUE!</v>
      </c>
      <c r="AD235" s="1" t="e">
        <f t="shared" si="119"/>
        <v>#VALUE!</v>
      </c>
      <c r="AF235" s="3" t="e">
        <f t="shared" si="112"/>
        <v>#VALUE!</v>
      </c>
      <c r="AG235" s="5" t="str">
        <f t="shared" si="113"/>
        <v>UpDNR_AGC_OFST_MVAL1)/* DNR Q-table point 1 minus offset *</v>
      </c>
      <c r="AH235" s="3">
        <f t="shared" si="114"/>
        <v>1</v>
      </c>
      <c r="AI235" s="3">
        <f t="shared" si="115"/>
        <v>0</v>
      </c>
      <c r="AJ235" s="7">
        <f t="shared" si="120"/>
        <v>1</v>
      </c>
    </row>
    <row r="236" spans="1:36" x14ac:dyDescent="0.3">
      <c r="A236" s="15" t="s">
        <v>289</v>
      </c>
      <c r="B236" s="1">
        <f t="shared" si="121"/>
        <v>8</v>
      </c>
      <c r="C236" s="1">
        <f t="shared" si="122"/>
        <v>9</v>
      </c>
      <c r="D236" s="10" t="str">
        <f t="shared" si="123"/>
        <v>1</v>
      </c>
      <c r="E236" s="1">
        <f t="shared" si="124"/>
        <v>11</v>
      </c>
      <c r="F236" s="1">
        <f t="shared" si="125"/>
        <v>0</v>
      </c>
      <c r="G236" s="1">
        <f t="shared" si="126"/>
        <v>31</v>
      </c>
      <c r="H236" s="1">
        <f t="shared" si="133"/>
        <v>31</v>
      </c>
      <c r="I236" s="10" t="str">
        <f t="shared" si="127"/>
        <v>UpDNR_AGC_OFST_MVAL2</v>
      </c>
      <c r="J236" s="1">
        <f t="shared" si="134"/>
        <v>0</v>
      </c>
      <c r="K236" s="1">
        <f t="shared" si="128"/>
        <v>0</v>
      </c>
      <c r="L236" s="1" t="str">
        <f t="shared" si="129"/>
        <v>0</v>
      </c>
      <c r="M236" s="10">
        <f t="shared" si="130"/>
        <v>0</v>
      </c>
      <c r="N236" s="1">
        <f t="shared" si="131"/>
        <v>34</v>
      </c>
      <c r="O236" s="1">
        <f t="shared" si="116"/>
        <v>0</v>
      </c>
      <c r="P236" s="1">
        <f t="shared" si="132"/>
        <v>68</v>
      </c>
      <c r="Q236" s="3" t="str">
        <f t="shared" si="104"/>
        <v xml:space="preserve"> DNR Q-table point 2 minus offset </v>
      </c>
      <c r="R236" s="11">
        <f t="shared" si="117"/>
        <v>477</v>
      </c>
      <c r="S236" s="11"/>
      <c r="T236" s="13" t="str">
        <f t="shared" si="118"/>
        <v>1DD</v>
      </c>
      <c r="U236" s="14" t="str">
        <f t="shared" si="150"/>
        <v>UpDNR_AGC_OFST_MVAL2</v>
      </c>
      <c r="V236" s="13" t="str">
        <f t="shared" si="151"/>
        <v>1</v>
      </c>
      <c r="W236" s="13">
        <f t="shared" si="152"/>
        <v>0</v>
      </c>
      <c r="X236" s="14" t="str">
        <f t="shared" si="103"/>
        <v xml:space="preserve"> DNR Q-table point 2 minus offset </v>
      </c>
      <c r="Y236" s="1">
        <f t="shared" si="108"/>
        <v>1</v>
      </c>
      <c r="Z236" s="1">
        <f t="shared" si="109"/>
        <v>1</v>
      </c>
      <c r="AA236" s="1">
        <f t="shared" si="153"/>
        <v>0</v>
      </c>
      <c r="AB236" s="1">
        <f t="shared" si="110"/>
        <v>0</v>
      </c>
      <c r="AC236" s="10" t="e">
        <f t="shared" si="111"/>
        <v>#VALUE!</v>
      </c>
      <c r="AD236" s="1" t="e">
        <f t="shared" si="119"/>
        <v>#VALUE!</v>
      </c>
      <c r="AF236" s="3" t="e">
        <f t="shared" si="112"/>
        <v>#VALUE!</v>
      </c>
      <c r="AG236" s="5" t="str">
        <f t="shared" si="113"/>
        <v>UpDNR_AGC_OFST_MVAL2)/* DNR Q-table point 2 minus offset *</v>
      </c>
      <c r="AH236" s="3">
        <f t="shared" si="114"/>
        <v>1</v>
      </c>
      <c r="AI236" s="3">
        <f t="shared" si="115"/>
        <v>0</v>
      </c>
      <c r="AJ236" s="7">
        <f t="shared" si="120"/>
        <v>1</v>
      </c>
    </row>
    <row r="237" spans="1:36" x14ac:dyDescent="0.3">
      <c r="A237" s="15" t="s">
        <v>193</v>
      </c>
      <c r="B237" s="1">
        <f t="shared" si="121"/>
        <v>0</v>
      </c>
      <c r="C237" s="1">
        <f t="shared" si="122"/>
        <v>0</v>
      </c>
      <c r="D237" s="10">
        <f t="shared" si="123"/>
        <v>0</v>
      </c>
      <c r="E237" s="1">
        <f t="shared" si="124"/>
        <v>0</v>
      </c>
      <c r="F237" s="1">
        <f t="shared" si="125"/>
        <v>0</v>
      </c>
      <c r="G237" s="1">
        <f t="shared" si="126"/>
        <v>0</v>
      </c>
      <c r="H237" s="1">
        <f t="shared" si="133"/>
        <v>0</v>
      </c>
      <c r="I237" s="10">
        <f t="shared" si="127"/>
        <v>0</v>
      </c>
      <c r="J237" s="1">
        <f t="shared" si="134"/>
        <v>0</v>
      </c>
      <c r="K237" s="1">
        <f t="shared" si="128"/>
        <v>0</v>
      </c>
      <c r="L237" s="1" t="str">
        <f t="shared" si="129"/>
        <v>0</v>
      </c>
      <c r="M237" s="10">
        <f t="shared" si="130"/>
        <v>0</v>
      </c>
      <c r="N237" s="1">
        <f t="shared" si="131"/>
        <v>3</v>
      </c>
      <c r="O237" s="1">
        <f t="shared" si="116"/>
        <v>1</v>
      </c>
      <c r="P237" s="1">
        <f t="shared" si="132"/>
        <v>18</v>
      </c>
      <c r="Q237" s="3" t="str">
        <f t="shared" si="104"/>
        <v>DNR_HPF_AGC_PT</v>
      </c>
      <c r="R237" s="11">
        <f t="shared" si="117"/>
        <v>478</v>
      </c>
      <c r="S237" s="11"/>
      <c r="T237" s="13" t="str">
        <f t="shared" si="118"/>
        <v>#</v>
      </c>
      <c r="U237" s="14" t="str">
        <f t="shared" si="150"/>
        <v>DNR_HPF_AGC_PT</v>
      </c>
      <c r="V237" s="13">
        <f t="shared" si="151"/>
        <v>1</v>
      </c>
      <c r="W237" s="13">
        <f t="shared" si="152"/>
        <v>0</v>
      </c>
      <c r="X237" s="14" t="str">
        <f t="shared" si="103"/>
        <v>-</v>
      </c>
      <c r="Y237" s="1">
        <f t="shared" si="108"/>
        <v>0</v>
      </c>
      <c r="Z237" s="1">
        <f t="shared" si="109"/>
        <v>1</v>
      </c>
      <c r="AA237" s="1">
        <f t="shared" si="153"/>
        <v>0</v>
      </c>
      <c r="AB237" s="1">
        <f t="shared" si="110"/>
        <v>0</v>
      </c>
      <c r="AC237" s="10" t="e">
        <f t="shared" si="111"/>
        <v>#VALUE!</v>
      </c>
      <c r="AD237" s="1" t="e">
        <f t="shared" si="119"/>
        <v>#VALUE!</v>
      </c>
      <c r="AF237" s="3" t="str">
        <f t="shared" si="112"/>
        <v>0</v>
      </c>
      <c r="AG237" s="5" t="str">
        <f t="shared" si="113"/>
        <v>#DNR_HPF_AGC_PT</v>
      </c>
      <c r="AH237" s="3" t="str">
        <f t="shared" si="114"/>
        <v>1</v>
      </c>
      <c r="AI237" s="3" t="str">
        <f t="shared" si="115"/>
        <v>0</v>
      </c>
      <c r="AJ237" s="7">
        <f t="shared" si="120"/>
        <v>1</v>
      </c>
    </row>
    <row r="238" spans="1:36" x14ac:dyDescent="0.3">
      <c r="A238" s="15" t="s">
        <v>194</v>
      </c>
      <c r="B238" s="1">
        <f t="shared" si="121"/>
        <v>8</v>
      </c>
      <c r="C238" s="1">
        <f t="shared" si="122"/>
        <v>9</v>
      </c>
      <c r="D238" s="10" t="str">
        <f t="shared" si="123"/>
        <v>2</v>
      </c>
      <c r="E238" s="1">
        <f t="shared" si="124"/>
        <v>11</v>
      </c>
      <c r="F238" s="1">
        <f t="shared" si="125"/>
        <v>0</v>
      </c>
      <c r="G238" s="1">
        <f t="shared" si="126"/>
        <v>28</v>
      </c>
      <c r="H238" s="1">
        <f t="shared" si="133"/>
        <v>28</v>
      </c>
      <c r="I238" s="10" t="str">
        <f t="shared" si="127"/>
        <v>UpDNR_AGC_HPF_PT0</v>
      </c>
      <c r="J238" s="1">
        <f t="shared" si="134"/>
        <v>0</v>
      </c>
      <c r="K238" s="1">
        <f t="shared" si="128"/>
        <v>0</v>
      </c>
      <c r="L238" s="1" t="str">
        <f t="shared" si="129"/>
        <v>0</v>
      </c>
      <c r="M238" s="10">
        <f t="shared" si="130"/>
        <v>0</v>
      </c>
      <c r="N238" s="1">
        <f t="shared" si="131"/>
        <v>31</v>
      </c>
      <c r="O238" s="1">
        <f t="shared" si="116"/>
        <v>0</v>
      </c>
      <c r="P238" s="1">
        <f t="shared" si="132"/>
        <v>99</v>
      </c>
      <c r="Q238" s="3" t="str">
        <f t="shared" si="104"/>
        <v xml:space="preserve"> AGC interlocking point 0 in DNR function (0x0 ~ UpDNR_AGC_HPF_PT1) </v>
      </c>
      <c r="R238" s="11">
        <f t="shared" si="117"/>
        <v>478</v>
      </c>
      <c r="S238" s="11"/>
      <c r="T238" s="13" t="str">
        <f t="shared" si="118"/>
        <v>1DE</v>
      </c>
      <c r="U238" s="14" t="str">
        <f t="shared" si="150"/>
        <v>UpDNR_AGC_HPF_PT0</v>
      </c>
      <c r="V238" s="13" t="str">
        <f t="shared" si="151"/>
        <v>2</v>
      </c>
      <c r="W238" s="13">
        <f t="shared" si="152"/>
        <v>0</v>
      </c>
      <c r="X238" s="14" t="str">
        <f t="shared" si="103"/>
        <v xml:space="preserve"> AGC interlocking point 0 in DNR function (0x0 ~ UpDNR_AGC_HPF_PT1) </v>
      </c>
      <c r="Y238" s="1">
        <f t="shared" si="108"/>
        <v>1</v>
      </c>
      <c r="Z238" s="1">
        <f t="shared" si="109"/>
        <v>2</v>
      </c>
      <c r="AA238" s="1">
        <f t="shared" si="153"/>
        <v>0</v>
      </c>
      <c r="AB238" s="1">
        <f t="shared" si="110"/>
        <v>0</v>
      </c>
      <c r="AC238" s="10" t="e">
        <f t="shared" si="111"/>
        <v>#VALUE!</v>
      </c>
      <c r="AD238" s="1" t="e">
        <f t="shared" si="119"/>
        <v>#VALUE!</v>
      </c>
      <c r="AF238" s="3" t="e">
        <f t="shared" si="112"/>
        <v>#VALUE!</v>
      </c>
      <c r="AG238" s="5" t="str">
        <f t="shared" si="113"/>
        <v>UpDNR_AGC_HPF_PT0)/* AGC interlocking point 0 in DNR function (0x0 ~ UpDNR_AGC_HPF_PT1) *</v>
      </c>
      <c r="AH238" s="3">
        <f t="shared" si="114"/>
        <v>2</v>
      </c>
      <c r="AI238" s="3">
        <f t="shared" si="115"/>
        <v>0</v>
      </c>
      <c r="AJ238" s="7">
        <f t="shared" si="120"/>
        <v>1</v>
      </c>
    </row>
    <row r="239" spans="1:36" x14ac:dyDescent="0.3">
      <c r="A239" s="15" t="s">
        <v>195</v>
      </c>
      <c r="B239" s="1">
        <f t="shared" si="121"/>
        <v>8</v>
      </c>
      <c r="C239" s="1">
        <f t="shared" si="122"/>
        <v>9</v>
      </c>
      <c r="D239" s="10" t="str">
        <f t="shared" si="123"/>
        <v>2</v>
      </c>
      <c r="E239" s="1">
        <f t="shared" si="124"/>
        <v>11</v>
      </c>
      <c r="F239" s="1">
        <f t="shared" si="125"/>
        <v>0</v>
      </c>
      <c r="G239" s="1">
        <f t="shared" si="126"/>
        <v>28</v>
      </c>
      <c r="H239" s="1">
        <f t="shared" si="133"/>
        <v>28</v>
      </c>
      <c r="I239" s="10" t="str">
        <f t="shared" si="127"/>
        <v>UpDNR_AGC_HPF_PT1</v>
      </c>
      <c r="J239" s="1">
        <f t="shared" si="134"/>
        <v>0</v>
      </c>
      <c r="K239" s="1">
        <f t="shared" si="128"/>
        <v>0</v>
      </c>
      <c r="L239" s="1" t="str">
        <f t="shared" si="129"/>
        <v>0</v>
      </c>
      <c r="M239" s="10">
        <f t="shared" si="130"/>
        <v>0</v>
      </c>
      <c r="N239" s="1">
        <f t="shared" si="131"/>
        <v>31</v>
      </c>
      <c r="O239" s="1">
        <f t="shared" si="116"/>
        <v>0</v>
      </c>
      <c r="P239" s="1">
        <f t="shared" si="132"/>
        <v>99</v>
      </c>
      <c r="Q239" s="3" t="str">
        <f t="shared" si="104"/>
        <v xml:space="preserve"> AGC interlocking point 1 in DNR function (0x0 ~ UpDNR_AGC_HPF_PT2) </v>
      </c>
      <c r="R239" s="11">
        <f t="shared" si="117"/>
        <v>480</v>
      </c>
      <c r="S239" s="11"/>
      <c r="T239" s="13" t="str">
        <f t="shared" si="118"/>
        <v>1E0</v>
      </c>
      <c r="U239" s="14" t="str">
        <f t="shared" si="150"/>
        <v>UpDNR_AGC_HPF_PT1</v>
      </c>
      <c r="V239" s="13" t="str">
        <f t="shared" si="151"/>
        <v>2</v>
      </c>
      <c r="W239" s="13">
        <f t="shared" si="152"/>
        <v>0</v>
      </c>
      <c r="X239" s="14" t="str">
        <f t="shared" si="103"/>
        <v xml:space="preserve"> AGC interlocking point 1 in DNR function (0x0 ~ UpDNR_AGC_HPF_PT2) </v>
      </c>
      <c r="Y239" s="1">
        <f t="shared" si="108"/>
        <v>1</v>
      </c>
      <c r="Z239" s="1">
        <f t="shared" si="109"/>
        <v>2</v>
      </c>
      <c r="AA239" s="1">
        <f t="shared" si="153"/>
        <v>0</v>
      </c>
      <c r="AB239" s="1">
        <f t="shared" si="110"/>
        <v>0</v>
      </c>
      <c r="AC239" s="10" t="e">
        <f t="shared" si="111"/>
        <v>#VALUE!</v>
      </c>
      <c r="AD239" s="1" t="e">
        <f t="shared" si="119"/>
        <v>#VALUE!</v>
      </c>
      <c r="AF239" s="3" t="e">
        <f t="shared" si="112"/>
        <v>#VALUE!</v>
      </c>
      <c r="AG239" s="5" t="str">
        <f t="shared" si="113"/>
        <v>UpDNR_AGC_HPF_PT1)/* AGC interlocking point 1 in DNR function (0x0 ~ UpDNR_AGC_HPF_PT2) *</v>
      </c>
      <c r="AH239" s="3">
        <f t="shared" si="114"/>
        <v>2</v>
      </c>
      <c r="AI239" s="3">
        <f t="shared" si="115"/>
        <v>0</v>
      </c>
      <c r="AJ239" s="7">
        <f t="shared" si="120"/>
        <v>1</v>
      </c>
    </row>
    <row r="240" spans="1:36" x14ac:dyDescent="0.3">
      <c r="A240" s="15" t="s">
        <v>196</v>
      </c>
      <c r="B240" s="1">
        <f t="shared" si="121"/>
        <v>8</v>
      </c>
      <c r="C240" s="1">
        <f t="shared" si="122"/>
        <v>9</v>
      </c>
      <c r="D240" s="10" t="str">
        <f t="shared" si="123"/>
        <v>2</v>
      </c>
      <c r="E240" s="1">
        <f t="shared" si="124"/>
        <v>11</v>
      </c>
      <c r="F240" s="1">
        <f t="shared" si="125"/>
        <v>0</v>
      </c>
      <c r="G240" s="1">
        <f t="shared" si="126"/>
        <v>28</v>
      </c>
      <c r="H240" s="1">
        <f t="shared" si="133"/>
        <v>28</v>
      </c>
      <c r="I240" s="10" t="str">
        <f t="shared" si="127"/>
        <v>UpDNR_AGC_HPF_PT2</v>
      </c>
      <c r="J240" s="1">
        <f t="shared" si="134"/>
        <v>0</v>
      </c>
      <c r="K240" s="1">
        <f t="shared" si="128"/>
        <v>0</v>
      </c>
      <c r="L240" s="1" t="str">
        <f t="shared" si="129"/>
        <v>0</v>
      </c>
      <c r="M240" s="10">
        <f t="shared" si="130"/>
        <v>0</v>
      </c>
      <c r="N240" s="1">
        <f t="shared" si="131"/>
        <v>31</v>
      </c>
      <c r="O240" s="1">
        <f t="shared" si="116"/>
        <v>0</v>
      </c>
      <c r="P240" s="1">
        <f t="shared" si="132"/>
        <v>95</v>
      </c>
      <c r="Q240" s="3" t="str">
        <f t="shared" si="104"/>
        <v xml:space="preserve"> AGC interlocking point 2 in DNR function (0x0 ~ AGC Max value) </v>
      </c>
      <c r="R240" s="11">
        <f t="shared" si="117"/>
        <v>482</v>
      </c>
      <c r="S240" s="11"/>
      <c r="T240" s="13" t="str">
        <f t="shared" si="118"/>
        <v>1E2</v>
      </c>
      <c r="U240" s="14" t="str">
        <f t="shared" si="150"/>
        <v>UpDNR_AGC_HPF_PT2</v>
      </c>
      <c r="V240" s="13" t="str">
        <f t="shared" si="151"/>
        <v>2</v>
      </c>
      <c r="W240" s="13">
        <f t="shared" si="152"/>
        <v>0</v>
      </c>
      <c r="X240" s="14" t="str">
        <f t="shared" si="103"/>
        <v xml:space="preserve"> AGC interlocking point 2 in DNR function (0x0 ~ AGC Max value) </v>
      </c>
      <c r="Y240" s="1">
        <f t="shared" si="108"/>
        <v>1</v>
      </c>
      <c r="Z240" s="1">
        <f t="shared" si="109"/>
        <v>2</v>
      </c>
      <c r="AA240" s="1">
        <f t="shared" si="153"/>
        <v>0</v>
      </c>
      <c r="AB240" s="1">
        <f t="shared" si="110"/>
        <v>0</v>
      </c>
      <c r="AC240" s="10" t="e">
        <f t="shared" si="111"/>
        <v>#VALUE!</v>
      </c>
      <c r="AD240" s="1" t="e">
        <f t="shared" si="119"/>
        <v>#VALUE!</v>
      </c>
      <c r="AF240" s="3" t="e">
        <f t="shared" si="112"/>
        <v>#VALUE!</v>
      </c>
      <c r="AG240" s="5" t="str">
        <f t="shared" si="113"/>
        <v>UpDNR_AGC_HPF_PT2)/* AGC interlocking point 2 in DNR function (0x0 ~ AGC Max value) *</v>
      </c>
      <c r="AH240" s="3">
        <f t="shared" si="114"/>
        <v>2</v>
      </c>
      <c r="AI240" s="3">
        <f t="shared" si="115"/>
        <v>0</v>
      </c>
      <c r="AJ240" s="7">
        <f t="shared" si="120"/>
        <v>1</v>
      </c>
    </row>
    <row r="241" spans="1:36" x14ac:dyDescent="0.3">
      <c r="A241" s="15" t="s">
        <v>166</v>
      </c>
      <c r="B241" s="1">
        <f t="shared" si="121"/>
        <v>0</v>
      </c>
      <c r="C241" s="1">
        <f t="shared" si="122"/>
        <v>0</v>
      </c>
      <c r="D241" s="10">
        <f t="shared" si="123"/>
        <v>0</v>
      </c>
      <c r="E241" s="1">
        <f t="shared" si="124"/>
        <v>0</v>
      </c>
      <c r="F241" s="1">
        <f t="shared" si="125"/>
        <v>0</v>
      </c>
      <c r="G241" s="1">
        <f t="shared" si="126"/>
        <v>0</v>
      </c>
      <c r="H241" s="1">
        <f t="shared" si="133"/>
        <v>0</v>
      </c>
      <c r="I241" s="10">
        <f t="shared" si="127"/>
        <v>0</v>
      </c>
      <c r="J241" s="1">
        <f t="shared" si="134"/>
        <v>0</v>
      </c>
      <c r="K241" s="1">
        <f t="shared" si="128"/>
        <v>0</v>
      </c>
      <c r="L241" s="1" t="str">
        <f t="shared" si="129"/>
        <v>0</v>
      </c>
      <c r="M241" s="10">
        <f t="shared" si="130"/>
        <v>0</v>
      </c>
      <c r="N241" s="1">
        <f t="shared" si="131"/>
        <v>3</v>
      </c>
      <c r="O241" s="1">
        <f t="shared" si="116"/>
        <v>1</v>
      </c>
      <c r="P241" s="1">
        <f t="shared" si="132"/>
        <v>16</v>
      </c>
      <c r="Q241" s="3" t="str">
        <f t="shared" si="104"/>
        <v>DNR_HPF_GAIN</v>
      </c>
      <c r="R241" s="11">
        <f t="shared" si="117"/>
        <v>484</v>
      </c>
      <c r="S241" s="11"/>
      <c r="T241" s="13" t="str">
        <f t="shared" si="118"/>
        <v>#</v>
      </c>
      <c r="U241" s="14" t="str">
        <f t="shared" si="150"/>
        <v>DNR_HPF_GAIN</v>
      </c>
      <c r="V241" s="13">
        <f t="shared" si="151"/>
        <v>1</v>
      </c>
      <c r="W241" s="13">
        <f t="shared" si="152"/>
        <v>0</v>
      </c>
      <c r="X241" s="14" t="str">
        <f t="shared" si="103"/>
        <v>-</v>
      </c>
      <c r="Y241" s="1">
        <f t="shared" si="108"/>
        <v>0</v>
      </c>
      <c r="Z241" s="1">
        <f t="shared" si="109"/>
        <v>2</v>
      </c>
      <c r="AA241" s="1">
        <f t="shared" si="153"/>
        <v>0</v>
      </c>
      <c r="AB241" s="1">
        <f t="shared" si="110"/>
        <v>0</v>
      </c>
      <c r="AC241" s="10" t="e">
        <f t="shared" si="111"/>
        <v>#VALUE!</v>
      </c>
      <c r="AD241" s="1" t="e">
        <f t="shared" si="119"/>
        <v>#VALUE!</v>
      </c>
      <c r="AF241" s="3" t="str">
        <f t="shared" si="112"/>
        <v>0</v>
      </c>
      <c r="AG241" s="5" t="str">
        <f t="shared" si="113"/>
        <v>#DNR_HPF_GAIN</v>
      </c>
      <c r="AH241" s="3" t="str">
        <f t="shared" si="114"/>
        <v>1</v>
      </c>
      <c r="AI241" s="3" t="str">
        <f t="shared" si="115"/>
        <v>0</v>
      </c>
      <c r="AJ241" s="7">
        <f t="shared" si="120"/>
        <v>1</v>
      </c>
    </row>
    <row r="242" spans="1:36" x14ac:dyDescent="0.3">
      <c r="A242" s="15" t="s">
        <v>290</v>
      </c>
      <c r="B242" s="1">
        <f t="shared" si="121"/>
        <v>8</v>
      </c>
      <c r="C242" s="1">
        <f t="shared" si="122"/>
        <v>9</v>
      </c>
      <c r="D242" s="10" t="str">
        <f t="shared" si="123"/>
        <v>1</v>
      </c>
      <c r="E242" s="1">
        <f t="shared" si="124"/>
        <v>11</v>
      </c>
      <c r="F242" s="1">
        <f t="shared" si="125"/>
        <v>0</v>
      </c>
      <c r="G242" s="1">
        <f t="shared" si="126"/>
        <v>33</v>
      </c>
      <c r="H242" s="1">
        <f t="shared" si="133"/>
        <v>33</v>
      </c>
      <c r="I242" s="10" t="str">
        <f t="shared" si="127"/>
        <v>UpDNR_HPF_GAIN_LV0_PT0</v>
      </c>
      <c r="J242" s="1">
        <f t="shared" si="134"/>
        <v>0</v>
      </c>
      <c r="K242" s="1">
        <f t="shared" si="128"/>
        <v>0</v>
      </c>
      <c r="L242" s="1" t="str">
        <f t="shared" si="129"/>
        <v>0</v>
      </c>
      <c r="M242" s="10">
        <f t="shared" si="130"/>
        <v>0</v>
      </c>
      <c r="N242" s="1">
        <f t="shared" si="131"/>
        <v>36</v>
      </c>
      <c r="O242" s="1">
        <f t="shared" si="116"/>
        <v>0</v>
      </c>
      <c r="P242" s="1">
        <f t="shared" si="132"/>
        <v>106</v>
      </c>
      <c r="Q242" s="3" t="str">
        <f t="shared" si="104"/>
        <v xml:space="preserve"> HPF gain LV0 (corresponding to AGC interlocking Point 0) (0x0 ~ 0x7) </v>
      </c>
      <c r="R242" s="11">
        <f t="shared" si="117"/>
        <v>484</v>
      </c>
      <c r="S242" s="11"/>
      <c r="T242" s="13" t="str">
        <f t="shared" si="118"/>
        <v>1E4</v>
      </c>
      <c r="U242" s="14" t="str">
        <f t="shared" si="150"/>
        <v>UpDNR_HPF_GAIN_LV0_PT0</v>
      </c>
      <c r="V242" s="13" t="str">
        <f t="shared" si="151"/>
        <v>1</v>
      </c>
      <c r="W242" s="13">
        <f t="shared" si="152"/>
        <v>0</v>
      </c>
      <c r="X242" s="14" t="str">
        <f t="shared" si="103"/>
        <v xml:space="preserve"> HPF gain LV0 (corresponding to AGC interlocking Point 0) (0x0 ~ 0x7) </v>
      </c>
      <c r="Y242" s="1">
        <f t="shared" si="108"/>
        <v>1</v>
      </c>
      <c r="Z242" s="1">
        <f t="shared" si="109"/>
        <v>1</v>
      </c>
      <c r="AA242" s="1">
        <f t="shared" si="153"/>
        <v>0</v>
      </c>
      <c r="AB242" s="1">
        <f t="shared" si="110"/>
        <v>0</v>
      </c>
      <c r="AC242" s="10" t="e">
        <f t="shared" si="111"/>
        <v>#VALUE!</v>
      </c>
      <c r="AD242" s="1" t="e">
        <f t="shared" si="119"/>
        <v>#VALUE!</v>
      </c>
      <c r="AF242" s="3" t="e">
        <f t="shared" si="112"/>
        <v>#VALUE!</v>
      </c>
      <c r="AG242" s="5" t="str">
        <f t="shared" si="113"/>
        <v>UpDNR_HPF_GAIN_LV0_PT0)/* HPF gain LV0 (corresponding to AGC interlocking Point 0) (0x0 ~ 0x7) *</v>
      </c>
      <c r="AH242" s="3">
        <f t="shared" si="114"/>
        <v>1</v>
      </c>
      <c r="AI242" s="3">
        <f t="shared" si="115"/>
        <v>0</v>
      </c>
      <c r="AJ242" s="7">
        <f t="shared" si="120"/>
        <v>1</v>
      </c>
    </row>
    <row r="243" spans="1:36" x14ac:dyDescent="0.3">
      <c r="A243" s="15" t="s">
        <v>291</v>
      </c>
      <c r="B243" s="1">
        <f t="shared" si="121"/>
        <v>8</v>
      </c>
      <c r="C243" s="1">
        <f t="shared" si="122"/>
        <v>9</v>
      </c>
      <c r="D243" s="10" t="str">
        <f t="shared" si="123"/>
        <v>1</v>
      </c>
      <c r="E243" s="1">
        <f t="shared" si="124"/>
        <v>11</v>
      </c>
      <c r="F243" s="1">
        <f t="shared" si="125"/>
        <v>0</v>
      </c>
      <c r="G243" s="1">
        <f t="shared" si="126"/>
        <v>33</v>
      </c>
      <c r="H243" s="1">
        <f t="shared" si="133"/>
        <v>33</v>
      </c>
      <c r="I243" s="10" t="str">
        <f t="shared" si="127"/>
        <v>UpDNR_HPF_GAIN_LV0_PT1</v>
      </c>
      <c r="J243" s="1">
        <f t="shared" si="134"/>
        <v>0</v>
      </c>
      <c r="K243" s="1">
        <f t="shared" si="128"/>
        <v>0</v>
      </c>
      <c r="L243" s="1" t="str">
        <f t="shared" si="129"/>
        <v>0</v>
      </c>
      <c r="M243" s="10">
        <f t="shared" si="130"/>
        <v>0</v>
      </c>
      <c r="N243" s="1">
        <f t="shared" si="131"/>
        <v>36</v>
      </c>
      <c r="O243" s="1">
        <f t="shared" si="116"/>
        <v>0</v>
      </c>
      <c r="P243" s="1">
        <f t="shared" si="132"/>
        <v>106</v>
      </c>
      <c r="Q243" s="3" t="str">
        <f t="shared" si="104"/>
        <v xml:space="preserve"> HPF gain LV0 (corresponding to AGC interlocking Point 1) (0x0 ~ 0x7) </v>
      </c>
      <c r="R243" s="11">
        <f t="shared" si="117"/>
        <v>485</v>
      </c>
      <c r="S243" s="11"/>
      <c r="T243" s="13" t="str">
        <f t="shared" si="118"/>
        <v>1E5</v>
      </c>
      <c r="U243" s="14" t="str">
        <f t="shared" si="150"/>
        <v>UpDNR_HPF_GAIN_LV0_PT1</v>
      </c>
      <c r="V243" s="13" t="str">
        <f t="shared" si="151"/>
        <v>1</v>
      </c>
      <c r="W243" s="13">
        <f t="shared" si="152"/>
        <v>0</v>
      </c>
      <c r="X243" s="14" t="str">
        <f t="shared" si="103"/>
        <v xml:space="preserve"> HPF gain LV0 (corresponding to AGC interlocking Point 1) (0x0 ~ 0x7) </v>
      </c>
      <c r="Y243" s="1">
        <f t="shared" si="108"/>
        <v>1</v>
      </c>
      <c r="Z243" s="1">
        <f t="shared" si="109"/>
        <v>1</v>
      </c>
      <c r="AA243" s="1">
        <f t="shared" si="153"/>
        <v>0</v>
      </c>
      <c r="AB243" s="1">
        <f t="shared" si="110"/>
        <v>0</v>
      </c>
      <c r="AC243" s="10" t="e">
        <f t="shared" si="111"/>
        <v>#VALUE!</v>
      </c>
      <c r="AD243" s="1" t="e">
        <f t="shared" si="119"/>
        <v>#VALUE!</v>
      </c>
      <c r="AF243" s="3" t="e">
        <f t="shared" si="112"/>
        <v>#VALUE!</v>
      </c>
      <c r="AG243" s="5" t="str">
        <f t="shared" si="113"/>
        <v>UpDNR_HPF_GAIN_LV0_PT1)/* HPF gain LV0 (corresponding to AGC interlocking Point 1) (0x0 ~ 0x7) *</v>
      </c>
      <c r="AH243" s="3">
        <f t="shared" si="114"/>
        <v>1</v>
      </c>
      <c r="AI243" s="3">
        <f t="shared" si="115"/>
        <v>0</v>
      </c>
      <c r="AJ243" s="7">
        <f t="shared" si="120"/>
        <v>1</v>
      </c>
    </row>
    <row r="244" spans="1:36" x14ac:dyDescent="0.3">
      <c r="A244" s="15" t="s">
        <v>292</v>
      </c>
      <c r="B244" s="1">
        <f t="shared" si="121"/>
        <v>8</v>
      </c>
      <c r="C244" s="1">
        <f t="shared" si="122"/>
        <v>9</v>
      </c>
      <c r="D244" s="10" t="str">
        <f t="shared" si="123"/>
        <v>1</v>
      </c>
      <c r="E244" s="1">
        <f t="shared" si="124"/>
        <v>11</v>
      </c>
      <c r="F244" s="1">
        <f t="shared" si="125"/>
        <v>0</v>
      </c>
      <c r="G244" s="1">
        <f t="shared" si="126"/>
        <v>33</v>
      </c>
      <c r="H244" s="1">
        <f t="shared" si="133"/>
        <v>33</v>
      </c>
      <c r="I244" s="10" t="str">
        <f t="shared" si="127"/>
        <v>UpDNR_HPF_GAIN_LV0_PT2</v>
      </c>
      <c r="J244" s="1">
        <f t="shared" si="134"/>
        <v>0</v>
      </c>
      <c r="K244" s="1">
        <f t="shared" si="128"/>
        <v>0</v>
      </c>
      <c r="L244" s="1" t="str">
        <f t="shared" si="129"/>
        <v>0</v>
      </c>
      <c r="M244" s="10">
        <f t="shared" si="130"/>
        <v>0</v>
      </c>
      <c r="N244" s="1">
        <f t="shared" si="131"/>
        <v>36</v>
      </c>
      <c r="O244" s="1">
        <f t="shared" si="116"/>
        <v>0</v>
      </c>
      <c r="P244" s="1">
        <f t="shared" si="132"/>
        <v>106</v>
      </c>
      <c r="Q244" s="3" t="str">
        <f t="shared" si="104"/>
        <v xml:space="preserve"> HPF gain LV0 (corresponding to AGC interlocking Point 2) (0x0 ~ 0x7) </v>
      </c>
      <c r="R244" s="11">
        <f t="shared" si="117"/>
        <v>486</v>
      </c>
      <c r="S244" s="11"/>
      <c r="T244" s="13" t="str">
        <f t="shared" si="118"/>
        <v>1E6</v>
      </c>
      <c r="U244" s="14" t="str">
        <f t="shared" si="150"/>
        <v>UpDNR_HPF_GAIN_LV0_PT2</v>
      </c>
      <c r="V244" s="13" t="str">
        <f t="shared" si="151"/>
        <v>1</v>
      </c>
      <c r="W244" s="13">
        <f t="shared" si="152"/>
        <v>0</v>
      </c>
      <c r="X244" s="14" t="str">
        <f t="shared" si="103"/>
        <v xml:space="preserve"> HPF gain LV0 (corresponding to AGC interlocking Point 2) (0x0 ~ 0x7) </v>
      </c>
      <c r="Y244" s="1">
        <f t="shared" si="108"/>
        <v>1</v>
      </c>
      <c r="Z244" s="1">
        <f t="shared" si="109"/>
        <v>1</v>
      </c>
      <c r="AA244" s="1">
        <f t="shared" si="153"/>
        <v>0</v>
      </c>
      <c r="AB244" s="1">
        <f t="shared" si="110"/>
        <v>0</v>
      </c>
      <c r="AC244" s="10" t="e">
        <f t="shared" si="111"/>
        <v>#VALUE!</v>
      </c>
      <c r="AD244" s="1" t="e">
        <f t="shared" si="119"/>
        <v>#VALUE!</v>
      </c>
      <c r="AF244" s="3" t="e">
        <f t="shared" si="112"/>
        <v>#VALUE!</v>
      </c>
      <c r="AG244" s="5" t="str">
        <f t="shared" si="113"/>
        <v>UpDNR_HPF_GAIN_LV0_PT2)/* HPF gain LV0 (corresponding to AGC interlocking Point 2) (0x0 ~ 0x7) *</v>
      </c>
      <c r="AH244" s="3">
        <f t="shared" si="114"/>
        <v>1</v>
      </c>
      <c r="AI244" s="3">
        <f t="shared" si="115"/>
        <v>0</v>
      </c>
      <c r="AJ244" s="7">
        <f t="shared" si="120"/>
        <v>1</v>
      </c>
    </row>
    <row r="245" spans="1:36" x14ac:dyDescent="0.3">
      <c r="A245" s="15" t="s">
        <v>181</v>
      </c>
      <c r="B245" s="1">
        <f t="shared" si="121"/>
        <v>8</v>
      </c>
      <c r="C245" s="1">
        <f t="shared" si="122"/>
        <v>9</v>
      </c>
      <c r="D245" s="10" t="str">
        <f t="shared" si="123"/>
        <v>1</v>
      </c>
      <c r="E245" s="1">
        <f t="shared" si="124"/>
        <v>11</v>
      </c>
      <c r="F245" s="1">
        <f t="shared" si="125"/>
        <v>0</v>
      </c>
      <c r="G245" s="1">
        <f t="shared" si="126"/>
        <v>33</v>
      </c>
      <c r="H245" s="1">
        <f t="shared" si="133"/>
        <v>33</v>
      </c>
      <c r="I245" s="10" t="str">
        <f t="shared" si="127"/>
        <v>UpDNR_HPF_GAIN_LV1_PT0</v>
      </c>
      <c r="J245" s="1">
        <f t="shared" si="134"/>
        <v>0</v>
      </c>
      <c r="K245" s="1">
        <f t="shared" si="128"/>
        <v>0</v>
      </c>
      <c r="L245" s="1" t="str">
        <f t="shared" si="129"/>
        <v>0</v>
      </c>
      <c r="M245" s="10">
        <f t="shared" si="130"/>
        <v>0</v>
      </c>
      <c r="N245" s="1">
        <f t="shared" si="131"/>
        <v>36</v>
      </c>
      <c r="O245" s="1">
        <f t="shared" si="116"/>
        <v>0</v>
      </c>
      <c r="P245" s="1">
        <f t="shared" si="132"/>
        <v>95</v>
      </c>
      <c r="Q245" s="3" t="str">
        <f t="shared" si="104"/>
        <v xml:space="preserve"> HPF gain interlocking point 0 in DNR function (0x0 ~ 0x7) </v>
      </c>
      <c r="R245" s="11">
        <f t="shared" si="117"/>
        <v>487</v>
      </c>
      <c r="S245" s="11"/>
      <c r="T245" s="13" t="str">
        <f t="shared" si="118"/>
        <v>1E7</v>
      </c>
      <c r="U245" s="14" t="str">
        <f t="shared" si="150"/>
        <v>UpDNR_HPF_GAIN_LV1_PT0</v>
      </c>
      <c r="V245" s="13" t="str">
        <f t="shared" si="151"/>
        <v>1</v>
      </c>
      <c r="W245" s="13">
        <f t="shared" si="152"/>
        <v>0</v>
      </c>
      <c r="X245" s="14" t="str">
        <f t="shared" si="103"/>
        <v xml:space="preserve"> HPF gain interlocking point 0 in DNR function (0x0 ~ 0x7) </v>
      </c>
      <c r="Y245" s="1">
        <f t="shared" si="108"/>
        <v>1</v>
      </c>
      <c r="Z245" s="1">
        <f t="shared" si="109"/>
        <v>1</v>
      </c>
      <c r="AA245" s="1">
        <f t="shared" si="153"/>
        <v>0</v>
      </c>
      <c r="AB245" s="1">
        <f t="shared" si="110"/>
        <v>0</v>
      </c>
      <c r="AC245" s="10" t="e">
        <f t="shared" si="111"/>
        <v>#VALUE!</v>
      </c>
      <c r="AD245" s="1" t="e">
        <f t="shared" si="119"/>
        <v>#VALUE!</v>
      </c>
      <c r="AF245" s="3" t="e">
        <f t="shared" si="112"/>
        <v>#VALUE!</v>
      </c>
      <c r="AG245" s="5" t="str">
        <f t="shared" si="113"/>
        <v>UpDNR_HPF_GAIN_LV1_PT0)/* HPF gain interlocking point 0 in DNR function (0x0 ~ 0x7) *</v>
      </c>
      <c r="AH245" s="3">
        <f t="shared" si="114"/>
        <v>1</v>
      </c>
      <c r="AI245" s="3">
        <f t="shared" si="115"/>
        <v>0</v>
      </c>
      <c r="AJ245" s="7">
        <f t="shared" si="120"/>
        <v>1</v>
      </c>
    </row>
    <row r="246" spans="1:36" x14ac:dyDescent="0.3">
      <c r="A246" s="15" t="s">
        <v>182</v>
      </c>
      <c r="B246" s="1">
        <f t="shared" si="121"/>
        <v>8</v>
      </c>
      <c r="C246" s="1">
        <f t="shared" si="122"/>
        <v>9</v>
      </c>
      <c r="D246" s="10" t="str">
        <f t="shared" si="123"/>
        <v>1</v>
      </c>
      <c r="E246" s="1">
        <f t="shared" si="124"/>
        <v>11</v>
      </c>
      <c r="F246" s="1">
        <f t="shared" si="125"/>
        <v>0</v>
      </c>
      <c r="G246" s="1">
        <f t="shared" si="126"/>
        <v>33</v>
      </c>
      <c r="H246" s="1">
        <f t="shared" si="133"/>
        <v>33</v>
      </c>
      <c r="I246" s="10" t="str">
        <f t="shared" si="127"/>
        <v>UpDNR_HPF_GAIN_LV1_PT1</v>
      </c>
      <c r="J246" s="1">
        <f t="shared" si="134"/>
        <v>0</v>
      </c>
      <c r="K246" s="1">
        <f t="shared" si="128"/>
        <v>0</v>
      </c>
      <c r="L246" s="1" t="str">
        <f t="shared" si="129"/>
        <v>0</v>
      </c>
      <c r="M246" s="10">
        <f t="shared" si="130"/>
        <v>0</v>
      </c>
      <c r="N246" s="1">
        <f t="shared" si="131"/>
        <v>36</v>
      </c>
      <c r="O246" s="1">
        <f t="shared" si="116"/>
        <v>0</v>
      </c>
      <c r="P246" s="1">
        <f t="shared" si="132"/>
        <v>95</v>
      </c>
      <c r="Q246" s="3" t="str">
        <f t="shared" si="104"/>
        <v xml:space="preserve"> HPF gain interlocking point 1 in DNR function (0x0 ~ 0x7) </v>
      </c>
      <c r="R246" s="11">
        <f t="shared" si="117"/>
        <v>488</v>
      </c>
      <c r="S246" s="11"/>
      <c r="T246" s="13" t="str">
        <f t="shared" si="118"/>
        <v>1E8</v>
      </c>
      <c r="U246" s="14" t="str">
        <f t="shared" si="150"/>
        <v>UpDNR_HPF_GAIN_LV1_PT1</v>
      </c>
      <c r="V246" s="13" t="str">
        <f t="shared" si="151"/>
        <v>1</v>
      </c>
      <c r="W246" s="13">
        <f t="shared" si="152"/>
        <v>0</v>
      </c>
      <c r="X246" s="14" t="str">
        <f t="shared" si="103"/>
        <v xml:space="preserve"> HPF gain interlocking point 1 in DNR function (0x0 ~ 0x7) </v>
      </c>
      <c r="Y246" s="1">
        <f t="shared" si="108"/>
        <v>1</v>
      </c>
      <c r="Z246" s="1">
        <f t="shared" si="109"/>
        <v>1</v>
      </c>
      <c r="AA246" s="1">
        <f t="shared" si="153"/>
        <v>0</v>
      </c>
      <c r="AB246" s="1">
        <f t="shared" si="110"/>
        <v>0</v>
      </c>
      <c r="AC246" s="10" t="e">
        <f t="shared" si="111"/>
        <v>#VALUE!</v>
      </c>
      <c r="AD246" s="1" t="e">
        <f t="shared" si="119"/>
        <v>#VALUE!</v>
      </c>
      <c r="AF246" s="3" t="e">
        <f t="shared" si="112"/>
        <v>#VALUE!</v>
      </c>
      <c r="AG246" s="5" t="str">
        <f t="shared" si="113"/>
        <v>UpDNR_HPF_GAIN_LV1_PT1)/* HPF gain interlocking point 1 in DNR function (0x0 ~ 0x7) *</v>
      </c>
      <c r="AH246" s="3">
        <f t="shared" si="114"/>
        <v>1</v>
      </c>
      <c r="AI246" s="3">
        <f t="shared" si="115"/>
        <v>0</v>
      </c>
      <c r="AJ246" s="7">
        <f t="shared" si="120"/>
        <v>1</v>
      </c>
    </row>
    <row r="247" spans="1:36" x14ac:dyDescent="0.3">
      <c r="A247" s="15" t="s">
        <v>183</v>
      </c>
      <c r="B247" s="1">
        <f t="shared" si="121"/>
        <v>8</v>
      </c>
      <c r="C247" s="1">
        <f t="shared" si="122"/>
        <v>9</v>
      </c>
      <c r="D247" s="10" t="str">
        <f t="shared" si="123"/>
        <v>1</v>
      </c>
      <c r="E247" s="1">
        <f t="shared" si="124"/>
        <v>11</v>
      </c>
      <c r="F247" s="1">
        <f t="shared" si="125"/>
        <v>0</v>
      </c>
      <c r="G247" s="1">
        <f t="shared" si="126"/>
        <v>33</v>
      </c>
      <c r="H247" s="1">
        <f t="shared" si="133"/>
        <v>33</v>
      </c>
      <c r="I247" s="10" t="str">
        <f t="shared" si="127"/>
        <v>UpDNR_HPF_GAIN_LV1_PT2</v>
      </c>
      <c r="J247" s="1">
        <f t="shared" si="134"/>
        <v>0</v>
      </c>
      <c r="K247" s="1">
        <f t="shared" si="128"/>
        <v>0</v>
      </c>
      <c r="L247" s="1" t="str">
        <f t="shared" si="129"/>
        <v>0</v>
      </c>
      <c r="M247" s="10">
        <f t="shared" si="130"/>
        <v>0</v>
      </c>
      <c r="N247" s="1">
        <f t="shared" si="131"/>
        <v>36</v>
      </c>
      <c r="O247" s="1">
        <f t="shared" si="116"/>
        <v>0</v>
      </c>
      <c r="P247" s="1">
        <f t="shared" si="132"/>
        <v>95</v>
      </c>
      <c r="Q247" s="3" t="str">
        <f t="shared" si="104"/>
        <v xml:space="preserve"> HPF gain interlocking point 2 in DNR function (0x0 ~ 0x7) </v>
      </c>
      <c r="R247" s="11">
        <f t="shared" si="117"/>
        <v>489</v>
      </c>
      <c r="S247" s="11"/>
      <c r="T247" s="13" t="str">
        <f t="shared" si="118"/>
        <v>1E9</v>
      </c>
      <c r="U247" s="14" t="str">
        <f t="shared" si="150"/>
        <v>UpDNR_HPF_GAIN_LV1_PT2</v>
      </c>
      <c r="V247" s="13" t="str">
        <f t="shared" si="151"/>
        <v>1</v>
      </c>
      <c r="W247" s="13">
        <f t="shared" si="152"/>
        <v>0</v>
      </c>
      <c r="X247" s="14" t="str">
        <f t="shared" si="103"/>
        <v xml:space="preserve"> HPF gain interlocking point 2 in DNR function (0x0 ~ 0x7) </v>
      </c>
      <c r="Y247" s="1">
        <f t="shared" si="108"/>
        <v>1</v>
      </c>
      <c r="Z247" s="1">
        <f t="shared" si="109"/>
        <v>1</v>
      </c>
      <c r="AA247" s="1">
        <f t="shared" si="153"/>
        <v>0</v>
      </c>
      <c r="AB247" s="1">
        <f t="shared" si="110"/>
        <v>0</v>
      </c>
      <c r="AC247" s="10" t="e">
        <f t="shared" si="111"/>
        <v>#VALUE!</v>
      </c>
      <c r="AD247" s="1" t="e">
        <f t="shared" si="119"/>
        <v>#VALUE!</v>
      </c>
      <c r="AF247" s="3" t="e">
        <f t="shared" si="112"/>
        <v>#VALUE!</v>
      </c>
      <c r="AG247" s="5" t="str">
        <f t="shared" si="113"/>
        <v>UpDNR_HPF_GAIN_LV1_PT2)/* HPF gain interlocking point 2 in DNR function (0x0 ~ 0x7) *</v>
      </c>
      <c r="AH247" s="3">
        <f t="shared" si="114"/>
        <v>1</v>
      </c>
      <c r="AI247" s="3">
        <f t="shared" si="115"/>
        <v>0</v>
      </c>
      <c r="AJ247" s="7">
        <f t="shared" si="120"/>
        <v>1</v>
      </c>
    </row>
    <row r="248" spans="1:36" x14ac:dyDescent="0.3">
      <c r="A248" s="15" t="s">
        <v>184</v>
      </c>
      <c r="B248" s="1">
        <f t="shared" si="121"/>
        <v>8</v>
      </c>
      <c r="C248" s="1">
        <f t="shared" si="122"/>
        <v>9</v>
      </c>
      <c r="D248" s="10" t="str">
        <f t="shared" si="123"/>
        <v>1</v>
      </c>
      <c r="E248" s="1">
        <f t="shared" si="124"/>
        <v>11</v>
      </c>
      <c r="F248" s="1">
        <f t="shared" si="125"/>
        <v>0</v>
      </c>
      <c r="G248" s="1">
        <f t="shared" si="126"/>
        <v>33</v>
      </c>
      <c r="H248" s="1">
        <f t="shared" si="133"/>
        <v>33</v>
      </c>
      <c r="I248" s="10" t="str">
        <f t="shared" si="127"/>
        <v>UpDNR_HPF_GAIN_LV2_PT0</v>
      </c>
      <c r="J248" s="1">
        <f t="shared" si="134"/>
        <v>0</v>
      </c>
      <c r="K248" s="1">
        <f t="shared" si="128"/>
        <v>0</v>
      </c>
      <c r="L248" s="1" t="str">
        <f t="shared" si="129"/>
        <v>0</v>
      </c>
      <c r="M248" s="10">
        <f t="shared" si="130"/>
        <v>0</v>
      </c>
      <c r="N248" s="1">
        <f t="shared" si="131"/>
        <v>36</v>
      </c>
      <c r="O248" s="1">
        <f t="shared" si="116"/>
        <v>0</v>
      </c>
      <c r="P248" s="1">
        <f t="shared" si="132"/>
        <v>95</v>
      </c>
      <c r="Q248" s="3" t="str">
        <f t="shared" si="104"/>
        <v xml:space="preserve"> HPF gain interlocking point 0 in DNR function (0x0 ~ 0x7) </v>
      </c>
      <c r="R248" s="11">
        <f t="shared" si="117"/>
        <v>490</v>
      </c>
      <c r="S248" s="11"/>
      <c r="T248" s="13" t="str">
        <f t="shared" si="118"/>
        <v>1EA</v>
      </c>
      <c r="U248" s="14" t="str">
        <f t="shared" si="150"/>
        <v>UpDNR_HPF_GAIN_LV2_PT0</v>
      </c>
      <c r="V248" s="13" t="str">
        <f t="shared" si="151"/>
        <v>1</v>
      </c>
      <c r="W248" s="13">
        <f t="shared" si="152"/>
        <v>0</v>
      </c>
      <c r="X248" s="14" t="str">
        <f t="shared" si="103"/>
        <v xml:space="preserve"> HPF gain interlocking point 0 in DNR function (0x0 ~ 0x7) </v>
      </c>
      <c r="Y248" s="1">
        <f t="shared" si="108"/>
        <v>1</v>
      </c>
      <c r="Z248" s="1">
        <f t="shared" si="109"/>
        <v>1</v>
      </c>
      <c r="AA248" s="1">
        <f t="shared" si="153"/>
        <v>0</v>
      </c>
      <c r="AB248" s="1">
        <f t="shared" si="110"/>
        <v>0</v>
      </c>
      <c r="AC248" s="10" t="e">
        <f t="shared" si="111"/>
        <v>#VALUE!</v>
      </c>
      <c r="AD248" s="1" t="e">
        <f t="shared" si="119"/>
        <v>#VALUE!</v>
      </c>
      <c r="AF248" s="3" t="e">
        <f t="shared" si="112"/>
        <v>#VALUE!</v>
      </c>
      <c r="AG248" s="5" t="str">
        <f t="shared" si="113"/>
        <v>UpDNR_HPF_GAIN_LV2_PT0)/* HPF gain interlocking point 0 in DNR function (0x0 ~ 0x7) *</v>
      </c>
      <c r="AH248" s="3">
        <f t="shared" si="114"/>
        <v>1</v>
      </c>
      <c r="AI248" s="3">
        <f t="shared" si="115"/>
        <v>0</v>
      </c>
      <c r="AJ248" s="7">
        <f t="shared" si="120"/>
        <v>1</v>
      </c>
    </row>
    <row r="249" spans="1:36" x14ac:dyDescent="0.3">
      <c r="A249" s="15" t="s">
        <v>185</v>
      </c>
      <c r="B249" s="1">
        <f t="shared" si="121"/>
        <v>8</v>
      </c>
      <c r="C249" s="1">
        <f t="shared" si="122"/>
        <v>9</v>
      </c>
      <c r="D249" s="10" t="str">
        <f t="shared" si="123"/>
        <v>1</v>
      </c>
      <c r="E249" s="1">
        <f t="shared" si="124"/>
        <v>11</v>
      </c>
      <c r="F249" s="1">
        <f t="shared" si="125"/>
        <v>0</v>
      </c>
      <c r="G249" s="1">
        <f t="shared" si="126"/>
        <v>33</v>
      </c>
      <c r="H249" s="1">
        <f t="shared" si="133"/>
        <v>33</v>
      </c>
      <c r="I249" s="10" t="str">
        <f t="shared" si="127"/>
        <v>UpDNR_HPF_GAIN_LV2_PT1</v>
      </c>
      <c r="J249" s="1">
        <f t="shared" si="134"/>
        <v>0</v>
      </c>
      <c r="K249" s="1">
        <f t="shared" si="128"/>
        <v>0</v>
      </c>
      <c r="L249" s="1" t="str">
        <f t="shared" si="129"/>
        <v>0</v>
      </c>
      <c r="M249" s="10">
        <f t="shared" si="130"/>
        <v>0</v>
      </c>
      <c r="N249" s="1">
        <f t="shared" si="131"/>
        <v>36</v>
      </c>
      <c r="O249" s="1">
        <f t="shared" si="116"/>
        <v>0</v>
      </c>
      <c r="P249" s="1">
        <f t="shared" si="132"/>
        <v>95</v>
      </c>
      <c r="Q249" s="3" t="str">
        <f t="shared" si="104"/>
        <v xml:space="preserve"> HPF gain interlocking point 1 in DNR function (0x0 ~ 0x7) </v>
      </c>
      <c r="R249" s="11">
        <f t="shared" si="117"/>
        <v>491</v>
      </c>
      <c r="S249" s="11"/>
      <c r="T249" s="13" t="str">
        <f t="shared" si="118"/>
        <v>1EB</v>
      </c>
      <c r="U249" s="14" t="str">
        <f t="shared" si="150"/>
        <v>UpDNR_HPF_GAIN_LV2_PT1</v>
      </c>
      <c r="V249" s="13" t="str">
        <f t="shared" si="151"/>
        <v>1</v>
      </c>
      <c r="W249" s="13">
        <f t="shared" si="152"/>
        <v>0</v>
      </c>
      <c r="X249" s="14" t="str">
        <f t="shared" si="103"/>
        <v xml:space="preserve"> HPF gain interlocking point 1 in DNR function (0x0 ~ 0x7) </v>
      </c>
      <c r="Y249" s="1">
        <f t="shared" si="108"/>
        <v>1</v>
      </c>
      <c r="Z249" s="1">
        <f t="shared" si="109"/>
        <v>1</v>
      </c>
      <c r="AA249" s="1">
        <f t="shared" si="153"/>
        <v>0</v>
      </c>
      <c r="AB249" s="1">
        <f t="shared" si="110"/>
        <v>0</v>
      </c>
      <c r="AC249" s="10" t="e">
        <f t="shared" si="111"/>
        <v>#VALUE!</v>
      </c>
      <c r="AD249" s="1" t="e">
        <f t="shared" si="119"/>
        <v>#VALUE!</v>
      </c>
      <c r="AF249" s="3" t="e">
        <f t="shared" si="112"/>
        <v>#VALUE!</v>
      </c>
      <c r="AG249" s="5" t="str">
        <f t="shared" si="113"/>
        <v>UpDNR_HPF_GAIN_LV2_PT1)/* HPF gain interlocking point 1 in DNR function (0x0 ~ 0x7) *</v>
      </c>
      <c r="AH249" s="3">
        <f t="shared" si="114"/>
        <v>1</v>
      </c>
      <c r="AI249" s="3">
        <f t="shared" si="115"/>
        <v>0</v>
      </c>
      <c r="AJ249" s="7">
        <f t="shared" si="120"/>
        <v>1</v>
      </c>
    </row>
    <row r="250" spans="1:36" x14ac:dyDescent="0.3">
      <c r="A250" s="15" t="s">
        <v>186</v>
      </c>
      <c r="B250" s="1">
        <f t="shared" si="121"/>
        <v>8</v>
      </c>
      <c r="C250" s="1">
        <f t="shared" si="122"/>
        <v>9</v>
      </c>
      <c r="D250" s="10" t="str">
        <f t="shared" si="123"/>
        <v>1</v>
      </c>
      <c r="E250" s="1">
        <f t="shared" si="124"/>
        <v>11</v>
      </c>
      <c r="F250" s="1">
        <f t="shared" si="125"/>
        <v>0</v>
      </c>
      <c r="G250" s="1">
        <f t="shared" si="126"/>
        <v>33</v>
      </c>
      <c r="H250" s="1">
        <f t="shared" si="133"/>
        <v>33</v>
      </c>
      <c r="I250" s="10" t="str">
        <f t="shared" si="127"/>
        <v>UpDNR_HPF_GAIN_LV2_PT2</v>
      </c>
      <c r="J250" s="1">
        <f t="shared" si="134"/>
        <v>0</v>
      </c>
      <c r="K250" s="1">
        <f t="shared" si="128"/>
        <v>0</v>
      </c>
      <c r="L250" s="1" t="str">
        <f t="shared" si="129"/>
        <v>0</v>
      </c>
      <c r="M250" s="10">
        <f t="shared" si="130"/>
        <v>0</v>
      </c>
      <c r="N250" s="1">
        <f t="shared" si="131"/>
        <v>36</v>
      </c>
      <c r="O250" s="1">
        <f t="shared" si="116"/>
        <v>0</v>
      </c>
      <c r="P250" s="1">
        <f t="shared" si="132"/>
        <v>95</v>
      </c>
      <c r="Q250" s="3" t="str">
        <f t="shared" si="104"/>
        <v xml:space="preserve"> HPF gain interlocking point 2 in DNR function (0x0 ~ 0x7) </v>
      </c>
      <c r="R250" s="11">
        <f t="shared" si="117"/>
        <v>492</v>
      </c>
      <c r="S250" s="11"/>
      <c r="T250" s="13" t="str">
        <f t="shared" si="118"/>
        <v>1EC</v>
      </c>
      <c r="U250" s="14" t="str">
        <f t="shared" si="150"/>
        <v>UpDNR_HPF_GAIN_LV2_PT2</v>
      </c>
      <c r="V250" s="13" t="str">
        <f t="shared" si="151"/>
        <v>1</v>
      </c>
      <c r="W250" s="13">
        <f t="shared" si="152"/>
        <v>0</v>
      </c>
      <c r="X250" s="14" t="str">
        <f t="shared" si="103"/>
        <v xml:space="preserve"> HPF gain interlocking point 2 in DNR function (0x0 ~ 0x7) </v>
      </c>
      <c r="Y250" s="1">
        <f t="shared" si="108"/>
        <v>1</v>
      </c>
      <c r="Z250" s="1">
        <f t="shared" si="109"/>
        <v>1</v>
      </c>
      <c r="AA250" s="1">
        <f t="shared" si="153"/>
        <v>0</v>
      </c>
      <c r="AB250" s="1">
        <f t="shared" si="110"/>
        <v>0</v>
      </c>
      <c r="AC250" s="10" t="e">
        <f t="shared" si="111"/>
        <v>#VALUE!</v>
      </c>
      <c r="AD250" s="1" t="e">
        <f t="shared" si="119"/>
        <v>#VALUE!</v>
      </c>
      <c r="AF250" s="3" t="e">
        <f t="shared" si="112"/>
        <v>#VALUE!</v>
      </c>
      <c r="AG250" s="5" t="str">
        <f t="shared" si="113"/>
        <v>UpDNR_HPF_GAIN_LV2_PT2)/* HPF gain interlocking point 2 in DNR function (0x0 ~ 0x7) *</v>
      </c>
      <c r="AH250" s="3">
        <f t="shared" si="114"/>
        <v>1</v>
      </c>
      <c r="AI250" s="3">
        <f t="shared" si="115"/>
        <v>0</v>
      </c>
      <c r="AJ250" s="7">
        <f t="shared" si="120"/>
        <v>1</v>
      </c>
    </row>
    <row r="251" spans="1:36" x14ac:dyDescent="0.3">
      <c r="A251" s="15" t="s">
        <v>117</v>
      </c>
      <c r="B251" s="1">
        <f t="shared" si="121"/>
        <v>0</v>
      </c>
      <c r="C251" s="1">
        <f t="shared" si="122"/>
        <v>0</v>
      </c>
      <c r="D251" s="10">
        <f t="shared" si="123"/>
        <v>0</v>
      </c>
      <c r="E251" s="1">
        <f t="shared" si="124"/>
        <v>0</v>
      </c>
      <c r="F251" s="1">
        <f t="shared" si="125"/>
        <v>0</v>
      </c>
      <c r="G251" s="1">
        <f t="shared" si="126"/>
        <v>0</v>
      </c>
      <c r="H251" s="1">
        <f t="shared" si="133"/>
        <v>0</v>
      </c>
      <c r="I251" s="10">
        <f t="shared" si="127"/>
        <v>0</v>
      </c>
      <c r="J251" s="1">
        <f t="shared" si="134"/>
        <v>0</v>
      </c>
      <c r="K251" s="1">
        <f t="shared" si="128"/>
        <v>0</v>
      </c>
      <c r="L251" s="1" t="str">
        <f t="shared" si="129"/>
        <v>0</v>
      </c>
      <c r="M251" s="10">
        <f t="shared" si="130"/>
        <v>0</v>
      </c>
      <c r="N251" s="1">
        <f t="shared" si="131"/>
        <v>3</v>
      </c>
      <c r="O251" s="1">
        <f t="shared" si="116"/>
        <v>0</v>
      </c>
      <c r="P251" s="1">
        <f t="shared" si="132"/>
        <v>44</v>
      </c>
      <c r="Q251" s="3" t="str">
        <f t="shared" si="104"/>
        <v>---------------　SHARPNESS　---------------</v>
      </c>
      <c r="R251" s="11">
        <f t="shared" si="117"/>
        <v>493</v>
      </c>
      <c r="S251" s="11"/>
      <c r="T251" s="13" t="str">
        <f t="shared" si="118"/>
        <v>*</v>
      </c>
      <c r="U251" s="14" t="str">
        <f t="shared" si="150"/>
        <v>---------------　SHARPNESS　---------------</v>
      </c>
      <c r="V251" s="13">
        <f t="shared" si="151"/>
        <v>1</v>
      </c>
      <c r="W251" s="13">
        <f t="shared" si="152"/>
        <v>0</v>
      </c>
      <c r="X251" s="14" t="str">
        <f t="shared" si="103"/>
        <v>-</v>
      </c>
      <c r="Y251" s="1">
        <f t="shared" si="108"/>
        <v>0</v>
      </c>
      <c r="Z251" s="1">
        <f t="shared" si="109"/>
        <v>1</v>
      </c>
      <c r="AA251" s="1">
        <f t="shared" si="153"/>
        <v>0</v>
      </c>
      <c r="AB251" s="1">
        <f t="shared" si="110"/>
        <v>0</v>
      </c>
      <c r="AC251" s="10" t="e">
        <f t="shared" si="111"/>
        <v>#VALUE!</v>
      </c>
      <c r="AD251" s="1" t="e">
        <f t="shared" si="119"/>
        <v>#VALUE!</v>
      </c>
      <c r="AF251" s="3" t="str">
        <f t="shared" si="112"/>
        <v>0</v>
      </c>
      <c r="AG251" s="5" t="str">
        <f t="shared" si="113"/>
        <v>---------------　SHARPNESS　---------------</v>
      </c>
      <c r="AH251" s="3" t="str">
        <f t="shared" si="114"/>
        <v>1</v>
      </c>
      <c r="AI251" s="3" t="str">
        <f t="shared" si="115"/>
        <v>0</v>
      </c>
      <c r="AJ251" s="7">
        <f t="shared" si="120"/>
        <v>1</v>
      </c>
    </row>
    <row r="252" spans="1:36" x14ac:dyDescent="0.3">
      <c r="A252" s="15" t="s">
        <v>507</v>
      </c>
      <c r="B252" s="1">
        <f t="shared" si="121"/>
        <v>8</v>
      </c>
      <c r="C252" s="1">
        <f t="shared" si="122"/>
        <v>9</v>
      </c>
      <c r="D252" s="10" t="str">
        <f t="shared" si="123"/>
        <v>1</v>
      </c>
      <c r="E252" s="1">
        <f t="shared" si="124"/>
        <v>11</v>
      </c>
      <c r="F252" s="1">
        <f t="shared" si="125"/>
        <v>27</v>
      </c>
      <c r="G252" s="1">
        <f t="shared" si="126"/>
        <v>32</v>
      </c>
      <c r="H252" s="1">
        <f t="shared" si="133"/>
        <v>27</v>
      </c>
      <c r="I252" s="10" t="str">
        <f t="shared" si="127"/>
        <v>UpSHARPNESS_GAIN</v>
      </c>
      <c r="J252" s="1">
        <f t="shared" si="134"/>
        <v>29</v>
      </c>
      <c r="K252" s="1" t="str">
        <f t="shared" si="128"/>
        <v>500</v>
      </c>
      <c r="L252" s="1" t="str">
        <f t="shared" si="129"/>
        <v>1F4</v>
      </c>
      <c r="M252" s="10">
        <f t="shared" si="130"/>
        <v>500</v>
      </c>
      <c r="N252" s="1">
        <f t="shared" si="131"/>
        <v>35</v>
      </c>
      <c r="O252" s="1">
        <f t="shared" si="116"/>
        <v>0</v>
      </c>
      <c r="P252" s="1">
        <f t="shared" si="132"/>
        <v>148</v>
      </c>
      <c r="Q252" s="3" t="str">
        <f t="shared" si="104"/>
        <v xml:space="preserve"> Sharpness Gain (0=OFF, 1=x5, 2=x2.5, 3=x1.67, 4=1.25, 5=x1, 6=x0.83, 8=x0.625, 0xA=x0.5, 0x14=x0.25, 0x32=x0.1) </v>
      </c>
      <c r="R252" s="11">
        <f t="shared" si="117"/>
        <v>500</v>
      </c>
      <c r="S252" s="11"/>
      <c r="T252" s="13" t="str">
        <f t="shared" si="118"/>
        <v>1F4</v>
      </c>
      <c r="U252" s="14" t="str">
        <f t="shared" si="150"/>
        <v>UpSHARPNESS_GAIN</v>
      </c>
      <c r="V252" s="13" t="str">
        <f t="shared" si="151"/>
        <v>1</v>
      </c>
      <c r="W252" s="13">
        <f t="shared" si="152"/>
        <v>0</v>
      </c>
      <c r="X252" s="14" t="str">
        <f t="shared" ref="X252:X301" si="154">IF(U252=$U$1,"",IF(U252="","",IF(B252&gt;0,IF(Q252&lt;&gt;"",Q252,"No description"),"-")))</f>
        <v xml:space="preserve"> Sharpness Gain (0=OFF, 1=x5, 2=x2.5, 3=x1.67, 4=1.25, 5=x1, 6=x0.83, 8=x0.625, 0xA=x0.5, 0x14=x0.25, 0x32=x0.1) </v>
      </c>
      <c r="Y252" s="1">
        <f t="shared" si="108"/>
        <v>1</v>
      </c>
      <c r="Z252" s="1">
        <f t="shared" si="109"/>
        <v>1</v>
      </c>
      <c r="AA252" s="1">
        <f t="shared" si="153"/>
        <v>29</v>
      </c>
      <c r="AB252" s="1" t="str">
        <f t="shared" si="110"/>
        <v>500)/* Sharpness Gain (0=OFF, 1=x5, 2=x2.5, 3=x1.67, 4=1.25, 5=x1, 6=x0.83, 8=x0.625, 0xA=x0.5, 0x14=x0.25, 0x32=x0.1) *</v>
      </c>
      <c r="AC252" s="10" t="str">
        <f t="shared" si="111"/>
        <v>500)/* Sharpness Gain (0=OFF, 1=x5, 2=x2.5, 3=x1.67, 4=1.25, 5=x1, 6=x0.83, 8=x0.625, 0xA=x0.5, 0x14=x0.25, 0x32=x0.1) *</v>
      </c>
      <c r="AD252" s="1" t="e">
        <f t="shared" si="119"/>
        <v>#VALUE!</v>
      </c>
      <c r="AF252" s="3" t="e">
        <f t="shared" si="112"/>
        <v>#VALUE!</v>
      </c>
      <c r="AG252" s="5" t="str">
        <f t="shared" si="113"/>
        <v>UpSHARPNESS_GAIN</v>
      </c>
      <c r="AH252" s="3">
        <f t="shared" si="114"/>
        <v>1</v>
      </c>
      <c r="AI252" s="3">
        <f t="shared" si="115"/>
        <v>0</v>
      </c>
      <c r="AJ252" s="7">
        <f t="shared" si="120"/>
        <v>1</v>
      </c>
    </row>
    <row r="253" spans="1:36" x14ac:dyDescent="0.3">
      <c r="A253" s="15" t="s">
        <v>180</v>
      </c>
      <c r="B253" s="1">
        <f t="shared" si="121"/>
        <v>8</v>
      </c>
      <c r="C253" s="1">
        <f t="shared" si="122"/>
        <v>9</v>
      </c>
      <c r="D253" s="10" t="str">
        <f t="shared" si="123"/>
        <v>1</v>
      </c>
      <c r="E253" s="1">
        <f t="shared" si="124"/>
        <v>11</v>
      </c>
      <c r="F253" s="1">
        <f t="shared" si="125"/>
        <v>61</v>
      </c>
      <c r="G253" s="1">
        <f t="shared" si="126"/>
        <v>32</v>
      </c>
      <c r="H253" s="1">
        <f t="shared" si="133"/>
        <v>32</v>
      </c>
      <c r="I253" s="10" t="str">
        <f t="shared" si="127"/>
        <v>UpSHARPNESS_GAIN_CVBS</v>
      </c>
      <c r="J253" s="1">
        <f t="shared" si="134"/>
        <v>0</v>
      </c>
      <c r="K253" s="1">
        <f t="shared" si="128"/>
        <v>0</v>
      </c>
      <c r="L253" s="1" t="str">
        <f t="shared" si="129"/>
        <v>0</v>
      </c>
      <c r="M253" s="10">
        <f t="shared" si="130"/>
        <v>0</v>
      </c>
      <c r="N253" s="1">
        <f t="shared" si="131"/>
        <v>35</v>
      </c>
      <c r="O253" s="1">
        <f t="shared" si="116"/>
        <v>0</v>
      </c>
      <c r="P253" s="1">
        <f t="shared" si="132"/>
        <v>152</v>
      </c>
      <c r="Q253" s="3" t="str">
        <f t="shared" si="104"/>
        <v xml:space="preserve"> Sharpness Gain CVBS(0=OFF, 1=x5, 2=x2.5, 3=x1.67, 4=1.25, 5=x1, 6=x0.83, 8=x0.625, 0xA=x0.5, 0x14=x0.25, 0x32=x0.1) </v>
      </c>
      <c r="R253" s="11">
        <f t="shared" si="117"/>
        <v>501</v>
      </c>
      <c r="S253" s="11"/>
      <c r="T253" s="13" t="str">
        <f t="shared" si="118"/>
        <v>1F5</v>
      </c>
      <c r="U253" s="14" t="str">
        <f t="shared" si="150"/>
        <v>UpSHARPNESS_GAIN_CVBS</v>
      </c>
      <c r="V253" s="13" t="str">
        <f t="shared" si="151"/>
        <v>1</v>
      </c>
      <c r="W253" s="13">
        <f t="shared" si="152"/>
        <v>0</v>
      </c>
      <c r="X253" s="14" t="str">
        <f t="shared" si="154"/>
        <v xml:space="preserve"> Sharpness Gain CVBS(0=OFF, 1=x5, 2=x2.5, 3=x1.67, 4=1.25, 5=x1, 6=x0.83, 8=x0.625, 0xA=x0.5, 0x14=x0.25, 0x32=x0.1) </v>
      </c>
      <c r="Y253" s="1">
        <f t="shared" si="108"/>
        <v>1</v>
      </c>
      <c r="Z253" s="1">
        <f t="shared" si="109"/>
        <v>1</v>
      </c>
      <c r="AA253" s="1">
        <f t="shared" si="153"/>
        <v>58</v>
      </c>
      <c r="AB253" s="1" t="str">
        <f t="shared" si="110"/>
        <v>OFF, 1=x5, 2=x2.5, 3=x1.67, 4=1.25, 5=x1, 6=x0.83, 8=x0.625, 0xA=x0.5, 0x14=x0.25, 0x32=x0.1) *</v>
      </c>
      <c r="AC253" s="10" t="str">
        <f t="shared" si="111"/>
        <v>OFF, 1=x5, 2=x2.5, 3=x1.67, 4=1.25, 5=x1, 6=x0.83, 8=x0.625, 0xA=x0.5, 0x14=x0.25, 0x32=x0.1) *</v>
      </c>
      <c r="AD253" s="1" t="e">
        <f t="shared" si="119"/>
        <v>#VALUE!</v>
      </c>
      <c r="AF253" s="3" t="e">
        <f t="shared" si="112"/>
        <v>#VALUE!</v>
      </c>
      <c r="AG253" s="5" t="str">
        <f t="shared" si="113"/>
        <v>UpSHARPNESS_GAIN_CVBS)/* Sharpness Gain CVBS(</v>
      </c>
      <c r="AH253" s="3">
        <f t="shared" si="114"/>
        <v>1</v>
      </c>
      <c r="AI253" s="3">
        <f t="shared" si="115"/>
        <v>0</v>
      </c>
      <c r="AJ253" s="7">
        <f t="shared" si="120"/>
        <v>1</v>
      </c>
    </row>
    <row r="254" spans="1:36" x14ac:dyDescent="0.3">
      <c r="A254" s="15" t="s">
        <v>167</v>
      </c>
      <c r="B254" s="1">
        <f t="shared" si="121"/>
        <v>0</v>
      </c>
      <c r="C254" s="1">
        <f t="shared" si="122"/>
        <v>0</v>
      </c>
      <c r="D254" s="10">
        <f t="shared" si="123"/>
        <v>0</v>
      </c>
      <c r="E254" s="1">
        <f t="shared" si="124"/>
        <v>0</v>
      </c>
      <c r="F254" s="1">
        <f t="shared" si="125"/>
        <v>0</v>
      </c>
      <c r="G254" s="1">
        <f t="shared" si="126"/>
        <v>0</v>
      </c>
      <c r="H254" s="1">
        <f t="shared" si="133"/>
        <v>0</v>
      </c>
      <c r="I254" s="10">
        <f t="shared" si="127"/>
        <v>0</v>
      </c>
      <c r="J254" s="1">
        <f t="shared" si="134"/>
        <v>0</v>
      </c>
      <c r="K254" s="1">
        <f t="shared" si="128"/>
        <v>0</v>
      </c>
      <c r="L254" s="1" t="str">
        <f t="shared" si="129"/>
        <v>0</v>
      </c>
      <c r="M254" s="10">
        <f t="shared" si="130"/>
        <v>0</v>
      </c>
      <c r="N254" s="1">
        <f t="shared" si="131"/>
        <v>3</v>
      </c>
      <c r="O254" s="1">
        <f t="shared" si="116"/>
        <v>1</v>
      </c>
      <c r="P254" s="1">
        <f t="shared" si="132"/>
        <v>20</v>
      </c>
      <c r="Q254" s="3" t="str">
        <f t="shared" si="104"/>
        <v>SHARPNESS_AGC_PT</v>
      </c>
      <c r="R254" s="11">
        <f t="shared" si="117"/>
        <v>502</v>
      </c>
      <c r="S254" s="11"/>
      <c r="T254" s="13" t="str">
        <f t="shared" si="118"/>
        <v>#</v>
      </c>
      <c r="U254" s="14" t="str">
        <f t="shared" si="150"/>
        <v>SHARPNESS_AGC_PT</v>
      </c>
      <c r="V254" s="13">
        <f t="shared" si="151"/>
        <v>1</v>
      </c>
      <c r="W254" s="13">
        <f t="shared" si="152"/>
        <v>0</v>
      </c>
      <c r="X254" s="14" t="str">
        <f t="shared" si="154"/>
        <v>-</v>
      </c>
      <c r="Y254" s="1">
        <f t="shared" si="108"/>
        <v>0</v>
      </c>
      <c r="Z254" s="1">
        <f t="shared" si="109"/>
        <v>1</v>
      </c>
      <c r="AA254" s="1">
        <f t="shared" si="153"/>
        <v>0</v>
      </c>
      <c r="AB254" s="1">
        <f t="shared" si="110"/>
        <v>0</v>
      </c>
      <c r="AC254" s="10" t="str">
        <f t="shared" si="111"/>
        <v>OFF, 1=x5, 2=x2.5, 3=x1.67, 4=1.25, 5=x1, 6=x0.83, 8=x0.625, 0xA=x0.5, 0x14=x0.25, 0x32=x0.1) *</v>
      </c>
      <c r="AD254" s="1" t="e">
        <f t="shared" si="119"/>
        <v>#VALUE!</v>
      </c>
      <c r="AF254" s="3" t="str">
        <f t="shared" si="112"/>
        <v>0</v>
      </c>
      <c r="AG254" s="5" t="str">
        <f t="shared" si="113"/>
        <v>#SHARPNESS_AGC_PT</v>
      </c>
      <c r="AH254" s="3" t="str">
        <f t="shared" si="114"/>
        <v>1</v>
      </c>
      <c r="AI254" s="3" t="str">
        <f t="shared" si="115"/>
        <v>0</v>
      </c>
      <c r="AJ254" s="7">
        <f t="shared" si="120"/>
        <v>1</v>
      </c>
    </row>
    <row r="255" spans="1:36" x14ac:dyDescent="0.3">
      <c r="A255" s="15" t="s">
        <v>187</v>
      </c>
      <c r="B255" s="1">
        <f t="shared" si="121"/>
        <v>8</v>
      </c>
      <c r="C255" s="1">
        <f t="shared" si="122"/>
        <v>9</v>
      </c>
      <c r="D255" s="10" t="str">
        <f t="shared" si="123"/>
        <v>2</v>
      </c>
      <c r="E255" s="1">
        <f t="shared" si="124"/>
        <v>11</v>
      </c>
      <c r="F255" s="1">
        <f t="shared" si="125"/>
        <v>0</v>
      </c>
      <c r="G255" s="1">
        <f t="shared" si="126"/>
        <v>24</v>
      </c>
      <c r="H255" s="1">
        <f t="shared" si="133"/>
        <v>24</v>
      </c>
      <c r="I255" s="10" t="str">
        <f t="shared" si="127"/>
        <v>UpSHP_AGC_PT0</v>
      </c>
      <c r="J255" s="1">
        <f t="shared" si="134"/>
        <v>0</v>
      </c>
      <c r="K255" s="1">
        <f t="shared" si="128"/>
        <v>0</v>
      </c>
      <c r="L255" s="1" t="str">
        <f t="shared" si="129"/>
        <v>0</v>
      </c>
      <c r="M255" s="10">
        <f t="shared" si="130"/>
        <v>0</v>
      </c>
      <c r="N255" s="1">
        <f t="shared" si="131"/>
        <v>27</v>
      </c>
      <c r="O255" s="1">
        <f t="shared" si="116"/>
        <v>0</v>
      </c>
      <c r="P255" s="1">
        <f t="shared" si="132"/>
        <v>97</v>
      </c>
      <c r="Q255" s="3" t="str">
        <f t="shared" si="104"/>
        <v xml:space="preserve"> AGC interlocking point 0 in sharpness function (0x0 ~ UpSHP_AGC_PT1) </v>
      </c>
      <c r="R255" s="11">
        <f t="shared" si="117"/>
        <v>502</v>
      </c>
      <c r="S255" s="11"/>
      <c r="T255" s="13" t="str">
        <f t="shared" si="118"/>
        <v>1F6</v>
      </c>
      <c r="U255" s="14" t="str">
        <f t="shared" si="150"/>
        <v>UpSHP_AGC_PT0</v>
      </c>
      <c r="V255" s="13" t="str">
        <f t="shared" si="151"/>
        <v>2</v>
      </c>
      <c r="W255" s="13">
        <f t="shared" si="152"/>
        <v>0</v>
      </c>
      <c r="X255" s="14" t="str">
        <f t="shared" si="154"/>
        <v xml:space="preserve"> AGC interlocking point 0 in sharpness function (0x0 ~ UpSHP_AGC_PT1) </v>
      </c>
      <c r="Y255" s="1">
        <f t="shared" si="108"/>
        <v>1</v>
      </c>
      <c r="Z255" s="1">
        <f t="shared" si="109"/>
        <v>2</v>
      </c>
      <c r="AA255" s="1">
        <f t="shared" si="153"/>
        <v>0</v>
      </c>
      <c r="AB255" s="1">
        <f t="shared" si="110"/>
        <v>0</v>
      </c>
      <c r="AC255" s="10" t="e">
        <f t="shared" si="111"/>
        <v>#VALUE!</v>
      </c>
      <c r="AD255" s="1" t="e">
        <f t="shared" si="119"/>
        <v>#VALUE!</v>
      </c>
      <c r="AF255" s="3" t="e">
        <f t="shared" si="112"/>
        <v>#VALUE!</v>
      </c>
      <c r="AG255" s="5" t="str">
        <f t="shared" si="113"/>
        <v>UpSHP_AGC_PT0)/* AGC interlocking point 0 in sharpness function (0x0 ~ UpSHP_AGC_PT1) *</v>
      </c>
      <c r="AH255" s="3">
        <f t="shared" si="114"/>
        <v>2</v>
      </c>
      <c r="AI255" s="3">
        <f t="shared" si="115"/>
        <v>0</v>
      </c>
      <c r="AJ255" s="7">
        <f t="shared" si="120"/>
        <v>1</v>
      </c>
    </row>
    <row r="256" spans="1:36" x14ac:dyDescent="0.3">
      <c r="A256" s="15" t="s">
        <v>188</v>
      </c>
      <c r="B256" s="1">
        <f t="shared" si="121"/>
        <v>8</v>
      </c>
      <c r="C256" s="1">
        <f t="shared" si="122"/>
        <v>9</v>
      </c>
      <c r="D256" s="10" t="str">
        <f t="shared" si="123"/>
        <v>2</v>
      </c>
      <c r="E256" s="1">
        <f t="shared" si="124"/>
        <v>11</v>
      </c>
      <c r="F256" s="1">
        <f t="shared" si="125"/>
        <v>0</v>
      </c>
      <c r="G256" s="1">
        <f t="shared" si="126"/>
        <v>24</v>
      </c>
      <c r="H256" s="1">
        <f t="shared" si="133"/>
        <v>24</v>
      </c>
      <c r="I256" s="10" t="str">
        <f t="shared" si="127"/>
        <v>UpSHP_AGC_PT1</v>
      </c>
      <c r="J256" s="1">
        <f t="shared" si="134"/>
        <v>0</v>
      </c>
      <c r="K256" s="1">
        <f t="shared" si="128"/>
        <v>0</v>
      </c>
      <c r="L256" s="1" t="str">
        <f t="shared" si="129"/>
        <v>0</v>
      </c>
      <c r="M256" s="10">
        <f t="shared" si="130"/>
        <v>0</v>
      </c>
      <c r="N256" s="1">
        <f t="shared" si="131"/>
        <v>27</v>
      </c>
      <c r="O256" s="1">
        <f t="shared" si="116"/>
        <v>0</v>
      </c>
      <c r="P256" s="1">
        <f t="shared" si="132"/>
        <v>107</v>
      </c>
      <c r="Q256" s="3" t="str">
        <f t="shared" si="104"/>
        <v xml:space="preserve"> AGC interlocking point 1 in sharpness function (UpSHP_AGC_PT0 ~ UpSHP_AGC_PT1) </v>
      </c>
      <c r="R256" s="11">
        <f t="shared" si="117"/>
        <v>504</v>
      </c>
      <c r="S256" s="11"/>
      <c r="T256" s="13" t="str">
        <f t="shared" si="118"/>
        <v>1F8</v>
      </c>
      <c r="U256" s="14" t="str">
        <f t="shared" si="150"/>
        <v>UpSHP_AGC_PT1</v>
      </c>
      <c r="V256" s="13" t="str">
        <f t="shared" si="151"/>
        <v>2</v>
      </c>
      <c r="W256" s="13">
        <f t="shared" si="152"/>
        <v>0</v>
      </c>
      <c r="X256" s="14" t="str">
        <f t="shared" si="154"/>
        <v xml:space="preserve"> AGC interlocking point 1 in sharpness function (UpSHP_AGC_PT0 ~ UpSHP_AGC_PT1) </v>
      </c>
      <c r="Y256" s="1">
        <f t="shared" si="108"/>
        <v>1</v>
      </c>
      <c r="Z256" s="1">
        <f t="shared" si="109"/>
        <v>2</v>
      </c>
      <c r="AA256" s="1">
        <f t="shared" si="153"/>
        <v>0</v>
      </c>
      <c r="AB256" s="1">
        <f t="shared" si="110"/>
        <v>0</v>
      </c>
      <c r="AC256" s="10" t="e">
        <f t="shared" si="111"/>
        <v>#VALUE!</v>
      </c>
      <c r="AD256" s="1" t="e">
        <f t="shared" si="119"/>
        <v>#VALUE!</v>
      </c>
      <c r="AF256" s="3" t="e">
        <f t="shared" si="112"/>
        <v>#VALUE!</v>
      </c>
      <c r="AG256" s="5" t="str">
        <f t="shared" si="113"/>
        <v>UpSHP_AGC_PT1)/* AGC interlocking point 1 in sharpness function (UpSHP_AGC_PT0 ~ UpSHP_AGC_PT1) *</v>
      </c>
      <c r="AH256" s="3">
        <f t="shared" si="114"/>
        <v>2</v>
      </c>
      <c r="AI256" s="3">
        <f t="shared" si="115"/>
        <v>0</v>
      </c>
      <c r="AJ256" s="7">
        <f t="shared" si="120"/>
        <v>1</v>
      </c>
    </row>
    <row r="257" spans="1:36" x14ac:dyDescent="0.3">
      <c r="A257" s="15" t="s">
        <v>189</v>
      </c>
      <c r="B257" s="1">
        <f t="shared" si="121"/>
        <v>8</v>
      </c>
      <c r="C257" s="1">
        <f t="shared" si="122"/>
        <v>9</v>
      </c>
      <c r="D257" s="10" t="str">
        <f t="shared" si="123"/>
        <v>2</v>
      </c>
      <c r="E257" s="1">
        <f t="shared" si="124"/>
        <v>11</v>
      </c>
      <c r="F257" s="1">
        <f t="shared" si="125"/>
        <v>0</v>
      </c>
      <c r="G257" s="1">
        <f t="shared" si="126"/>
        <v>24</v>
      </c>
      <c r="H257" s="1">
        <f t="shared" si="133"/>
        <v>24</v>
      </c>
      <c r="I257" s="10" t="str">
        <f t="shared" si="127"/>
        <v>UpSHP_AGC_PT2</v>
      </c>
      <c r="J257" s="1">
        <f t="shared" si="134"/>
        <v>0</v>
      </c>
      <c r="K257" s="1">
        <f t="shared" si="128"/>
        <v>0</v>
      </c>
      <c r="L257" s="1" t="str">
        <f t="shared" si="129"/>
        <v>0</v>
      </c>
      <c r="M257" s="10">
        <f t="shared" si="130"/>
        <v>0</v>
      </c>
      <c r="N257" s="1">
        <f t="shared" si="131"/>
        <v>27</v>
      </c>
      <c r="O257" s="1">
        <f t="shared" si="116"/>
        <v>0</v>
      </c>
      <c r="P257" s="1">
        <f t="shared" si="132"/>
        <v>107</v>
      </c>
      <c r="Q257" s="3" t="str">
        <f t="shared" si="104"/>
        <v xml:space="preserve"> AGC interlocking point 2 in sharpness function (UpSHP_AGC_PT1 ~ AGC Max value) </v>
      </c>
      <c r="R257" s="11">
        <f t="shared" si="117"/>
        <v>506</v>
      </c>
      <c r="S257" s="11"/>
      <c r="T257" s="13" t="str">
        <f t="shared" si="118"/>
        <v>1FA</v>
      </c>
      <c r="U257" s="14" t="str">
        <f t="shared" si="150"/>
        <v>UpSHP_AGC_PT2</v>
      </c>
      <c r="V257" s="13" t="str">
        <f t="shared" si="151"/>
        <v>2</v>
      </c>
      <c r="W257" s="13">
        <f t="shared" si="152"/>
        <v>0</v>
      </c>
      <c r="X257" s="14" t="str">
        <f t="shared" si="154"/>
        <v xml:space="preserve"> AGC interlocking point 2 in sharpness function (UpSHP_AGC_PT1 ~ AGC Max value) </v>
      </c>
      <c r="Y257" s="1">
        <f t="shared" si="108"/>
        <v>1</v>
      </c>
      <c r="Z257" s="1">
        <f t="shared" si="109"/>
        <v>2</v>
      </c>
      <c r="AA257" s="1">
        <f t="shared" si="153"/>
        <v>0</v>
      </c>
      <c r="AB257" s="1">
        <f t="shared" si="110"/>
        <v>0</v>
      </c>
      <c r="AC257" s="10" t="e">
        <f t="shared" si="111"/>
        <v>#VALUE!</v>
      </c>
      <c r="AD257" s="1" t="e">
        <f t="shared" si="119"/>
        <v>#VALUE!</v>
      </c>
      <c r="AF257" s="3" t="e">
        <f t="shared" si="112"/>
        <v>#VALUE!</v>
      </c>
      <c r="AG257" s="5" t="str">
        <f t="shared" si="113"/>
        <v>UpSHP_AGC_PT2)/* AGC interlocking point 2 in sharpness function (UpSHP_AGC_PT1 ~ AGC Max value) *</v>
      </c>
      <c r="AH257" s="3">
        <f t="shared" si="114"/>
        <v>2</v>
      </c>
      <c r="AI257" s="3">
        <f t="shared" si="115"/>
        <v>0</v>
      </c>
      <c r="AJ257" s="7">
        <f t="shared" si="120"/>
        <v>1</v>
      </c>
    </row>
    <row r="258" spans="1:36" x14ac:dyDescent="0.3">
      <c r="A258" s="15" t="s">
        <v>200</v>
      </c>
      <c r="B258" s="1">
        <f t="shared" si="121"/>
        <v>8</v>
      </c>
      <c r="C258" s="1">
        <f t="shared" si="122"/>
        <v>9</v>
      </c>
      <c r="D258" s="10" t="str">
        <f t="shared" si="123"/>
        <v>2</v>
      </c>
      <c r="E258" s="1">
        <f t="shared" si="124"/>
        <v>11</v>
      </c>
      <c r="F258" s="1">
        <f t="shared" si="125"/>
        <v>0</v>
      </c>
      <c r="G258" s="1">
        <f t="shared" si="126"/>
        <v>28</v>
      </c>
      <c r="H258" s="1">
        <f t="shared" si="133"/>
        <v>28</v>
      </c>
      <c r="I258" s="10" t="str">
        <f t="shared" si="127"/>
        <v>UpSHP_WDR_AGC_PT0</v>
      </c>
      <c r="J258" s="1">
        <f t="shared" si="134"/>
        <v>0</v>
      </c>
      <c r="K258" s="1">
        <f t="shared" si="128"/>
        <v>0</v>
      </c>
      <c r="L258" s="1" t="str">
        <f t="shared" si="129"/>
        <v>0</v>
      </c>
      <c r="M258" s="10">
        <f t="shared" si="130"/>
        <v>0</v>
      </c>
      <c r="N258" s="1">
        <f t="shared" si="131"/>
        <v>31</v>
      </c>
      <c r="O258" s="1">
        <f t="shared" si="116"/>
        <v>0</v>
      </c>
      <c r="P258" s="1">
        <f t="shared" si="132"/>
        <v>108</v>
      </c>
      <c r="Q258" s="3" t="str">
        <f t="shared" si="104"/>
        <v xml:space="preserve"> AGC interlocking point 0 in sharpness function of WDR (0x0 ~ UpSHP_AGC_PT1) </v>
      </c>
      <c r="R258" s="11">
        <f t="shared" si="117"/>
        <v>508</v>
      </c>
      <c r="S258" s="11"/>
      <c r="T258" s="13" t="str">
        <f t="shared" si="118"/>
        <v>1FC</v>
      </c>
      <c r="U258" s="14" t="str">
        <f t="shared" si="150"/>
        <v>UpSHP_WDR_AGC_PT0</v>
      </c>
      <c r="V258" s="13" t="str">
        <f t="shared" si="151"/>
        <v>2</v>
      </c>
      <c r="W258" s="13">
        <f t="shared" si="152"/>
        <v>0</v>
      </c>
      <c r="X258" s="14" t="str">
        <f t="shared" si="154"/>
        <v xml:space="preserve"> AGC interlocking point 0 in sharpness function of WDR (0x0 ~ UpSHP_AGC_PT1) </v>
      </c>
      <c r="Y258" s="1">
        <f t="shared" si="108"/>
        <v>1</v>
      </c>
      <c r="Z258" s="1">
        <f t="shared" si="109"/>
        <v>2</v>
      </c>
      <c r="AA258" s="1">
        <f t="shared" si="153"/>
        <v>0</v>
      </c>
      <c r="AB258" s="1">
        <f t="shared" si="110"/>
        <v>0</v>
      </c>
      <c r="AC258" s="10" t="e">
        <f t="shared" si="111"/>
        <v>#VALUE!</v>
      </c>
      <c r="AD258" s="1" t="e">
        <f t="shared" si="119"/>
        <v>#VALUE!</v>
      </c>
      <c r="AF258" s="3" t="e">
        <f t="shared" si="112"/>
        <v>#VALUE!</v>
      </c>
      <c r="AG258" s="5" t="str">
        <f t="shared" si="113"/>
        <v>UpSHP_WDR_AGC_PT0)/* AGC interlocking point 0 in sharpness function of WDR (0x0 ~ UpSHP_AGC_PT1) *</v>
      </c>
      <c r="AH258" s="3">
        <f t="shared" si="114"/>
        <v>2</v>
      </c>
      <c r="AI258" s="3">
        <f t="shared" si="115"/>
        <v>0</v>
      </c>
      <c r="AJ258" s="7">
        <f t="shared" si="120"/>
        <v>1</v>
      </c>
    </row>
    <row r="259" spans="1:36" x14ac:dyDescent="0.3">
      <c r="A259" s="15" t="s">
        <v>201</v>
      </c>
      <c r="B259" s="1">
        <f t="shared" si="121"/>
        <v>8</v>
      </c>
      <c r="C259" s="1">
        <f t="shared" si="122"/>
        <v>9</v>
      </c>
      <c r="D259" s="10" t="str">
        <f t="shared" si="123"/>
        <v>2</v>
      </c>
      <c r="E259" s="1">
        <f t="shared" si="124"/>
        <v>11</v>
      </c>
      <c r="F259" s="1">
        <f t="shared" si="125"/>
        <v>0</v>
      </c>
      <c r="G259" s="1">
        <f t="shared" si="126"/>
        <v>28</v>
      </c>
      <c r="H259" s="1">
        <f t="shared" si="133"/>
        <v>28</v>
      </c>
      <c r="I259" s="10" t="str">
        <f t="shared" si="127"/>
        <v>UpSHP_WDR_AGC_PT1</v>
      </c>
      <c r="J259" s="1">
        <f t="shared" si="134"/>
        <v>0</v>
      </c>
      <c r="K259" s="1">
        <f t="shared" si="128"/>
        <v>0</v>
      </c>
      <c r="L259" s="1" t="str">
        <f t="shared" si="129"/>
        <v>0</v>
      </c>
      <c r="M259" s="10">
        <f t="shared" si="130"/>
        <v>0</v>
      </c>
      <c r="N259" s="1">
        <f t="shared" si="131"/>
        <v>31</v>
      </c>
      <c r="O259" s="1">
        <f t="shared" si="116"/>
        <v>0</v>
      </c>
      <c r="P259" s="1">
        <f t="shared" si="132"/>
        <v>118</v>
      </c>
      <c r="Q259" s="3" t="str">
        <f t="shared" si="104"/>
        <v xml:space="preserve"> AGC interlocking point 1 in sharpness function of WDR (UpSHP_AGC_PT0 ~ UpSHP_AGC_PT1) </v>
      </c>
      <c r="R259" s="11">
        <f t="shared" si="117"/>
        <v>510</v>
      </c>
      <c r="S259" s="11"/>
      <c r="T259" s="13" t="str">
        <f t="shared" si="118"/>
        <v>1FE</v>
      </c>
      <c r="U259" s="14" t="str">
        <f t="shared" si="150"/>
        <v>UpSHP_WDR_AGC_PT1</v>
      </c>
      <c r="V259" s="13" t="str">
        <f t="shared" si="151"/>
        <v>2</v>
      </c>
      <c r="W259" s="13">
        <f t="shared" si="152"/>
        <v>0</v>
      </c>
      <c r="X259" s="14" t="str">
        <f t="shared" si="154"/>
        <v xml:space="preserve"> AGC interlocking point 1 in sharpness function of WDR (UpSHP_AGC_PT0 ~ UpSHP_AGC_PT1) </v>
      </c>
      <c r="Y259" s="1">
        <f t="shared" si="108"/>
        <v>1</v>
      </c>
      <c r="Z259" s="1">
        <f t="shared" si="109"/>
        <v>2</v>
      </c>
      <c r="AA259" s="1">
        <f t="shared" si="153"/>
        <v>0</v>
      </c>
      <c r="AB259" s="1">
        <f t="shared" si="110"/>
        <v>0</v>
      </c>
      <c r="AC259" s="10" t="e">
        <f t="shared" si="111"/>
        <v>#VALUE!</v>
      </c>
      <c r="AD259" s="1" t="e">
        <f t="shared" si="119"/>
        <v>#VALUE!</v>
      </c>
      <c r="AF259" s="3" t="e">
        <f t="shared" si="112"/>
        <v>#VALUE!</v>
      </c>
      <c r="AG259" s="5" t="str">
        <f t="shared" si="113"/>
        <v>UpSHP_WDR_AGC_PT1)/* AGC interlocking point 1 in sharpness function of WDR (UpSHP_AGC_PT0 ~ UpSHP_AGC_PT1) *</v>
      </c>
      <c r="AH259" s="3">
        <f t="shared" si="114"/>
        <v>2</v>
      </c>
      <c r="AI259" s="3">
        <f t="shared" si="115"/>
        <v>0</v>
      </c>
      <c r="AJ259" s="7">
        <f t="shared" si="120"/>
        <v>1</v>
      </c>
    </row>
    <row r="260" spans="1:36" x14ac:dyDescent="0.3">
      <c r="A260" s="15" t="s">
        <v>202</v>
      </c>
      <c r="B260" s="1">
        <f t="shared" si="121"/>
        <v>8</v>
      </c>
      <c r="C260" s="1">
        <f t="shared" si="122"/>
        <v>9</v>
      </c>
      <c r="D260" s="10" t="str">
        <f t="shared" si="123"/>
        <v>2</v>
      </c>
      <c r="E260" s="1">
        <f t="shared" si="124"/>
        <v>11</v>
      </c>
      <c r="F260" s="1">
        <f t="shared" si="125"/>
        <v>0</v>
      </c>
      <c r="G260" s="1">
        <f t="shared" si="126"/>
        <v>28</v>
      </c>
      <c r="H260" s="1">
        <f t="shared" si="133"/>
        <v>28</v>
      </c>
      <c r="I260" s="10" t="str">
        <f t="shared" si="127"/>
        <v>UpSHP_WDR_AGC_PT2</v>
      </c>
      <c r="J260" s="1">
        <f t="shared" si="134"/>
        <v>0</v>
      </c>
      <c r="K260" s="1">
        <f t="shared" si="128"/>
        <v>0</v>
      </c>
      <c r="L260" s="1" t="str">
        <f t="shared" si="129"/>
        <v>0</v>
      </c>
      <c r="M260" s="10">
        <f t="shared" si="130"/>
        <v>0</v>
      </c>
      <c r="N260" s="1">
        <f t="shared" si="131"/>
        <v>31</v>
      </c>
      <c r="O260" s="1">
        <f t="shared" si="116"/>
        <v>0</v>
      </c>
      <c r="P260" s="1">
        <f t="shared" si="132"/>
        <v>118</v>
      </c>
      <c r="Q260" s="3" t="str">
        <f t="shared" ref="Q260:Q323" si="155">IF($N260&gt;0,MID($A260,($N260+$O260),$P260-($N260+$O260)),"")</f>
        <v xml:space="preserve"> AGC interlocking point 2 in sharpness function of WDR (UpSHP_AGC_PT1 ~ AGC Max value) </v>
      </c>
      <c r="R260" s="11">
        <f t="shared" si="117"/>
        <v>512</v>
      </c>
      <c r="S260" s="11"/>
      <c r="T260" s="13" t="str">
        <f t="shared" si="118"/>
        <v>200</v>
      </c>
      <c r="U260" s="14" t="str">
        <f t="shared" si="150"/>
        <v>UpSHP_WDR_AGC_PT2</v>
      </c>
      <c r="V260" s="13" t="str">
        <f t="shared" si="151"/>
        <v>2</v>
      </c>
      <c r="W260" s="13">
        <f t="shared" si="152"/>
        <v>0</v>
      </c>
      <c r="X260" s="14" t="str">
        <f t="shared" si="154"/>
        <v xml:space="preserve"> AGC interlocking point 2 in sharpness function of WDR (UpSHP_AGC_PT1 ~ AGC Max value) </v>
      </c>
      <c r="Y260" s="1">
        <f t="shared" ref="Y260:Y301" si="156">IFERROR(SEARCH("UP_SET",A260),0)</f>
        <v>1</v>
      </c>
      <c r="Z260" s="1">
        <f t="shared" ref="Z260:Z301" si="157">IF(Y260=0,Z259,INT(MID(A260,8,1)))</f>
        <v>2</v>
      </c>
      <c r="AA260" s="1">
        <f t="shared" si="153"/>
        <v>0</v>
      </c>
      <c r="AB260" s="1">
        <f t="shared" ref="AB260:AB301" si="158">IF(AA260=0,0,MID(A260,AA260,LEN(A260)-AA260-1))</f>
        <v>0</v>
      </c>
      <c r="AC260" s="10" t="e">
        <f t="shared" ref="AC260:AC301" si="159">IF(AB260=0,IF(Y260=0,AC259,Z259+AC259),AB260)</f>
        <v>#VALUE!</v>
      </c>
      <c r="AD260" s="1" t="e">
        <f t="shared" si="119"/>
        <v>#VALUE!</v>
      </c>
      <c r="AF260" s="3" t="e">
        <f t="shared" ref="AF260:AF301" si="160">IF(A260="",IF(A259="","",$T$1),IF(Y260=0,"0",AD260))</f>
        <v>#VALUE!</v>
      </c>
      <c r="AG260" s="5" t="str">
        <f t="shared" ref="AG260:AG301" si="161">IF(A260="",IF(A259="","",$U$1),IFERROR(IF(Y260=0,MID(A260,3,LEN(A260)-5),MID(A260,11,IF(AA260=0,LEN(A260)-1-11,AA260-11-2))),"-"))</f>
        <v>UpSHP_WDR_AGC_PT2)/* AGC interlocking point 2 in sharpness function of WDR (UpSHP_AGC_PT1 ~ AGC Max value) *</v>
      </c>
      <c r="AH260" s="3">
        <f t="shared" ref="AH260:AH301" si="162">IF(Y260=0,"1",Z260)</f>
        <v>2</v>
      </c>
      <c r="AI260" s="3">
        <f t="shared" ref="AI260:AI301" si="163">IF(Y260=0,"0",0)</f>
        <v>0</v>
      </c>
      <c r="AJ260" s="7">
        <f t="shared" si="120"/>
        <v>1</v>
      </c>
    </row>
    <row r="261" spans="1:36" x14ac:dyDescent="0.3">
      <c r="A261" s="15" t="s">
        <v>147</v>
      </c>
      <c r="B261" s="1">
        <f t="shared" si="121"/>
        <v>0</v>
      </c>
      <c r="C261" s="1">
        <f t="shared" si="122"/>
        <v>0</v>
      </c>
      <c r="D261" s="10">
        <f t="shared" si="123"/>
        <v>0</v>
      </c>
      <c r="E261" s="1">
        <f t="shared" si="124"/>
        <v>0</v>
      </c>
      <c r="F261" s="1">
        <f t="shared" si="125"/>
        <v>0</v>
      </c>
      <c r="G261" s="1">
        <f t="shared" si="126"/>
        <v>0</v>
      </c>
      <c r="H261" s="1">
        <f t="shared" si="133"/>
        <v>0</v>
      </c>
      <c r="I261" s="10">
        <f t="shared" si="127"/>
        <v>0</v>
      </c>
      <c r="J261" s="1">
        <f t="shared" si="134"/>
        <v>0</v>
      </c>
      <c r="K261" s="1">
        <f t="shared" si="128"/>
        <v>0</v>
      </c>
      <c r="L261" s="1" t="str">
        <f t="shared" si="129"/>
        <v>0</v>
      </c>
      <c r="M261" s="10">
        <f t="shared" si="130"/>
        <v>0</v>
      </c>
      <c r="N261" s="1">
        <f t="shared" si="131"/>
        <v>3</v>
      </c>
      <c r="O261" s="1">
        <f t="shared" ref="O261:O324" si="164">IFERROR(FIND("#",$A261)+1-N261,0)</f>
        <v>1</v>
      </c>
      <c r="P261" s="1">
        <f t="shared" si="132"/>
        <v>17</v>
      </c>
      <c r="Q261" s="3" t="str">
        <f t="shared" si="155"/>
        <v>SHARPNESS_PT0</v>
      </c>
      <c r="R261" s="11">
        <f t="shared" ref="R261:R299" si="165">IF(M261&gt;0,M261,D260+R260)</f>
        <v>514</v>
      </c>
      <c r="S261" s="11"/>
      <c r="T261" s="13" t="str">
        <f t="shared" ref="T261:T324" si="166">IF(A261="",IF(A260="","",$T$1),IF(O261=1,"#",IF(B261=0,"*",DEC2HEX(R261))))</f>
        <v>#</v>
      </c>
      <c r="U261" s="14" t="str">
        <f t="shared" si="150"/>
        <v>SHARPNESS_PT0</v>
      </c>
      <c r="V261" s="13">
        <f t="shared" si="151"/>
        <v>1</v>
      </c>
      <c r="W261" s="13">
        <f t="shared" si="152"/>
        <v>0</v>
      </c>
      <c r="X261" s="14" t="str">
        <f t="shared" si="154"/>
        <v>-</v>
      </c>
      <c r="Y261" s="1">
        <f t="shared" si="156"/>
        <v>0</v>
      </c>
      <c r="Z261" s="1">
        <f t="shared" si="157"/>
        <v>2</v>
      </c>
      <c r="AA261" s="1">
        <f t="shared" si="153"/>
        <v>0</v>
      </c>
      <c r="AB261" s="1">
        <f t="shared" si="158"/>
        <v>0</v>
      </c>
      <c r="AC261" s="10" t="e">
        <f t="shared" si="159"/>
        <v>#VALUE!</v>
      </c>
      <c r="AD261" s="1" t="e">
        <f t="shared" ref="AD261:AD301" si="167">DEC2HEX(AC261)</f>
        <v>#VALUE!</v>
      </c>
      <c r="AF261" s="3" t="str">
        <f t="shared" si="160"/>
        <v>0</v>
      </c>
      <c r="AG261" s="5" t="str">
        <f t="shared" si="161"/>
        <v>#SHARPNESS_PT0</v>
      </c>
      <c r="AH261" s="3" t="str">
        <f t="shared" si="162"/>
        <v>1</v>
      </c>
      <c r="AI261" s="3" t="str">
        <f t="shared" si="163"/>
        <v>0</v>
      </c>
      <c r="AJ261" s="7">
        <f t="shared" ref="AJ261:AJ301" si="168">IF(LEN(U261)=0,0,IF(U261="END_ID",0,1))</f>
        <v>1</v>
      </c>
    </row>
    <row r="262" spans="1:36" x14ac:dyDescent="0.3">
      <c r="A262" s="15" t="s">
        <v>293</v>
      </c>
      <c r="B262" s="1">
        <f t="shared" si="121"/>
        <v>8</v>
      </c>
      <c r="C262" s="1">
        <f t="shared" si="122"/>
        <v>9</v>
      </c>
      <c r="D262" s="10" t="str">
        <f t="shared" si="123"/>
        <v>2</v>
      </c>
      <c r="E262" s="1">
        <f t="shared" si="124"/>
        <v>11</v>
      </c>
      <c r="F262" s="1">
        <f t="shared" si="125"/>
        <v>0</v>
      </c>
      <c r="G262" s="1">
        <f t="shared" si="126"/>
        <v>26</v>
      </c>
      <c r="H262" s="1">
        <f t="shared" si="133"/>
        <v>26</v>
      </c>
      <c r="I262" s="10" t="str">
        <f t="shared" si="127"/>
        <v>UpAPT55_TH1_PT0</v>
      </c>
      <c r="J262" s="1">
        <f t="shared" si="134"/>
        <v>0</v>
      </c>
      <c r="K262" s="1">
        <f t="shared" si="128"/>
        <v>0</v>
      </c>
      <c r="L262" s="1" t="str">
        <f t="shared" si="129"/>
        <v>0</v>
      </c>
      <c r="M262" s="10">
        <f t="shared" si="130"/>
        <v>0</v>
      </c>
      <c r="N262" s="1">
        <f t="shared" si="131"/>
        <v>29</v>
      </c>
      <c r="O262" s="1">
        <f t="shared" si="164"/>
        <v>0</v>
      </c>
      <c r="P262" s="1">
        <f t="shared" si="132"/>
        <v>107</v>
      </c>
      <c r="Q262" s="3" t="str">
        <f t="shared" si="155"/>
        <v xml:space="preserve"> Sharpness 5x5 threshold 1 (corresponding to Point 0) (0x0 ~ UpAPT55_TH2_PT0) </v>
      </c>
      <c r="R262" s="11">
        <f t="shared" si="165"/>
        <v>514</v>
      </c>
      <c r="S262" s="11"/>
      <c r="T262" s="13" t="str">
        <f t="shared" si="166"/>
        <v>202</v>
      </c>
      <c r="U262" s="14" t="str">
        <f t="shared" si="150"/>
        <v>UpAPT55_TH1_PT0</v>
      </c>
      <c r="V262" s="13" t="str">
        <f t="shared" si="151"/>
        <v>2</v>
      </c>
      <c r="W262" s="13">
        <f t="shared" si="152"/>
        <v>0</v>
      </c>
      <c r="X262" s="14" t="str">
        <f t="shared" si="154"/>
        <v xml:space="preserve"> Sharpness 5x5 threshold 1 (corresponding to Point 0) (0x0 ~ UpAPT55_TH2_PT0) </v>
      </c>
      <c r="Y262" s="1">
        <f t="shared" si="156"/>
        <v>1</v>
      </c>
      <c r="Z262" s="1">
        <f t="shared" si="157"/>
        <v>2</v>
      </c>
      <c r="AA262" s="1">
        <f t="shared" si="153"/>
        <v>0</v>
      </c>
      <c r="AB262" s="1">
        <f t="shared" si="158"/>
        <v>0</v>
      </c>
      <c r="AC262" s="10" t="e">
        <f t="shared" si="159"/>
        <v>#VALUE!</v>
      </c>
      <c r="AD262" s="1" t="e">
        <f t="shared" si="167"/>
        <v>#VALUE!</v>
      </c>
      <c r="AF262" s="3" t="e">
        <f t="shared" si="160"/>
        <v>#VALUE!</v>
      </c>
      <c r="AG262" s="5" t="str">
        <f t="shared" si="161"/>
        <v>UpAPT55_TH1_PT0)/* Sharpness 5x5 threshold 1 (corresponding to Point 0) (0x0 ~ UpAPT55_TH2_PT0) *</v>
      </c>
      <c r="AH262" s="3">
        <f t="shared" si="162"/>
        <v>2</v>
      </c>
      <c r="AI262" s="3">
        <f t="shared" si="163"/>
        <v>0</v>
      </c>
      <c r="AJ262" s="7">
        <f t="shared" si="168"/>
        <v>1</v>
      </c>
    </row>
    <row r="263" spans="1:36" x14ac:dyDescent="0.3">
      <c r="A263" s="15" t="s">
        <v>294</v>
      </c>
      <c r="B263" s="1">
        <f t="shared" ref="B263:B326" si="169">IFERROR(FIND("UP_SET(",$A263)+7,0)</f>
        <v>8</v>
      </c>
      <c r="C263" s="1">
        <f t="shared" ref="C263:C326" si="170">IF($B263&gt;0,FIND(",",$A263,$B263),0)</f>
        <v>9</v>
      </c>
      <c r="D263" s="10" t="str">
        <f t="shared" ref="D263:D326" si="171">IF($B263&gt;0,MID($A263,$B263,$C263-$B263),0)</f>
        <v>2</v>
      </c>
      <c r="E263" s="1">
        <f t="shared" ref="E263:E326" si="172">IF($B263&gt;0,FIND("Up",$A263,$C263),0)</f>
        <v>11</v>
      </c>
      <c r="F263" s="1">
        <f t="shared" ref="F263:F326" si="173">IF($B263&gt;0,IFERROR(FIND(",",$A263,$E263),0),0)</f>
        <v>0</v>
      </c>
      <c r="G263" s="1">
        <f t="shared" ref="G263:G326" si="174">IF($B263&gt;0,FIND(")",$A263,$B263),0)</f>
        <v>26</v>
      </c>
      <c r="H263" s="1">
        <f t="shared" si="133"/>
        <v>26</v>
      </c>
      <c r="I263" s="10" t="str">
        <f t="shared" ref="I263:I326" si="175">IF($B263&gt;0,MID($A263,$E263,$H263-$E263),0)</f>
        <v>UpAPT55_TH2_PT0</v>
      </c>
      <c r="J263" s="1">
        <f t="shared" si="134"/>
        <v>0</v>
      </c>
      <c r="K263" s="1">
        <f t="shared" ref="K263:K299" si="176">IF(J263&gt;0,MID(A263,J263,G263-J263),0)</f>
        <v>0</v>
      </c>
      <c r="L263" s="1" t="str">
        <f t="shared" ref="L263:L299" si="177">IFERROR(RIGHT(K263,LEN(K263)-FIND("0x",K263)-1),DEC2HEX(K263))</f>
        <v>0</v>
      </c>
      <c r="M263" s="10">
        <f t="shared" ref="M263:M299" si="178">HEX2DEC(L263)</f>
        <v>0</v>
      </c>
      <c r="N263" s="1">
        <f t="shared" ref="N263:N326" si="179">IFERROR(FIND("/*",$A263)+2,0)</f>
        <v>29</v>
      </c>
      <c r="O263" s="1">
        <f t="shared" si="164"/>
        <v>0</v>
      </c>
      <c r="P263" s="1">
        <f t="shared" ref="P263:P299" si="180">IFERROR(FIND("*/",$A263,N263+1),0)</f>
        <v>97</v>
      </c>
      <c r="Q263" s="3" t="str">
        <f t="shared" si="155"/>
        <v xml:space="preserve"> Sharpness 5x5 threshold 2 (corresponding to Point 0) (0x0 ~ 0xFFF) </v>
      </c>
      <c r="R263" s="11">
        <f t="shared" si="165"/>
        <v>516</v>
      </c>
      <c r="S263" s="11"/>
      <c r="T263" s="13" t="str">
        <f t="shared" si="166"/>
        <v>204</v>
      </c>
      <c r="U263" s="14" t="str">
        <f t="shared" si="150"/>
        <v>UpAPT55_TH2_PT0</v>
      </c>
      <c r="V263" s="13" t="str">
        <f t="shared" si="151"/>
        <v>2</v>
      </c>
      <c r="W263" s="13">
        <f t="shared" si="152"/>
        <v>0</v>
      </c>
      <c r="X263" s="14" t="str">
        <f t="shared" si="154"/>
        <v xml:space="preserve"> Sharpness 5x5 threshold 2 (corresponding to Point 0) (0x0 ~ 0xFFF) </v>
      </c>
      <c r="Y263" s="1">
        <f t="shared" si="156"/>
        <v>1</v>
      </c>
      <c r="Z263" s="1">
        <f t="shared" si="157"/>
        <v>2</v>
      </c>
      <c r="AA263" s="1">
        <f t="shared" si="153"/>
        <v>0</v>
      </c>
      <c r="AB263" s="1">
        <f t="shared" si="158"/>
        <v>0</v>
      </c>
      <c r="AC263" s="10" t="e">
        <f t="shared" si="159"/>
        <v>#VALUE!</v>
      </c>
      <c r="AD263" s="1" t="e">
        <f t="shared" si="167"/>
        <v>#VALUE!</v>
      </c>
      <c r="AF263" s="3" t="e">
        <f t="shared" si="160"/>
        <v>#VALUE!</v>
      </c>
      <c r="AG263" s="5" t="str">
        <f t="shared" si="161"/>
        <v>UpAPT55_TH2_PT0)/* Sharpness 5x5 threshold 2 (corresponding to Point 0) (0x0 ~ 0xFFF) *</v>
      </c>
      <c r="AH263" s="3">
        <f t="shared" si="162"/>
        <v>2</v>
      </c>
      <c r="AI263" s="3">
        <f t="shared" si="163"/>
        <v>0</v>
      </c>
      <c r="AJ263" s="7">
        <f t="shared" si="168"/>
        <v>1</v>
      </c>
    </row>
    <row r="264" spans="1:36" x14ac:dyDescent="0.3">
      <c r="A264" s="15" t="s">
        <v>295</v>
      </c>
      <c r="B264" s="1">
        <f t="shared" si="169"/>
        <v>8</v>
      </c>
      <c r="C264" s="1">
        <f t="shared" si="170"/>
        <v>9</v>
      </c>
      <c r="D264" s="10" t="str">
        <f t="shared" si="171"/>
        <v>2</v>
      </c>
      <c r="E264" s="1">
        <f t="shared" si="172"/>
        <v>11</v>
      </c>
      <c r="F264" s="1">
        <f t="shared" si="173"/>
        <v>0</v>
      </c>
      <c r="G264" s="1">
        <f t="shared" si="174"/>
        <v>26</v>
      </c>
      <c r="H264" s="1">
        <f t="shared" ref="H264:H299" si="181">IF(AND(F264&gt;0,F264&lt;G264),F264,G264)</f>
        <v>26</v>
      </c>
      <c r="I264" s="10" t="str">
        <f t="shared" si="175"/>
        <v>UpAPT55_TH3_PT0</v>
      </c>
      <c r="J264" s="1">
        <f t="shared" ref="J264:J299" si="182">IF(AND(F264&gt;0,F264&lt;G264),FIND("=",A264,F264)+1,0)</f>
        <v>0</v>
      </c>
      <c r="K264" s="1">
        <f t="shared" si="176"/>
        <v>0</v>
      </c>
      <c r="L264" s="1" t="str">
        <f t="shared" si="177"/>
        <v>0</v>
      </c>
      <c r="M264" s="10">
        <f t="shared" si="178"/>
        <v>0</v>
      </c>
      <c r="N264" s="1">
        <f t="shared" si="179"/>
        <v>29</v>
      </c>
      <c r="O264" s="1">
        <f t="shared" si="164"/>
        <v>0</v>
      </c>
      <c r="P264" s="1">
        <f t="shared" si="180"/>
        <v>97</v>
      </c>
      <c r="Q264" s="3" t="str">
        <f t="shared" si="155"/>
        <v xml:space="preserve"> Sharpness 5x5 threshold 3 (corresponding to Point 0) (0x0 ~ 0x3FF) </v>
      </c>
      <c r="R264" s="11">
        <f t="shared" si="165"/>
        <v>518</v>
      </c>
      <c r="S264" s="11"/>
      <c r="T264" s="13" t="str">
        <f t="shared" si="166"/>
        <v>206</v>
      </c>
      <c r="U264" s="14" t="str">
        <f t="shared" si="150"/>
        <v>UpAPT55_TH3_PT0</v>
      </c>
      <c r="V264" s="13" t="str">
        <f t="shared" si="151"/>
        <v>2</v>
      </c>
      <c r="W264" s="13">
        <f t="shared" si="152"/>
        <v>0</v>
      </c>
      <c r="X264" s="14" t="str">
        <f t="shared" si="154"/>
        <v xml:space="preserve"> Sharpness 5x5 threshold 3 (corresponding to Point 0) (0x0 ~ 0x3FF) </v>
      </c>
      <c r="Y264" s="1">
        <f t="shared" si="156"/>
        <v>1</v>
      </c>
      <c r="Z264" s="1">
        <f t="shared" si="157"/>
        <v>2</v>
      </c>
      <c r="AA264" s="1">
        <f t="shared" si="153"/>
        <v>0</v>
      </c>
      <c r="AB264" s="1">
        <f t="shared" si="158"/>
        <v>0</v>
      </c>
      <c r="AC264" s="10" t="e">
        <f t="shared" si="159"/>
        <v>#VALUE!</v>
      </c>
      <c r="AD264" s="1" t="e">
        <f t="shared" si="167"/>
        <v>#VALUE!</v>
      </c>
      <c r="AF264" s="3" t="e">
        <f t="shared" si="160"/>
        <v>#VALUE!</v>
      </c>
      <c r="AG264" s="5" t="str">
        <f t="shared" si="161"/>
        <v>UpAPT55_TH3_PT0)/* Sharpness 5x5 threshold 3 (corresponding to Point 0) (0x0 ~ 0x3FF) *</v>
      </c>
      <c r="AH264" s="3">
        <f t="shared" si="162"/>
        <v>2</v>
      </c>
      <c r="AI264" s="3">
        <f t="shared" si="163"/>
        <v>0</v>
      </c>
      <c r="AJ264" s="7">
        <f t="shared" si="168"/>
        <v>1</v>
      </c>
    </row>
    <row r="265" spans="1:36" x14ac:dyDescent="0.3">
      <c r="A265" s="15" t="s">
        <v>296</v>
      </c>
      <c r="B265" s="1">
        <f t="shared" si="169"/>
        <v>8</v>
      </c>
      <c r="C265" s="1">
        <f t="shared" si="170"/>
        <v>9</v>
      </c>
      <c r="D265" s="10" t="str">
        <f t="shared" si="171"/>
        <v>1</v>
      </c>
      <c r="E265" s="1">
        <f t="shared" si="172"/>
        <v>11</v>
      </c>
      <c r="F265" s="1">
        <f t="shared" si="173"/>
        <v>0</v>
      </c>
      <c r="G265" s="1">
        <f t="shared" si="174"/>
        <v>29</v>
      </c>
      <c r="H265" s="1">
        <f t="shared" si="181"/>
        <v>29</v>
      </c>
      <c r="I265" s="10" t="str">
        <f t="shared" si="175"/>
        <v>UpAPT55_GAIN1N_PT0</v>
      </c>
      <c r="J265" s="1">
        <f t="shared" si="182"/>
        <v>0</v>
      </c>
      <c r="K265" s="1">
        <f t="shared" si="176"/>
        <v>0</v>
      </c>
      <c r="L265" s="1" t="str">
        <f t="shared" si="177"/>
        <v>0</v>
      </c>
      <c r="M265" s="10">
        <f t="shared" si="178"/>
        <v>0</v>
      </c>
      <c r="N265" s="1">
        <f t="shared" si="179"/>
        <v>32</v>
      </c>
      <c r="O265" s="1">
        <f t="shared" si="164"/>
        <v>0</v>
      </c>
      <c r="P265" s="1">
        <f t="shared" si="180"/>
        <v>108</v>
      </c>
      <c r="Q265" s="3" t="str">
        <f t="shared" si="155"/>
        <v xml:space="preserve"> Sharpness 5x5 gain negative edge 1 (corresponding to Point 0) (0x0 ~ 0xFF) </v>
      </c>
      <c r="R265" s="11">
        <f t="shared" si="165"/>
        <v>520</v>
      </c>
      <c r="S265" s="11"/>
      <c r="T265" s="13" t="str">
        <f t="shared" si="166"/>
        <v>208</v>
      </c>
      <c r="U265" s="14" t="str">
        <f t="shared" si="150"/>
        <v>UpAPT55_GAIN1N_PT0</v>
      </c>
      <c r="V265" s="13" t="str">
        <f t="shared" si="151"/>
        <v>1</v>
      </c>
      <c r="W265" s="13">
        <f t="shared" si="152"/>
        <v>0</v>
      </c>
      <c r="X265" s="14" t="str">
        <f t="shared" si="154"/>
        <v xml:space="preserve"> Sharpness 5x5 gain negative edge 1 (corresponding to Point 0) (0x0 ~ 0xFF) </v>
      </c>
      <c r="Y265" s="1">
        <f t="shared" si="156"/>
        <v>1</v>
      </c>
      <c r="Z265" s="1">
        <f t="shared" si="157"/>
        <v>1</v>
      </c>
      <c r="AA265" s="1">
        <f t="shared" si="153"/>
        <v>0</v>
      </c>
      <c r="AB265" s="1">
        <f t="shared" si="158"/>
        <v>0</v>
      </c>
      <c r="AC265" s="10" t="e">
        <f t="shared" si="159"/>
        <v>#VALUE!</v>
      </c>
      <c r="AD265" s="1" t="e">
        <f t="shared" si="167"/>
        <v>#VALUE!</v>
      </c>
      <c r="AF265" s="3" t="e">
        <f t="shared" si="160"/>
        <v>#VALUE!</v>
      </c>
      <c r="AG265" s="5" t="str">
        <f t="shared" si="161"/>
        <v>UpAPT55_GAIN1N_PT0)/* Sharpness 5x5 gain negative edge 1 (corresponding to Point 0) (0x0 ~ 0xFF) *</v>
      </c>
      <c r="AH265" s="3">
        <f t="shared" si="162"/>
        <v>1</v>
      </c>
      <c r="AI265" s="3">
        <f t="shared" si="163"/>
        <v>0</v>
      </c>
      <c r="AJ265" s="7">
        <f t="shared" si="168"/>
        <v>1</v>
      </c>
    </row>
    <row r="266" spans="1:36" x14ac:dyDescent="0.3">
      <c r="A266" s="15" t="s">
        <v>297</v>
      </c>
      <c r="B266" s="1">
        <f t="shared" si="169"/>
        <v>8</v>
      </c>
      <c r="C266" s="1">
        <f t="shared" si="170"/>
        <v>9</v>
      </c>
      <c r="D266" s="10" t="str">
        <f t="shared" si="171"/>
        <v>1</v>
      </c>
      <c r="E266" s="1">
        <f t="shared" si="172"/>
        <v>11</v>
      </c>
      <c r="F266" s="1">
        <f t="shared" si="173"/>
        <v>0</v>
      </c>
      <c r="G266" s="1">
        <f t="shared" si="174"/>
        <v>29</v>
      </c>
      <c r="H266" s="1">
        <f t="shared" si="181"/>
        <v>29</v>
      </c>
      <c r="I266" s="10" t="str">
        <f t="shared" si="175"/>
        <v>UpAPT55_GAIN2N_PT0</v>
      </c>
      <c r="J266" s="1">
        <f t="shared" si="182"/>
        <v>0</v>
      </c>
      <c r="K266" s="1">
        <f t="shared" si="176"/>
        <v>0</v>
      </c>
      <c r="L266" s="1" t="str">
        <f t="shared" si="177"/>
        <v>0</v>
      </c>
      <c r="M266" s="10">
        <f t="shared" si="178"/>
        <v>0</v>
      </c>
      <c r="N266" s="1">
        <f t="shared" si="179"/>
        <v>32</v>
      </c>
      <c r="O266" s="1">
        <f t="shared" si="164"/>
        <v>0</v>
      </c>
      <c r="P266" s="1">
        <f t="shared" si="180"/>
        <v>108</v>
      </c>
      <c r="Q266" s="3" t="str">
        <f t="shared" si="155"/>
        <v xml:space="preserve"> Sharpness 5x5 gain negative edge 2 (corresponding to Point 0) (0x0 ~ 0xFF) </v>
      </c>
      <c r="R266" s="11">
        <f t="shared" si="165"/>
        <v>521</v>
      </c>
      <c r="S266" s="11"/>
      <c r="T266" s="13" t="str">
        <f t="shared" si="166"/>
        <v>209</v>
      </c>
      <c r="U266" s="14" t="str">
        <f t="shared" si="150"/>
        <v>UpAPT55_GAIN2N_PT0</v>
      </c>
      <c r="V266" s="13" t="str">
        <f t="shared" si="151"/>
        <v>1</v>
      </c>
      <c r="W266" s="13">
        <f t="shared" si="152"/>
        <v>0</v>
      </c>
      <c r="X266" s="14" t="str">
        <f t="shared" si="154"/>
        <v xml:space="preserve"> Sharpness 5x5 gain negative edge 2 (corresponding to Point 0) (0x0 ~ 0xFF) </v>
      </c>
      <c r="Y266" s="1">
        <f t="shared" si="156"/>
        <v>1</v>
      </c>
      <c r="Z266" s="1">
        <f t="shared" si="157"/>
        <v>1</v>
      </c>
      <c r="AA266" s="1">
        <f t="shared" si="153"/>
        <v>0</v>
      </c>
      <c r="AB266" s="1">
        <f t="shared" si="158"/>
        <v>0</v>
      </c>
      <c r="AC266" s="10" t="e">
        <f t="shared" si="159"/>
        <v>#VALUE!</v>
      </c>
      <c r="AD266" s="1" t="e">
        <f t="shared" si="167"/>
        <v>#VALUE!</v>
      </c>
      <c r="AF266" s="3" t="e">
        <f t="shared" si="160"/>
        <v>#VALUE!</v>
      </c>
      <c r="AG266" s="5" t="str">
        <f t="shared" si="161"/>
        <v>UpAPT55_GAIN2N_PT0)/* Sharpness 5x5 gain negative edge 2 (corresponding to Point 0) (0x0 ~ 0xFF) *</v>
      </c>
      <c r="AH266" s="3">
        <f t="shared" si="162"/>
        <v>1</v>
      </c>
      <c r="AI266" s="3">
        <f t="shared" si="163"/>
        <v>0</v>
      </c>
      <c r="AJ266" s="7">
        <f t="shared" si="168"/>
        <v>1</v>
      </c>
    </row>
    <row r="267" spans="1:36" x14ac:dyDescent="0.3">
      <c r="A267" s="15" t="s">
        <v>298</v>
      </c>
      <c r="B267" s="1">
        <f t="shared" si="169"/>
        <v>8</v>
      </c>
      <c r="C267" s="1">
        <f t="shared" si="170"/>
        <v>9</v>
      </c>
      <c r="D267" s="10" t="str">
        <f t="shared" si="171"/>
        <v>1</v>
      </c>
      <c r="E267" s="1">
        <f t="shared" si="172"/>
        <v>11</v>
      </c>
      <c r="F267" s="1">
        <f t="shared" si="173"/>
        <v>0</v>
      </c>
      <c r="G267" s="1">
        <f t="shared" si="174"/>
        <v>29</v>
      </c>
      <c r="H267" s="1">
        <f t="shared" si="181"/>
        <v>29</v>
      </c>
      <c r="I267" s="10" t="str">
        <f t="shared" si="175"/>
        <v>UpAPT55_GAIN1P_PT0</v>
      </c>
      <c r="J267" s="1">
        <f t="shared" si="182"/>
        <v>0</v>
      </c>
      <c r="K267" s="1">
        <f t="shared" si="176"/>
        <v>0</v>
      </c>
      <c r="L267" s="1" t="str">
        <f t="shared" si="177"/>
        <v>0</v>
      </c>
      <c r="M267" s="10">
        <f t="shared" si="178"/>
        <v>0</v>
      </c>
      <c r="N267" s="1">
        <f t="shared" si="179"/>
        <v>32</v>
      </c>
      <c r="O267" s="1">
        <f t="shared" si="164"/>
        <v>0</v>
      </c>
      <c r="P267" s="1">
        <f t="shared" si="180"/>
        <v>108</v>
      </c>
      <c r="Q267" s="3" t="str">
        <f t="shared" si="155"/>
        <v xml:space="preserve"> Sharpness 5x5 gain positive edge 1 (corresponding to Point 0) (0x0 ~ 0xFF) </v>
      </c>
      <c r="R267" s="11">
        <f t="shared" si="165"/>
        <v>522</v>
      </c>
      <c r="S267" s="11"/>
      <c r="T267" s="13" t="str">
        <f t="shared" si="166"/>
        <v>20A</v>
      </c>
      <c r="U267" s="14" t="str">
        <f t="shared" si="150"/>
        <v>UpAPT55_GAIN1P_PT0</v>
      </c>
      <c r="V267" s="13" t="str">
        <f t="shared" si="151"/>
        <v>1</v>
      </c>
      <c r="W267" s="13">
        <f t="shared" si="152"/>
        <v>0</v>
      </c>
      <c r="X267" s="14" t="str">
        <f t="shared" si="154"/>
        <v xml:space="preserve"> Sharpness 5x5 gain positive edge 1 (corresponding to Point 0) (0x0 ~ 0xFF) </v>
      </c>
      <c r="Y267" s="1">
        <f t="shared" si="156"/>
        <v>1</v>
      </c>
      <c r="Z267" s="1">
        <f t="shared" si="157"/>
        <v>1</v>
      </c>
      <c r="AA267" s="1">
        <f t="shared" si="153"/>
        <v>0</v>
      </c>
      <c r="AB267" s="1">
        <f t="shared" si="158"/>
        <v>0</v>
      </c>
      <c r="AC267" s="10" t="e">
        <f t="shared" si="159"/>
        <v>#VALUE!</v>
      </c>
      <c r="AD267" s="1" t="e">
        <f t="shared" si="167"/>
        <v>#VALUE!</v>
      </c>
      <c r="AF267" s="3" t="e">
        <f t="shared" si="160"/>
        <v>#VALUE!</v>
      </c>
      <c r="AG267" s="5" t="str">
        <f t="shared" si="161"/>
        <v>UpAPT55_GAIN1P_PT0)/* Sharpness 5x5 gain positive edge 1 (corresponding to Point 0) (0x0 ~ 0xFF) *</v>
      </c>
      <c r="AH267" s="3">
        <f t="shared" si="162"/>
        <v>1</v>
      </c>
      <c r="AI267" s="3">
        <f t="shared" si="163"/>
        <v>0</v>
      </c>
      <c r="AJ267" s="7">
        <f t="shared" si="168"/>
        <v>1</v>
      </c>
    </row>
    <row r="268" spans="1:36" x14ac:dyDescent="0.3">
      <c r="A268" s="15" t="s">
        <v>299</v>
      </c>
      <c r="B268" s="1">
        <f t="shared" si="169"/>
        <v>8</v>
      </c>
      <c r="C268" s="1">
        <f t="shared" si="170"/>
        <v>9</v>
      </c>
      <c r="D268" s="10" t="str">
        <f t="shared" si="171"/>
        <v>1</v>
      </c>
      <c r="E268" s="1">
        <f t="shared" si="172"/>
        <v>11</v>
      </c>
      <c r="F268" s="1">
        <f t="shared" si="173"/>
        <v>0</v>
      </c>
      <c r="G268" s="1">
        <f t="shared" si="174"/>
        <v>29</v>
      </c>
      <c r="H268" s="1">
        <f t="shared" si="181"/>
        <v>29</v>
      </c>
      <c r="I268" s="10" t="str">
        <f t="shared" si="175"/>
        <v>UpAPT55_GAIN2P_PT0</v>
      </c>
      <c r="J268" s="1">
        <f t="shared" si="182"/>
        <v>0</v>
      </c>
      <c r="K268" s="1">
        <f t="shared" si="176"/>
        <v>0</v>
      </c>
      <c r="L268" s="1" t="str">
        <f t="shared" si="177"/>
        <v>0</v>
      </c>
      <c r="M268" s="10">
        <f t="shared" si="178"/>
        <v>0</v>
      </c>
      <c r="N268" s="1">
        <f t="shared" si="179"/>
        <v>32</v>
      </c>
      <c r="O268" s="1">
        <f t="shared" si="164"/>
        <v>0</v>
      </c>
      <c r="P268" s="1">
        <f t="shared" si="180"/>
        <v>108</v>
      </c>
      <c r="Q268" s="3" t="str">
        <f t="shared" si="155"/>
        <v xml:space="preserve"> Sharpness 5x5 gain positive edge 2 (corresponding to Point 0) (0x0 ~ 0xFF) </v>
      </c>
      <c r="R268" s="11">
        <f t="shared" si="165"/>
        <v>523</v>
      </c>
      <c r="S268" s="11"/>
      <c r="T268" s="13" t="str">
        <f t="shared" si="166"/>
        <v>20B</v>
      </c>
      <c r="U268" s="14" t="str">
        <f t="shared" si="150"/>
        <v>UpAPT55_GAIN2P_PT0</v>
      </c>
      <c r="V268" s="13" t="str">
        <f t="shared" si="151"/>
        <v>1</v>
      </c>
      <c r="W268" s="13">
        <f t="shared" si="152"/>
        <v>0</v>
      </c>
      <c r="X268" s="14" t="str">
        <f t="shared" si="154"/>
        <v xml:space="preserve"> Sharpness 5x5 gain positive edge 2 (corresponding to Point 0) (0x0 ~ 0xFF) </v>
      </c>
      <c r="Y268" s="1">
        <f t="shared" si="156"/>
        <v>1</v>
      </c>
      <c r="Z268" s="1">
        <f t="shared" si="157"/>
        <v>1</v>
      </c>
      <c r="AA268" s="1">
        <f t="shared" si="153"/>
        <v>0</v>
      </c>
      <c r="AB268" s="1">
        <f t="shared" si="158"/>
        <v>0</v>
      </c>
      <c r="AC268" s="10" t="e">
        <f t="shared" si="159"/>
        <v>#VALUE!</v>
      </c>
      <c r="AD268" s="1" t="e">
        <f t="shared" si="167"/>
        <v>#VALUE!</v>
      </c>
      <c r="AF268" s="3" t="e">
        <f t="shared" si="160"/>
        <v>#VALUE!</v>
      </c>
      <c r="AG268" s="5" t="str">
        <f t="shared" si="161"/>
        <v>UpAPT55_GAIN2P_PT0)/* Sharpness 5x5 gain positive edge 2 (corresponding to Point 0) (0x0 ~ 0xFF) *</v>
      </c>
      <c r="AH268" s="3">
        <f t="shared" si="162"/>
        <v>1</v>
      </c>
      <c r="AI268" s="3">
        <f t="shared" si="163"/>
        <v>0</v>
      </c>
      <c r="AJ268" s="7">
        <f t="shared" si="168"/>
        <v>1</v>
      </c>
    </row>
    <row r="269" spans="1:36" x14ac:dyDescent="0.3">
      <c r="A269" s="15" t="s">
        <v>300</v>
      </c>
      <c r="B269" s="1">
        <f t="shared" si="169"/>
        <v>8</v>
      </c>
      <c r="C269" s="1">
        <f t="shared" si="170"/>
        <v>9</v>
      </c>
      <c r="D269" s="10" t="str">
        <f t="shared" si="171"/>
        <v>2</v>
      </c>
      <c r="E269" s="1">
        <f t="shared" si="172"/>
        <v>11</v>
      </c>
      <c r="F269" s="1">
        <f t="shared" si="173"/>
        <v>0</v>
      </c>
      <c r="G269" s="1">
        <f t="shared" si="174"/>
        <v>27</v>
      </c>
      <c r="H269" s="1">
        <f t="shared" si="181"/>
        <v>27</v>
      </c>
      <c r="I269" s="10" t="str">
        <f t="shared" si="175"/>
        <v>UpAPT33_SLIC_PT0</v>
      </c>
      <c r="J269" s="1">
        <f t="shared" si="182"/>
        <v>0</v>
      </c>
      <c r="K269" s="1">
        <f t="shared" si="176"/>
        <v>0</v>
      </c>
      <c r="L269" s="1" t="str">
        <f t="shared" si="177"/>
        <v>0</v>
      </c>
      <c r="M269" s="10">
        <f t="shared" si="178"/>
        <v>0</v>
      </c>
      <c r="N269" s="1">
        <f t="shared" si="179"/>
        <v>30</v>
      </c>
      <c r="O269" s="1">
        <f t="shared" si="164"/>
        <v>0</v>
      </c>
      <c r="P269" s="1">
        <f t="shared" si="180"/>
        <v>99</v>
      </c>
      <c r="Q269" s="3" t="str">
        <f t="shared" si="155"/>
        <v xml:space="preserve"> Sharpness 3x3 slice value (corresponding to Point 0) ((0x0 ~ 0x3FF) </v>
      </c>
      <c r="R269" s="11">
        <f t="shared" si="165"/>
        <v>524</v>
      </c>
      <c r="S269" s="11"/>
      <c r="T269" s="13" t="str">
        <f t="shared" si="166"/>
        <v>20C</v>
      </c>
      <c r="U269" s="14" t="str">
        <f t="shared" si="150"/>
        <v>UpAPT33_SLIC_PT0</v>
      </c>
      <c r="V269" s="13" t="str">
        <f t="shared" si="151"/>
        <v>2</v>
      </c>
      <c r="W269" s="13">
        <f t="shared" si="152"/>
        <v>0</v>
      </c>
      <c r="X269" s="14" t="str">
        <f t="shared" si="154"/>
        <v xml:space="preserve"> Sharpness 3x3 slice value (corresponding to Point 0) ((0x0 ~ 0x3FF) </v>
      </c>
      <c r="Y269" s="1">
        <f t="shared" si="156"/>
        <v>1</v>
      </c>
      <c r="Z269" s="1">
        <f t="shared" si="157"/>
        <v>2</v>
      </c>
      <c r="AA269" s="1">
        <f t="shared" si="153"/>
        <v>0</v>
      </c>
      <c r="AB269" s="1">
        <f t="shared" si="158"/>
        <v>0</v>
      </c>
      <c r="AC269" s="10" t="e">
        <f t="shared" si="159"/>
        <v>#VALUE!</v>
      </c>
      <c r="AD269" s="1" t="e">
        <f t="shared" si="167"/>
        <v>#VALUE!</v>
      </c>
      <c r="AF269" s="3" t="e">
        <f t="shared" si="160"/>
        <v>#VALUE!</v>
      </c>
      <c r="AG269" s="5" t="str">
        <f t="shared" si="161"/>
        <v>UpAPT33_SLIC_PT0)/* Sharpness 3x3 slice value (corresponding to Point 0) ((0x0 ~ 0x3FF) *</v>
      </c>
      <c r="AH269" s="3">
        <f t="shared" si="162"/>
        <v>2</v>
      </c>
      <c r="AI269" s="3">
        <f t="shared" si="163"/>
        <v>0</v>
      </c>
      <c r="AJ269" s="7">
        <f t="shared" si="168"/>
        <v>1</v>
      </c>
    </row>
    <row r="270" spans="1:36" x14ac:dyDescent="0.3">
      <c r="A270" s="15" t="s">
        <v>301</v>
      </c>
      <c r="B270" s="1">
        <f t="shared" si="169"/>
        <v>8</v>
      </c>
      <c r="C270" s="1">
        <f t="shared" si="170"/>
        <v>9</v>
      </c>
      <c r="D270" s="10" t="str">
        <f t="shared" si="171"/>
        <v>2</v>
      </c>
      <c r="E270" s="1">
        <f t="shared" si="172"/>
        <v>11</v>
      </c>
      <c r="F270" s="1">
        <f t="shared" si="173"/>
        <v>0</v>
      </c>
      <c r="G270" s="1">
        <f t="shared" si="174"/>
        <v>27</v>
      </c>
      <c r="H270" s="1">
        <f t="shared" si="181"/>
        <v>27</v>
      </c>
      <c r="I270" s="10" t="str">
        <f t="shared" si="175"/>
        <v>UpAPT33_CLIP_PT0</v>
      </c>
      <c r="J270" s="1">
        <f t="shared" si="182"/>
        <v>0</v>
      </c>
      <c r="K270" s="1">
        <f t="shared" si="176"/>
        <v>0</v>
      </c>
      <c r="L270" s="1" t="str">
        <f t="shared" si="177"/>
        <v>0</v>
      </c>
      <c r="M270" s="10">
        <f t="shared" si="178"/>
        <v>0</v>
      </c>
      <c r="N270" s="1">
        <f t="shared" si="179"/>
        <v>30</v>
      </c>
      <c r="O270" s="1">
        <f t="shared" si="164"/>
        <v>0</v>
      </c>
      <c r="P270" s="1">
        <f t="shared" si="180"/>
        <v>97</v>
      </c>
      <c r="Q270" s="3" t="str">
        <f t="shared" si="155"/>
        <v xml:space="preserve"> Sharpness 3x3 clip value (corresponding to Point 0) (0x0 ~ 0x3FF) </v>
      </c>
      <c r="R270" s="11">
        <f t="shared" si="165"/>
        <v>526</v>
      </c>
      <c r="S270" s="11"/>
      <c r="T270" s="13" t="str">
        <f t="shared" si="166"/>
        <v>20E</v>
      </c>
      <c r="U270" s="14" t="str">
        <f t="shared" si="150"/>
        <v>UpAPT33_CLIP_PT0</v>
      </c>
      <c r="V270" s="13" t="str">
        <f t="shared" si="151"/>
        <v>2</v>
      </c>
      <c r="W270" s="13">
        <f t="shared" si="152"/>
        <v>0</v>
      </c>
      <c r="X270" s="14" t="str">
        <f t="shared" si="154"/>
        <v xml:space="preserve"> Sharpness 3x3 clip value (corresponding to Point 0) (0x0 ~ 0x3FF) </v>
      </c>
      <c r="Y270" s="1">
        <f t="shared" si="156"/>
        <v>1</v>
      </c>
      <c r="Z270" s="1">
        <f t="shared" si="157"/>
        <v>2</v>
      </c>
      <c r="AA270" s="1">
        <f t="shared" si="153"/>
        <v>0</v>
      </c>
      <c r="AB270" s="1">
        <f t="shared" si="158"/>
        <v>0</v>
      </c>
      <c r="AC270" s="10" t="e">
        <f t="shared" si="159"/>
        <v>#VALUE!</v>
      </c>
      <c r="AD270" s="1" t="e">
        <f t="shared" si="167"/>
        <v>#VALUE!</v>
      </c>
      <c r="AF270" s="3" t="e">
        <f t="shared" si="160"/>
        <v>#VALUE!</v>
      </c>
      <c r="AG270" s="5" t="str">
        <f t="shared" si="161"/>
        <v>UpAPT33_CLIP_PT0)/* Sharpness 3x3 clip value (corresponding to Point 0) (0x0 ~ 0x3FF) *</v>
      </c>
      <c r="AH270" s="3">
        <f t="shared" si="162"/>
        <v>2</v>
      </c>
      <c r="AI270" s="3">
        <f t="shared" si="163"/>
        <v>0</v>
      </c>
      <c r="AJ270" s="7">
        <f t="shared" si="168"/>
        <v>1</v>
      </c>
    </row>
    <row r="271" spans="1:36" x14ac:dyDescent="0.3">
      <c r="A271" s="15" t="s">
        <v>302</v>
      </c>
      <c r="B271" s="1">
        <f t="shared" si="169"/>
        <v>8</v>
      </c>
      <c r="C271" s="1">
        <f t="shared" si="170"/>
        <v>9</v>
      </c>
      <c r="D271" s="10" t="str">
        <f t="shared" si="171"/>
        <v>1</v>
      </c>
      <c r="E271" s="1">
        <f t="shared" si="172"/>
        <v>11</v>
      </c>
      <c r="F271" s="1">
        <f t="shared" si="173"/>
        <v>0</v>
      </c>
      <c r="G271" s="1">
        <f t="shared" si="174"/>
        <v>27</v>
      </c>
      <c r="H271" s="1">
        <f t="shared" si="181"/>
        <v>27</v>
      </c>
      <c r="I271" s="10" t="str">
        <f t="shared" si="175"/>
        <v>UpAPT33_GAIN_PT0</v>
      </c>
      <c r="J271" s="1">
        <f t="shared" si="182"/>
        <v>0</v>
      </c>
      <c r="K271" s="1">
        <f t="shared" si="176"/>
        <v>0</v>
      </c>
      <c r="L271" s="1" t="str">
        <f t="shared" si="177"/>
        <v>0</v>
      </c>
      <c r="M271" s="10">
        <f t="shared" si="178"/>
        <v>0</v>
      </c>
      <c r="N271" s="1">
        <f t="shared" si="179"/>
        <v>30</v>
      </c>
      <c r="O271" s="1">
        <f t="shared" si="164"/>
        <v>0</v>
      </c>
      <c r="P271" s="1">
        <f t="shared" si="180"/>
        <v>90</v>
      </c>
      <c r="Q271" s="3" t="str">
        <f t="shared" si="155"/>
        <v xml:space="preserve"> Sharpness 3x3 gain (corresponding to Point 0) (0x0 ~ 0xFF) </v>
      </c>
      <c r="R271" s="11">
        <f t="shared" si="165"/>
        <v>528</v>
      </c>
      <c r="S271" s="11"/>
      <c r="T271" s="13" t="str">
        <f t="shared" si="166"/>
        <v>210</v>
      </c>
      <c r="U271" s="14" t="str">
        <f t="shared" si="150"/>
        <v>UpAPT33_GAIN_PT0</v>
      </c>
      <c r="V271" s="13" t="str">
        <f t="shared" si="151"/>
        <v>1</v>
      </c>
      <c r="W271" s="13">
        <f t="shared" si="152"/>
        <v>0</v>
      </c>
      <c r="X271" s="14" t="str">
        <f t="shared" si="154"/>
        <v xml:space="preserve"> Sharpness 3x3 gain (corresponding to Point 0) (0x0 ~ 0xFF) </v>
      </c>
      <c r="Y271" s="1">
        <f t="shared" si="156"/>
        <v>1</v>
      </c>
      <c r="Z271" s="1">
        <f t="shared" si="157"/>
        <v>1</v>
      </c>
      <c r="AA271" s="1">
        <f t="shared" si="153"/>
        <v>0</v>
      </c>
      <c r="AB271" s="1">
        <f t="shared" si="158"/>
        <v>0</v>
      </c>
      <c r="AC271" s="10" t="e">
        <f t="shared" si="159"/>
        <v>#VALUE!</v>
      </c>
      <c r="AD271" s="1" t="e">
        <f t="shared" si="167"/>
        <v>#VALUE!</v>
      </c>
      <c r="AF271" s="3" t="e">
        <f t="shared" si="160"/>
        <v>#VALUE!</v>
      </c>
      <c r="AG271" s="5" t="str">
        <f t="shared" si="161"/>
        <v>UpAPT33_GAIN_PT0)/* Sharpness 3x3 gain (corresponding to Point 0) (0x0 ~ 0xFF) *</v>
      </c>
      <c r="AH271" s="3">
        <f t="shared" si="162"/>
        <v>1</v>
      </c>
      <c r="AI271" s="3">
        <f t="shared" si="163"/>
        <v>0</v>
      </c>
      <c r="AJ271" s="7">
        <f t="shared" si="168"/>
        <v>1</v>
      </c>
    </row>
    <row r="272" spans="1:36" x14ac:dyDescent="0.3">
      <c r="A272" s="15" t="s">
        <v>148</v>
      </c>
      <c r="B272" s="1">
        <f t="shared" si="169"/>
        <v>0</v>
      </c>
      <c r="C272" s="1">
        <f t="shared" si="170"/>
        <v>0</v>
      </c>
      <c r="D272" s="10">
        <f t="shared" si="171"/>
        <v>0</v>
      </c>
      <c r="E272" s="1">
        <f t="shared" si="172"/>
        <v>0</v>
      </c>
      <c r="F272" s="1">
        <f t="shared" si="173"/>
        <v>0</v>
      </c>
      <c r="G272" s="1">
        <f t="shared" si="174"/>
        <v>0</v>
      </c>
      <c r="H272" s="1">
        <f t="shared" si="181"/>
        <v>0</v>
      </c>
      <c r="I272" s="10">
        <f t="shared" si="175"/>
        <v>0</v>
      </c>
      <c r="J272" s="1">
        <f t="shared" si="182"/>
        <v>0</v>
      </c>
      <c r="K272" s="1">
        <f t="shared" si="176"/>
        <v>0</v>
      </c>
      <c r="L272" s="1" t="str">
        <f t="shared" si="177"/>
        <v>0</v>
      </c>
      <c r="M272" s="10">
        <f t="shared" si="178"/>
        <v>0</v>
      </c>
      <c r="N272" s="1">
        <f t="shared" si="179"/>
        <v>3</v>
      </c>
      <c r="O272" s="1">
        <f t="shared" si="164"/>
        <v>1</v>
      </c>
      <c r="P272" s="1">
        <f t="shared" si="180"/>
        <v>17</v>
      </c>
      <c r="Q272" s="3" t="str">
        <f t="shared" si="155"/>
        <v>SHARPNESS_PT1</v>
      </c>
      <c r="R272" s="11">
        <f t="shared" si="165"/>
        <v>529</v>
      </c>
      <c r="S272" s="11"/>
      <c r="T272" s="13" t="str">
        <f t="shared" si="166"/>
        <v>#</v>
      </c>
      <c r="U272" s="14" t="str">
        <f t="shared" si="150"/>
        <v>SHARPNESS_PT1</v>
      </c>
      <c r="V272" s="13">
        <f t="shared" si="151"/>
        <v>1</v>
      </c>
      <c r="W272" s="13">
        <f t="shared" si="152"/>
        <v>0</v>
      </c>
      <c r="X272" s="14" t="str">
        <f t="shared" si="154"/>
        <v>-</v>
      </c>
      <c r="Y272" s="1">
        <f t="shared" si="156"/>
        <v>0</v>
      </c>
      <c r="Z272" s="1">
        <f t="shared" si="157"/>
        <v>1</v>
      </c>
      <c r="AA272" s="1">
        <f t="shared" si="153"/>
        <v>0</v>
      </c>
      <c r="AB272" s="1">
        <f t="shared" si="158"/>
        <v>0</v>
      </c>
      <c r="AC272" s="10" t="e">
        <f t="shared" si="159"/>
        <v>#VALUE!</v>
      </c>
      <c r="AD272" s="1" t="e">
        <f t="shared" si="167"/>
        <v>#VALUE!</v>
      </c>
      <c r="AF272" s="3" t="str">
        <f t="shared" si="160"/>
        <v>0</v>
      </c>
      <c r="AG272" s="5" t="str">
        <f t="shared" si="161"/>
        <v>#SHARPNESS_PT1</v>
      </c>
      <c r="AH272" s="3" t="str">
        <f t="shared" si="162"/>
        <v>1</v>
      </c>
      <c r="AI272" s="3" t="str">
        <f t="shared" si="163"/>
        <v>0</v>
      </c>
      <c r="AJ272" s="7">
        <f t="shared" si="168"/>
        <v>1</v>
      </c>
    </row>
    <row r="273" spans="1:36" x14ac:dyDescent="0.3">
      <c r="A273" s="15" t="s">
        <v>303</v>
      </c>
      <c r="B273" s="1">
        <f t="shared" si="169"/>
        <v>8</v>
      </c>
      <c r="C273" s="1">
        <f t="shared" si="170"/>
        <v>9</v>
      </c>
      <c r="D273" s="10" t="str">
        <f t="shared" si="171"/>
        <v>2</v>
      </c>
      <c r="E273" s="1">
        <f t="shared" si="172"/>
        <v>11</v>
      </c>
      <c r="F273" s="1">
        <f t="shared" si="173"/>
        <v>0</v>
      </c>
      <c r="G273" s="1">
        <f t="shared" si="174"/>
        <v>26</v>
      </c>
      <c r="H273" s="1">
        <f t="shared" si="181"/>
        <v>26</v>
      </c>
      <c r="I273" s="10" t="str">
        <f t="shared" si="175"/>
        <v>UpAPT55_TH1_PT1</v>
      </c>
      <c r="J273" s="1">
        <f t="shared" si="182"/>
        <v>0</v>
      </c>
      <c r="K273" s="1">
        <f t="shared" si="176"/>
        <v>0</v>
      </c>
      <c r="L273" s="1" t="str">
        <f t="shared" si="177"/>
        <v>0</v>
      </c>
      <c r="M273" s="10">
        <f t="shared" si="178"/>
        <v>0</v>
      </c>
      <c r="N273" s="1">
        <f t="shared" si="179"/>
        <v>29</v>
      </c>
      <c r="O273" s="1">
        <f t="shared" si="164"/>
        <v>0</v>
      </c>
      <c r="P273" s="1">
        <f t="shared" si="180"/>
        <v>107</v>
      </c>
      <c r="Q273" s="3" t="str">
        <f t="shared" si="155"/>
        <v xml:space="preserve"> Sharpness 5x5 threshold 1 (corresponding to Point 1) (0x0 ~ UpAPT55_TH2_PT1) </v>
      </c>
      <c r="R273" s="11">
        <f t="shared" si="165"/>
        <v>529</v>
      </c>
      <c r="S273" s="11"/>
      <c r="T273" s="13" t="str">
        <f t="shared" si="166"/>
        <v>211</v>
      </c>
      <c r="U273" s="14" t="str">
        <f t="shared" si="150"/>
        <v>UpAPT55_TH1_PT1</v>
      </c>
      <c r="V273" s="13" t="str">
        <f t="shared" si="151"/>
        <v>2</v>
      </c>
      <c r="W273" s="13">
        <f t="shared" si="152"/>
        <v>0</v>
      </c>
      <c r="X273" s="14" t="str">
        <f t="shared" si="154"/>
        <v xml:space="preserve"> Sharpness 5x5 threshold 1 (corresponding to Point 1) (0x0 ~ UpAPT55_TH2_PT1) </v>
      </c>
      <c r="Y273" s="1">
        <f t="shared" si="156"/>
        <v>1</v>
      </c>
      <c r="Z273" s="1">
        <f t="shared" si="157"/>
        <v>2</v>
      </c>
      <c r="AA273" s="1">
        <f t="shared" si="153"/>
        <v>0</v>
      </c>
      <c r="AB273" s="1">
        <f t="shared" si="158"/>
        <v>0</v>
      </c>
      <c r="AC273" s="10" t="e">
        <f t="shared" si="159"/>
        <v>#VALUE!</v>
      </c>
      <c r="AD273" s="1" t="e">
        <f t="shared" si="167"/>
        <v>#VALUE!</v>
      </c>
      <c r="AF273" s="3" t="e">
        <f t="shared" si="160"/>
        <v>#VALUE!</v>
      </c>
      <c r="AG273" s="5" t="str">
        <f t="shared" si="161"/>
        <v>UpAPT55_TH1_PT1)/* Sharpness 5x5 threshold 1 (corresponding to Point 1) (0x0 ~ UpAPT55_TH2_PT1) *</v>
      </c>
      <c r="AH273" s="3">
        <f t="shared" si="162"/>
        <v>2</v>
      </c>
      <c r="AI273" s="3">
        <f t="shared" si="163"/>
        <v>0</v>
      </c>
      <c r="AJ273" s="7">
        <f t="shared" si="168"/>
        <v>1</v>
      </c>
    </row>
    <row r="274" spans="1:36" x14ac:dyDescent="0.3">
      <c r="A274" s="15" t="s">
        <v>304</v>
      </c>
      <c r="B274" s="1">
        <f t="shared" si="169"/>
        <v>8</v>
      </c>
      <c r="C274" s="1">
        <f t="shared" si="170"/>
        <v>9</v>
      </c>
      <c r="D274" s="10" t="str">
        <f t="shared" si="171"/>
        <v>2</v>
      </c>
      <c r="E274" s="1">
        <f t="shared" si="172"/>
        <v>11</v>
      </c>
      <c r="F274" s="1">
        <f t="shared" si="173"/>
        <v>0</v>
      </c>
      <c r="G274" s="1">
        <f t="shared" si="174"/>
        <v>26</v>
      </c>
      <c r="H274" s="1">
        <f t="shared" si="181"/>
        <v>26</v>
      </c>
      <c r="I274" s="10" t="str">
        <f t="shared" si="175"/>
        <v>UpAPT55_TH2_PT1</v>
      </c>
      <c r="J274" s="1">
        <f t="shared" si="182"/>
        <v>0</v>
      </c>
      <c r="K274" s="1">
        <f t="shared" si="176"/>
        <v>0</v>
      </c>
      <c r="L274" s="1" t="str">
        <f t="shared" si="177"/>
        <v>0</v>
      </c>
      <c r="M274" s="10">
        <f t="shared" si="178"/>
        <v>0</v>
      </c>
      <c r="N274" s="1">
        <f t="shared" si="179"/>
        <v>29</v>
      </c>
      <c r="O274" s="1">
        <f t="shared" si="164"/>
        <v>0</v>
      </c>
      <c r="P274" s="1">
        <f t="shared" si="180"/>
        <v>97</v>
      </c>
      <c r="Q274" s="3" t="str">
        <f t="shared" si="155"/>
        <v xml:space="preserve"> Sharpness 5x5 threshold 2 (corresponding to Point 1) (0x0 ~ 0xFFF) </v>
      </c>
      <c r="R274" s="11">
        <f t="shared" si="165"/>
        <v>531</v>
      </c>
      <c r="S274" s="11"/>
      <c r="T274" s="13" t="str">
        <f t="shared" si="166"/>
        <v>213</v>
      </c>
      <c r="U274" s="14" t="str">
        <f t="shared" si="150"/>
        <v>UpAPT55_TH2_PT1</v>
      </c>
      <c r="V274" s="13" t="str">
        <f t="shared" si="151"/>
        <v>2</v>
      </c>
      <c r="W274" s="13">
        <f t="shared" si="152"/>
        <v>0</v>
      </c>
      <c r="X274" s="14" t="str">
        <f t="shared" si="154"/>
        <v xml:space="preserve"> Sharpness 5x5 threshold 2 (corresponding to Point 1) (0x0 ~ 0xFFF) </v>
      </c>
      <c r="Y274" s="1">
        <f t="shared" si="156"/>
        <v>1</v>
      </c>
      <c r="Z274" s="1">
        <f t="shared" si="157"/>
        <v>2</v>
      </c>
      <c r="AA274" s="1">
        <f t="shared" si="153"/>
        <v>0</v>
      </c>
      <c r="AB274" s="1">
        <f t="shared" si="158"/>
        <v>0</v>
      </c>
      <c r="AC274" s="10" t="e">
        <f t="shared" si="159"/>
        <v>#VALUE!</v>
      </c>
      <c r="AD274" s="1" t="e">
        <f t="shared" si="167"/>
        <v>#VALUE!</v>
      </c>
      <c r="AF274" s="3" t="e">
        <f t="shared" si="160"/>
        <v>#VALUE!</v>
      </c>
      <c r="AG274" s="5" t="str">
        <f t="shared" si="161"/>
        <v>UpAPT55_TH2_PT1)/* Sharpness 5x5 threshold 2 (corresponding to Point 1) (0x0 ~ 0xFFF) *</v>
      </c>
      <c r="AH274" s="3">
        <f t="shared" si="162"/>
        <v>2</v>
      </c>
      <c r="AI274" s="3">
        <f t="shared" si="163"/>
        <v>0</v>
      </c>
      <c r="AJ274" s="7">
        <f t="shared" si="168"/>
        <v>1</v>
      </c>
    </row>
    <row r="275" spans="1:36" x14ac:dyDescent="0.3">
      <c r="A275" s="15" t="s">
        <v>305</v>
      </c>
      <c r="B275" s="1">
        <f t="shared" si="169"/>
        <v>8</v>
      </c>
      <c r="C275" s="1">
        <f t="shared" si="170"/>
        <v>9</v>
      </c>
      <c r="D275" s="10" t="str">
        <f t="shared" si="171"/>
        <v>2</v>
      </c>
      <c r="E275" s="1">
        <f t="shared" si="172"/>
        <v>11</v>
      </c>
      <c r="F275" s="1">
        <f t="shared" si="173"/>
        <v>0</v>
      </c>
      <c r="G275" s="1">
        <f t="shared" si="174"/>
        <v>26</v>
      </c>
      <c r="H275" s="1">
        <f t="shared" si="181"/>
        <v>26</v>
      </c>
      <c r="I275" s="10" t="str">
        <f t="shared" si="175"/>
        <v>UpAPT55_TH3_PT1</v>
      </c>
      <c r="J275" s="1">
        <f t="shared" si="182"/>
        <v>0</v>
      </c>
      <c r="K275" s="1">
        <f t="shared" si="176"/>
        <v>0</v>
      </c>
      <c r="L275" s="1" t="str">
        <f t="shared" si="177"/>
        <v>0</v>
      </c>
      <c r="M275" s="10">
        <f t="shared" si="178"/>
        <v>0</v>
      </c>
      <c r="N275" s="1">
        <f t="shared" si="179"/>
        <v>29</v>
      </c>
      <c r="O275" s="1">
        <f t="shared" si="164"/>
        <v>0</v>
      </c>
      <c r="P275" s="1">
        <f t="shared" si="180"/>
        <v>97</v>
      </c>
      <c r="Q275" s="3" t="str">
        <f t="shared" si="155"/>
        <v xml:space="preserve"> Sharpness 5x5 threshold 3 (corresponding to Point 1) (0x0 ~ 0x3FF) </v>
      </c>
      <c r="R275" s="11">
        <f t="shared" si="165"/>
        <v>533</v>
      </c>
      <c r="S275" s="11"/>
      <c r="T275" s="13" t="str">
        <f t="shared" si="166"/>
        <v>215</v>
      </c>
      <c r="U275" s="14" t="str">
        <f t="shared" si="150"/>
        <v>UpAPT55_TH3_PT1</v>
      </c>
      <c r="V275" s="13" t="str">
        <f t="shared" si="151"/>
        <v>2</v>
      </c>
      <c r="W275" s="13">
        <f t="shared" si="152"/>
        <v>0</v>
      </c>
      <c r="X275" s="14" t="str">
        <f t="shared" si="154"/>
        <v xml:space="preserve"> Sharpness 5x5 threshold 3 (corresponding to Point 1) (0x0 ~ 0x3FF) </v>
      </c>
      <c r="Y275" s="1">
        <f t="shared" si="156"/>
        <v>1</v>
      </c>
      <c r="Z275" s="1">
        <f t="shared" si="157"/>
        <v>2</v>
      </c>
      <c r="AA275" s="1">
        <f t="shared" si="153"/>
        <v>0</v>
      </c>
      <c r="AB275" s="1">
        <f t="shared" si="158"/>
        <v>0</v>
      </c>
      <c r="AC275" s="10" t="e">
        <f t="shared" si="159"/>
        <v>#VALUE!</v>
      </c>
      <c r="AD275" s="1" t="e">
        <f t="shared" si="167"/>
        <v>#VALUE!</v>
      </c>
      <c r="AF275" s="3" t="e">
        <f t="shared" si="160"/>
        <v>#VALUE!</v>
      </c>
      <c r="AG275" s="5" t="str">
        <f t="shared" si="161"/>
        <v>UpAPT55_TH3_PT1)/* Sharpness 5x5 threshold 3 (corresponding to Point 1) (0x0 ~ 0x3FF) *</v>
      </c>
      <c r="AH275" s="3">
        <f t="shared" si="162"/>
        <v>2</v>
      </c>
      <c r="AI275" s="3">
        <f t="shared" si="163"/>
        <v>0</v>
      </c>
      <c r="AJ275" s="7">
        <f t="shared" si="168"/>
        <v>1</v>
      </c>
    </row>
    <row r="276" spans="1:36" x14ac:dyDescent="0.3">
      <c r="A276" s="15" t="s">
        <v>306</v>
      </c>
      <c r="B276" s="1">
        <f t="shared" si="169"/>
        <v>8</v>
      </c>
      <c r="C276" s="1">
        <f t="shared" si="170"/>
        <v>9</v>
      </c>
      <c r="D276" s="10" t="str">
        <f t="shared" si="171"/>
        <v>1</v>
      </c>
      <c r="E276" s="1">
        <f t="shared" si="172"/>
        <v>11</v>
      </c>
      <c r="F276" s="1">
        <f t="shared" si="173"/>
        <v>0</v>
      </c>
      <c r="G276" s="1">
        <f t="shared" si="174"/>
        <v>29</v>
      </c>
      <c r="H276" s="1">
        <f t="shared" si="181"/>
        <v>29</v>
      </c>
      <c r="I276" s="10" t="str">
        <f t="shared" si="175"/>
        <v>UpAPT55_GAIN1N_PT1</v>
      </c>
      <c r="J276" s="1">
        <f t="shared" si="182"/>
        <v>0</v>
      </c>
      <c r="K276" s="1">
        <f t="shared" si="176"/>
        <v>0</v>
      </c>
      <c r="L276" s="1" t="str">
        <f t="shared" si="177"/>
        <v>0</v>
      </c>
      <c r="M276" s="10">
        <f t="shared" si="178"/>
        <v>0</v>
      </c>
      <c r="N276" s="1">
        <f t="shared" si="179"/>
        <v>32</v>
      </c>
      <c r="O276" s="1">
        <f t="shared" si="164"/>
        <v>0</v>
      </c>
      <c r="P276" s="1">
        <f t="shared" si="180"/>
        <v>103</v>
      </c>
      <c r="Q276" s="3" t="str">
        <f t="shared" si="155"/>
        <v xml:space="preserve"> Sharpness 5x5 negative gain 1 (corresponding to Point 1) (0x0 ~ 0xFF) </v>
      </c>
      <c r="R276" s="11">
        <f t="shared" si="165"/>
        <v>535</v>
      </c>
      <c r="S276" s="11"/>
      <c r="T276" s="13" t="str">
        <f t="shared" si="166"/>
        <v>217</v>
      </c>
      <c r="U276" s="14" t="str">
        <f t="shared" si="150"/>
        <v>UpAPT55_GAIN1N_PT1</v>
      </c>
      <c r="V276" s="13" t="str">
        <f t="shared" si="151"/>
        <v>1</v>
      </c>
      <c r="W276" s="13">
        <f t="shared" si="152"/>
        <v>0</v>
      </c>
      <c r="X276" s="14" t="str">
        <f t="shared" si="154"/>
        <v xml:space="preserve"> Sharpness 5x5 negative gain 1 (corresponding to Point 1) (0x0 ~ 0xFF) </v>
      </c>
      <c r="Y276" s="1">
        <f t="shared" si="156"/>
        <v>1</v>
      </c>
      <c r="Z276" s="1">
        <f t="shared" si="157"/>
        <v>1</v>
      </c>
      <c r="AA276" s="1">
        <f t="shared" si="153"/>
        <v>0</v>
      </c>
      <c r="AB276" s="1">
        <f t="shared" si="158"/>
        <v>0</v>
      </c>
      <c r="AC276" s="10" t="e">
        <f t="shared" si="159"/>
        <v>#VALUE!</v>
      </c>
      <c r="AD276" s="1" t="e">
        <f t="shared" si="167"/>
        <v>#VALUE!</v>
      </c>
      <c r="AF276" s="3" t="e">
        <f t="shared" si="160"/>
        <v>#VALUE!</v>
      </c>
      <c r="AG276" s="5" t="str">
        <f t="shared" si="161"/>
        <v>UpAPT55_GAIN1N_PT1)/* Sharpness 5x5 negative gain 1 (corresponding to Point 1) (0x0 ~ 0xFF) *</v>
      </c>
      <c r="AH276" s="3">
        <f t="shared" si="162"/>
        <v>1</v>
      </c>
      <c r="AI276" s="3">
        <f t="shared" si="163"/>
        <v>0</v>
      </c>
      <c r="AJ276" s="7">
        <f t="shared" si="168"/>
        <v>1</v>
      </c>
    </row>
    <row r="277" spans="1:36" x14ac:dyDescent="0.3">
      <c r="A277" s="15" t="s">
        <v>307</v>
      </c>
      <c r="B277" s="1">
        <f t="shared" si="169"/>
        <v>8</v>
      </c>
      <c r="C277" s="1">
        <f t="shared" si="170"/>
        <v>9</v>
      </c>
      <c r="D277" s="10" t="str">
        <f t="shared" si="171"/>
        <v>1</v>
      </c>
      <c r="E277" s="1">
        <f t="shared" si="172"/>
        <v>11</v>
      </c>
      <c r="F277" s="1">
        <f t="shared" si="173"/>
        <v>0</v>
      </c>
      <c r="G277" s="1">
        <f t="shared" si="174"/>
        <v>29</v>
      </c>
      <c r="H277" s="1">
        <f t="shared" si="181"/>
        <v>29</v>
      </c>
      <c r="I277" s="10" t="str">
        <f t="shared" si="175"/>
        <v>UpAPT55_GAIN2N_PT1</v>
      </c>
      <c r="J277" s="1">
        <f t="shared" si="182"/>
        <v>0</v>
      </c>
      <c r="K277" s="1">
        <f t="shared" si="176"/>
        <v>0</v>
      </c>
      <c r="L277" s="1" t="str">
        <f t="shared" si="177"/>
        <v>0</v>
      </c>
      <c r="M277" s="10">
        <f t="shared" si="178"/>
        <v>0</v>
      </c>
      <c r="N277" s="1">
        <f t="shared" si="179"/>
        <v>32</v>
      </c>
      <c r="O277" s="1">
        <f t="shared" si="164"/>
        <v>0</v>
      </c>
      <c r="P277" s="1">
        <f t="shared" si="180"/>
        <v>103</v>
      </c>
      <c r="Q277" s="3" t="str">
        <f t="shared" si="155"/>
        <v xml:space="preserve"> Sharpness 5x5 negative gain 2 (corresponding to Point 1) (0x0 ~ 0xFF) </v>
      </c>
      <c r="R277" s="11">
        <f t="shared" si="165"/>
        <v>536</v>
      </c>
      <c r="S277" s="11"/>
      <c r="T277" s="13" t="str">
        <f t="shared" si="166"/>
        <v>218</v>
      </c>
      <c r="U277" s="14" t="str">
        <f t="shared" si="150"/>
        <v>UpAPT55_GAIN2N_PT1</v>
      </c>
      <c r="V277" s="13" t="str">
        <f t="shared" si="151"/>
        <v>1</v>
      </c>
      <c r="W277" s="13">
        <f t="shared" si="152"/>
        <v>0</v>
      </c>
      <c r="X277" s="14" t="str">
        <f t="shared" si="154"/>
        <v xml:space="preserve"> Sharpness 5x5 negative gain 2 (corresponding to Point 1) (0x0 ~ 0xFF) </v>
      </c>
      <c r="Y277" s="1">
        <f t="shared" si="156"/>
        <v>1</v>
      </c>
      <c r="Z277" s="1">
        <f t="shared" si="157"/>
        <v>1</v>
      </c>
      <c r="AA277" s="1">
        <f t="shared" si="153"/>
        <v>0</v>
      </c>
      <c r="AB277" s="1">
        <f t="shared" si="158"/>
        <v>0</v>
      </c>
      <c r="AC277" s="10" t="e">
        <f t="shared" si="159"/>
        <v>#VALUE!</v>
      </c>
      <c r="AD277" s="1" t="e">
        <f t="shared" si="167"/>
        <v>#VALUE!</v>
      </c>
      <c r="AF277" s="3" t="e">
        <f t="shared" si="160"/>
        <v>#VALUE!</v>
      </c>
      <c r="AG277" s="5" t="str">
        <f t="shared" si="161"/>
        <v>UpAPT55_GAIN2N_PT1)/* Sharpness 5x5 negative gain 2 (corresponding to Point 1) (0x0 ~ 0xFF) *</v>
      </c>
      <c r="AH277" s="3">
        <f t="shared" si="162"/>
        <v>1</v>
      </c>
      <c r="AI277" s="3">
        <f t="shared" si="163"/>
        <v>0</v>
      </c>
      <c r="AJ277" s="7">
        <f t="shared" si="168"/>
        <v>1</v>
      </c>
    </row>
    <row r="278" spans="1:36" x14ac:dyDescent="0.3">
      <c r="A278" s="15" t="s">
        <v>308</v>
      </c>
      <c r="B278" s="1">
        <f t="shared" si="169"/>
        <v>8</v>
      </c>
      <c r="C278" s="1">
        <f t="shared" si="170"/>
        <v>9</v>
      </c>
      <c r="D278" s="10" t="str">
        <f t="shared" si="171"/>
        <v>1</v>
      </c>
      <c r="E278" s="1">
        <f t="shared" si="172"/>
        <v>11</v>
      </c>
      <c r="F278" s="1">
        <f t="shared" si="173"/>
        <v>0</v>
      </c>
      <c r="G278" s="1">
        <f t="shared" si="174"/>
        <v>29</v>
      </c>
      <c r="H278" s="1">
        <f t="shared" si="181"/>
        <v>29</v>
      </c>
      <c r="I278" s="10" t="str">
        <f t="shared" si="175"/>
        <v>UpAPT55_GAIN1P_PT1</v>
      </c>
      <c r="J278" s="1">
        <f t="shared" si="182"/>
        <v>0</v>
      </c>
      <c r="K278" s="1">
        <f t="shared" si="176"/>
        <v>0</v>
      </c>
      <c r="L278" s="1" t="str">
        <f t="shared" si="177"/>
        <v>0</v>
      </c>
      <c r="M278" s="10">
        <f t="shared" si="178"/>
        <v>0</v>
      </c>
      <c r="N278" s="1">
        <f t="shared" si="179"/>
        <v>32</v>
      </c>
      <c r="O278" s="1">
        <f t="shared" si="164"/>
        <v>0</v>
      </c>
      <c r="P278" s="1">
        <f t="shared" si="180"/>
        <v>103</v>
      </c>
      <c r="Q278" s="3" t="str">
        <f t="shared" si="155"/>
        <v xml:space="preserve"> Sharpness 5x5 positive gain 1 (corresponding to Point 1) (0x0 ~ 0xFF) </v>
      </c>
      <c r="R278" s="11">
        <f t="shared" si="165"/>
        <v>537</v>
      </c>
      <c r="S278" s="11"/>
      <c r="T278" s="13" t="str">
        <f t="shared" si="166"/>
        <v>219</v>
      </c>
      <c r="U278" s="14" t="str">
        <f t="shared" si="150"/>
        <v>UpAPT55_GAIN1P_PT1</v>
      </c>
      <c r="V278" s="13" t="str">
        <f t="shared" si="151"/>
        <v>1</v>
      </c>
      <c r="W278" s="13">
        <f t="shared" si="152"/>
        <v>0</v>
      </c>
      <c r="X278" s="14" t="str">
        <f t="shared" si="154"/>
        <v xml:space="preserve"> Sharpness 5x5 positive gain 1 (corresponding to Point 1) (0x0 ~ 0xFF) </v>
      </c>
      <c r="Y278" s="1">
        <f t="shared" si="156"/>
        <v>1</v>
      </c>
      <c r="Z278" s="1">
        <f t="shared" si="157"/>
        <v>1</v>
      </c>
      <c r="AA278" s="1">
        <f t="shared" si="153"/>
        <v>0</v>
      </c>
      <c r="AB278" s="1">
        <f t="shared" si="158"/>
        <v>0</v>
      </c>
      <c r="AC278" s="10" t="e">
        <f t="shared" si="159"/>
        <v>#VALUE!</v>
      </c>
      <c r="AD278" s="1" t="e">
        <f t="shared" si="167"/>
        <v>#VALUE!</v>
      </c>
      <c r="AF278" s="3" t="e">
        <f t="shared" si="160"/>
        <v>#VALUE!</v>
      </c>
      <c r="AG278" s="5" t="str">
        <f t="shared" si="161"/>
        <v>UpAPT55_GAIN1P_PT1)/* Sharpness 5x5 positive gain 1 (corresponding to Point 1) (0x0 ~ 0xFF) *</v>
      </c>
      <c r="AH278" s="3">
        <f t="shared" si="162"/>
        <v>1</v>
      </c>
      <c r="AI278" s="3">
        <f t="shared" si="163"/>
        <v>0</v>
      </c>
      <c r="AJ278" s="7">
        <f t="shared" si="168"/>
        <v>1</v>
      </c>
    </row>
    <row r="279" spans="1:36" x14ac:dyDescent="0.3">
      <c r="A279" s="15" t="s">
        <v>309</v>
      </c>
      <c r="B279" s="1">
        <f t="shared" si="169"/>
        <v>8</v>
      </c>
      <c r="C279" s="1">
        <f t="shared" si="170"/>
        <v>9</v>
      </c>
      <c r="D279" s="10" t="str">
        <f t="shared" si="171"/>
        <v>1</v>
      </c>
      <c r="E279" s="1">
        <f t="shared" si="172"/>
        <v>11</v>
      </c>
      <c r="F279" s="1">
        <f t="shared" si="173"/>
        <v>0</v>
      </c>
      <c r="G279" s="1">
        <f t="shared" si="174"/>
        <v>29</v>
      </c>
      <c r="H279" s="1">
        <f t="shared" si="181"/>
        <v>29</v>
      </c>
      <c r="I279" s="10" t="str">
        <f t="shared" si="175"/>
        <v>UpAPT55_GAIN2P_PT1</v>
      </c>
      <c r="J279" s="1">
        <f t="shared" si="182"/>
        <v>0</v>
      </c>
      <c r="K279" s="1">
        <f t="shared" si="176"/>
        <v>0</v>
      </c>
      <c r="L279" s="1" t="str">
        <f t="shared" si="177"/>
        <v>0</v>
      </c>
      <c r="M279" s="10">
        <f t="shared" si="178"/>
        <v>0</v>
      </c>
      <c r="N279" s="1">
        <f t="shared" si="179"/>
        <v>32</v>
      </c>
      <c r="O279" s="1">
        <f t="shared" si="164"/>
        <v>0</v>
      </c>
      <c r="P279" s="1">
        <f t="shared" si="180"/>
        <v>103</v>
      </c>
      <c r="Q279" s="3" t="str">
        <f t="shared" si="155"/>
        <v xml:space="preserve"> Sharpness 5x5 positive gain 2 (corresponding to Point 1) (0x0 ~ 0xFF) </v>
      </c>
      <c r="R279" s="11">
        <f t="shared" si="165"/>
        <v>538</v>
      </c>
      <c r="S279" s="11"/>
      <c r="T279" s="13" t="str">
        <f t="shared" si="166"/>
        <v>21A</v>
      </c>
      <c r="U279" s="14" t="str">
        <f t="shared" si="150"/>
        <v>UpAPT55_GAIN2P_PT1</v>
      </c>
      <c r="V279" s="13" t="str">
        <f t="shared" si="151"/>
        <v>1</v>
      </c>
      <c r="W279" s="13">
        <f t="shared" si="152"/>
        <v>0</v>
      </c>
      <c r="X279" s="14" t="str">
        <f t="shared" si="154"/>
        <v xml:space="preserve"> Sharpness 5x5 positive gain 2 (corresponding to Point 1) (0x0 ~ 0xFF) </v>
      </c>
      <c r="Y279" s="1">
        <f t="shared" si="156"/>
        <v>1</v>
      </c>
      <c r="Z279" s="1">
        <f t="shared" si="157"/>
        <v>1</v>
      </c>
      <c r="AA279" s="1">
        <f t="shared" si="153"/>
        <v>0</v>
      </c>
      <c r="AB279" s="1">
        <f t="shared" si="158"/>
        <v>0</v>
      </c>
      <c r="AC279" s="10" t="e">
        <f t="shared" si="159"/>
        <v>#VALUE!</v>
      </c>
      <c r="AD279" s="1" t="e">
        <f t="shared" si="167"/>
        <v>#VALUE!</v>
      </c>
      <c r="AF279" s="3" t="e">
        <f t="shared" si="160"/>
        <v>#VALUE!</v>
      </c>
      <c r="AG279" s="5" t="str">
        <f t="shared" si="161"/>
        <v>UpAPT55_GAIN2P_PT1)/* Sharpness 5x5 positive gain 2 (corresponding to Point 1) (0x0 ~ 0xFF) *</v>
      </c>
      <c r="AH279" s="3">
        <f t="shared" si="162"/>
        <v>1</v>
      </c>
      <c r="AI279" s="3">
        <f t="shared" si="163"/>
        <v>0</v>
      </c>
      <c r="AJ279" s="7">
        <f t="shared" si="168"/>
        <v>1</v>
      </c>
    </row>
    <row r="280" spans="1:36" x14ac:dyDescent="0.3">
      <c r="A280" s="15" t="s">
        <v>310</v>
      </c>
      <c r="B280" s="1">
        <f t="shared" si="169"/>
        <v>8</v>
      </c>
      <c r="C280" s="1">
        <f t="shared" si="170"/>
        <v>9</v>
      </c>
      <c r="D280" s="10" t="str">
        <f t="shared" si="171"/>
        <v>2</v>
      </c>
      <c r="E280" s="1">
        <f t="shared" si="172"/>
        <v>11</v>
      </c>
      <c r="F280" s="1">
        <f t="shared" si="173"/>
        <v>0</v>
      </c>
      <c r="G280" s="1">
        <f t="shared" si="174"/>
        <v>27</v>
      </c>
      <c r="H280" s="1">
        <f t="shared" si="181"/>
        <v>27</v>
      </c>
      <c r="I280" s="10" t="str">
        <f t="shared" si="175"/>
        <v>UpAPT33_SLIC_PT1</v>
      </c>
      <c r="J280" s="1">
        <f t="shared" si="182"/>
        <v>0</v>
      </c>
      <c r="K280" s="1">
        <f t="shared" si="176"/>
        <v>0</v>
      </c>
      <c r="L280" s="1" t="str">
        <f t="shared" si="177"/>
        <v>0</v>
      </c>
      <c r="M280" s="10">
        <f t="shared" si="178"/>
        <v>0</v>
      </c>
      <c r="N280" s="1">
        <f t="shared" si="179"/>
        <v>30</v>
      </c>
      <c r="O280" s="1">
        <f t="shared" si="164"/>
        <v>0</v>
      </c>
      <c r="P280" s="1">
        <f t="shared" si="180"/>
        <v>98</v>
      </c>
      <c r="Q280" s="3" t="str">
        <f t="shared" si="155"/>
        <v xml:space="preserve"> Sharpness 3x3 slice value (corresponding to Point 1) (0x0 ~ 0x3FF) </v>
      </c>
      <c r="R280" s="11">
        <f t="shared" si="165"/>
        <v>539</v>
      </c>
      <c r="S280" s="11"/>
      <c r="T280" s="13" t="str">
        <f t="shared" si="166"/>
        <v>21B</v>
      </c>
      <c r="U280" s="14" t="str">
        <f t="shared" si="150"/>
        <v>UpAPT33_SLIC_PT1</v>
      </c>
      <c r="V280" s="13" t="str">
        <f t="shared" si="151"/>
        <v>2</v>
      </c>
      <c r="W280" s="13">
        <f t="shared" si="152"/>
        <v>0</v>
      </c>
      <c r="X280" s="14" t="str">
        <f t="shared" si="154"/>
        <v xml:space="preserve"> Sharpness 3x3 slice value (corresponding to Point 1) (0x0 ~ 0x3FF) </v>
      </c>
      <c r="Y280" s="1">
        <f t="shared" si="156"/>
        <v>1</v>
      </c>
      <c r="Z280" s="1">
        <f t="shared" si="157"/>
        <v>2</v>
      </c>
      <c r="AA280" s="1">
        <f t="shared" si="153"/>
        <v>0</v>
      </c>
      <c r="AB280" s="1">
        <f t="shared" si="158"/>
        <v>0</v>
      </c>
      <c r="AC280" s="10" t="e">
        <f t="shared" si="159"/>
        <v>#VALUE!</v>
      </c>
      <c r="AD280" s="1" t="e">
        <f t="shared" si="167"/>
        <v>#VALUE!</v>
      </c>
      <c r="AF280" s="3" t="e">
        <f t="shared" si="160"/>
        <v>#VALUE!</v>
      </c>
      <c r="AG280" s="5" t="str">
        <f t="shared" si="161"/>
        <v>UpAPT33_SLIC_PT1)/* Sharpness 3x3 slice value (corresponding to Point 1) (0x0 ~ 0x3FF) *</v>
      </c>
      <c r="AH280" s="3">
        <f t="shared" si="162"/>
        <v>2</v>
      </c>
      <c r="AI280" s="3">
        <f t="shared" si="163"/>
        <v>0</v>
      </c>
      <c r="AJ280" s="7">
        <f t="shared" si="168"/>
        <v>1</v>
      </c>
    </row>
    <row r="281" spans="1:36" x14ac:dyDescent="0.3">
      <c r="A281" s="15" t="s">
        <v>311</v>
      </c>
      <c r="B281" s="1">
        <f t="shared" si="169"/>
        <v>8</v>
      </c>
      <c r="C281" s="1">
        <f t="shared" si="170"/>
        <v>9</v>
      </c>
      <c r="D281" s="10" t="str">
        <f t="shared" si="171"/>
        <v>2</v>
      </c>
      <c r="E281" s="1">
        <f t="shared" si="172"/>
        <v>11</v>
      </c>
      <c r="F281" s="1">
        <f t="shared" si="173"/>
        <v>0</v>
      </c>
      <c r="G281" s="1">
        <f t="shared" si="174"/>
        <v>27</v>
      </c>
      <c r="H281" s="1">
        <f t="shared" si="181"/>
        <v>27</v>
      </c>
      <c r="I281" s="10" t="str">
        <f t="shared" si="175"/>
        <v>UpAPT33_CLIP_PT1</v>
      </c>
      <c r="J281" s="1">
        <f t="shared" si="182"/>
        <v>0</v>
      </c>
      <c r="K281" s="1">
        <f t="shared" si="176"/>
        <v>0</v>
      </c>
      <c r="L281" s="1" t="str">
        <f t="shared" si="177"/>
        <v>0</v>
      </c>
      <c r="M281" s="10">
        <f t="shared" si="178"/>
        <v>0</v>
      </c>
      <c r="N281" s="1">
        <f t="shared" si="179"/>
        <v>30</v>
      </c>
      <c r="O281" s="1">
        <f t="shared" si="164"/>
        <v>0</v>
      </c>
      <c r="P281" s="1">
        <f t="shared" si="180"/>
        <v>97</v>
      </c>
      <c r="Q281" s="3" t="str">
        <f t="shared" si="155"/>
        <v xml:space="preserve"> Sharpness 3x3 clip value (corresponding to Point 1) (0x0 ~ 0x3FF) </v>
      </c>
      <c r="R281" s="11">
        <f t="shared" si="165"/>
        <v>541</v>
      </c>
      <c r="S281" s="11"/>
      <c r="T281" s="13" t="str">
        <f t="shared" si="166"/>
        <v>21D</v>
      </c>
      <c r="U281" s="14" t="str">
        <f t="shared" si="150"/>
        <v>UpAPT33_CLIP_PT1</v>
      </c>
      <c r="V281" s="13" t="str">
        <f t="shared" si="151"/>
        <v>2</v>
      </c>
      <c r="W281" s="13">
        <f t="shared" si="152"/>
        <v>0</v>
      </c>
      <c r="X281" s="14" t="str">
        <f t="shared" si="154"/>
        <v xml:space="preserve"> Sharpness 3x3 clip value (corresponding to Point 1) (0x0 ~ 0x3FF) </v>
      </c>
      <c r="Y281" s="1">
        <f t="shared" si="156"/>
        <v>1</v>
      </c>
      <c r="Z281" s="1">
        <f t="shared" si="157"/>
        <v>2</v>
      </c>
      <c r="AA281" s="1">
        <f t="shared" si="153"/>
        <v>0</v>
      </c>
      <c r="AB281" s="1">
        <f t="shared" si="158"/>
        <v>0</v>
      </c>
      <c r="AC281" s="10" t="e">
        <f t="shared" si="159"/>
        <v>#VALUE!</v>
      </c>
      <c r="AD281" s="1" t="e">
        <f t="shared" si="167"/>
        <v>#VALUE!</v>
      </c>
      <c r="AF281" s="3" t="e">
        <f t="shared" si="160"/>
        <v>#VALUE!</v>
      </c>
      <c r="AG281" s="5" t="str">
        <f t="shared" si="161"/>
        <v>UpAPT33_CLIP_PT1)/* Sharpness 3x3 clip value (corresponding to Point 1) (0x0 ~ 0x3FF) *</v>
      </c>
      <c r="AH281" s="3">
        <f t="shared" si="162"/>
        <v>2</v>
      </c>
      <c r="AI281" s="3">
        <f t="shared" si="163"/>
        <v>0</v>
      </c>
      <c r="AJ281" s="7">
        <f t="shared" si="168"/>
        <v>1</v>
      </c>
    </row>
    <row r="282" spans="1:36" x14ac:dyDescent="0.3">
      <c r="A282" s="15" t="s">
        <v>312</v>
      </c>
      <c r="B282" s="1">
        <f t="shared" si="169"/>
        <v>8</v>
      </c>
      <c r="C282" s="1">
        <f t="shared" si="170"/>
        <v>9</v>
      </c>
      <c r="D282" s="10" t="str">
        <f t="shared" si="171"/>
        <v>1</v>
      </c>
      <c r="E282" s="1">
        <f t="shared" si="172"/>
        <v>11</v>
      </c>
      <c r="F282" s="1">
        <f t="shared" si="173"/>
        <v>0</v>
      </c>
      <c r="G282" s="1">
        <f t="shared" si="174"/>
        <v>27</v>
      </c>
      <c r="H282" s="1">
        <f t="shared" si="181"/>
        <v>27</v>
      </c>
      <c r="I282" s="10" t="str">
        <f t="shared" si="175"/>
        <v>UpAPT33_GAIN_PT1</v>
      </c>
      <c r="J282" s="1">
        <f t="shared" si="182"/>
        <v>0</v>
      </c>
      <c r="K282" s="1">
        <f t="shared" si="176"/>
        <v>0</v>
      </c>
      <c r="L282" s="1" t="str">
        <f t="shared" si="177"/>
        <v>0</v>
      </c>
      <c r="M282" s="10">
        <f t="shared" si="178"/>
        <v>0</v>
      </c>
      <c r="N282" s="1">
        <f t="shared" si="179"/>
        <v>30</v>
      </c>
      <c r="O282" s="1">
        <f t="shared" si="164"/>
        <v>0</v>
      </c>
      <c r="P282" s="1">
        <f t="shared" si="180"/>
        <v>90</v>
      </c>
      <c r="Q282" s="3" t="str">
        <f t="shared" si="155"/>
        <v xml:space="preserve"> Sharpness 3x3 gain (corresponding to Point 1) (0x0 ~ 0xFF) </v>
      </c>
      <c r="R282" s="11">
        <f t="shared" si="165"/>
        <v>543</v>
      </c>
      <c r="S282" s="11"/>
      <c r="T282" s="13" t="str">
        <f t="shared" si="166"/>
        <v>21F</v>
      </c>
      <c r="U282" s="14" t="str">
        <f t="shared" si="150"/>
        <v>UpAPT33_GAIN_PT1</v>
      </c>
      <c r="V282" s="13" t="str">
        <f t="shared" si="151"/>
        <v>1</v>
      </c>
      <c r="W282" s="13">
        <f t="shared" si="152"/>
        <v>0</v>
      </c>
      <c r="X282" s="14" t="str">
        <f t="shared" si="154"/>
        <v xml:space="preserve"> Sharpness 3x3 gain (corresponding to Point 1) (0x0 ~ 0xFF) </v>
      </c>
      <c r="Y282" s="1">
        <f t="shared" si="156"/>
        <v>1</v>
      </c>
      <c r="Z282" s="1">
        <f t="shared" si="157"/>
        <v>1</v>
      </c>
      <c r="AA282" s="1">
        <f t="shared" si="153"/>
        <v>0</v>
      </c>
      <c r="AB282" s="1">
        <f t="shared" si="158"/>
        <v>0</v>
      </c>
      <c r="AC282" s="10" t="e">
        <f t="shared" si="159"/>
        <v>#VALUE!</v>
      </c>
      <c r="AD282" s="1" t="e">
        <f t="shared" si="167"/>
        <v>#VALUE!</v>
      </c>
      <c r="AF282" s="3" t="e">
        <f t="shared" si="160"/>
        <v>#VALUE!</v>
      </c>
      <c r="AG282" s="5" t="str">
        <f t="shared" si="161"/>
        <v>UpAPT33_GAIN_PT1)/* Sharpness 3x3 gain (corresponding to Point 1) (0x0 ~ 0xFF) *</v>
      </c>
      <c r="AH282" s="3">
        <f t="shared" si="162"/>
        <v>1</v>
      </c>
      <c r="AI282" s="3">
        <f t="shared" si="163"/>
        <v>0</v>
      </c>
      <c r="AJ282" s="7">
        <f t="shared" si="168"/>
        <v>1</v>
      </c>
    </row>
    <row r="283" spans="1:36" x14ac:dyDescent="0.3">
      <c r="A283" s="15" t="s">
        <v>149</v>
      </c>
      <c r="B283" s="1">
        <f t="shared" si="169"/>
        <v>0</v>
      </c>
      <c r="C283" s="1">
        <f t="shared" si="170"/>
        <v>0</v>
      </c>
      <c r="D283" s="10">
        <f t="shared" si="171"/>
        <v>0</v>
      </c>
      <c r="E283" s="1">
        <f t="shared" si="172"/>
        <v>0</v>
      </c>
      <c r="F283" s="1">
        <f t="shared" si="173"/>
        <v>0</v>
      </c>
      <c r="G283" s="1">
        <f t="shared" si="174"/>
        <v>0</v>
      </c>
      <c r="H283" s="1">
        <f t="shared" si="181"/>
        <v>0</v>
      </c>
      <c r="I283" s="10">
        <f t="shared" si="175"/>
        <v>0</v>
      </c>
      <c r="J283" s="1">
        <f t="shared" si="182"/>
        <v>0</v>
      </c>
      <c r="K283" s="1">
        <f t="shared" si="176"/>
        <v>0</v>
      </c>
      <c r="L283" s="1" t="str">
        <f t="shared" si="177"/>
        <v>0</v>
      </c>
      <c r="M283" s="10">
        <f t="shared" si="178"/>
        <v>0</v>
      </c>
      <c r="N283" s="1">
        <f t="shared" si="179"/>
        <v>3</v>
      </c>
      <c r="O283" s="1">
        <f t="shared" si="164"/>
        <v>1</v>
      </c>
      <c r="P283" s="1">
        <f t="shared" si="180"/>
        <v>17</v>
      </c>
      <c r="Q283" s="3" t="str">
        <f t="shared" si="155"/>
        <v>SHARPNESS_PT2</v>
      </c>
      <c r="R283" s="11">
        <f t="shared" si="165"/>
        <v>544</v>
      </c>
      <c r="S283" s="11"/>
      <c r="T283" s="13" t="str">
        <f t="shared" si="166"/>
        <v>#</v>
      </c>
      <c r="U283" s="14" t="str">
        <f t="shared" si="150"/>
        <v>SHARPNESS_PT2</v>
      </c>
      <c r="V283" s="13">
        <f t="shared" si="151"/>
        <v>1</v>
      </c>
      <c r="W283" s="13">
        <f t="shared" si="152"/>
        <v>0</v>
      </c>
      <c r="X283" s="14" t="str">
        <f t="shared" si="154"/>
        <v>-</v>
      </c>
      <c r="Y283" s="1">
        <f t="shared" si="156"/>
        <v>0</v>
      </c>
      <c r="Z283" s="1">
        <f t="shared" si="157"/>
        <v>1</v>
      </c>
      <c r="AA283" s="1">
        <f t="shared" si="153"/>
        <v>0</v>
      </c>
      <c r="AB283" s="1">
        <f t="shared" si="158"/>
        <v>0</v>
      </c>
      <c r="AC283" s="10" t="e">
        <f t="shared" si="159"/>
        <v>#VALUE!</v>
      </c>
      <c r="AD283" s="1" t="e">
        <f t="shared" si="167"/>
        <v>#VALUE!</v>
      </c>
      <c r="AF283" s="3" t="str">
        <f t="shared" si="160"/>
        <v>0</v>
      </c>
      <c r="AG283" s="5" t="str">
        <f t="shared" si="161"/>
        <v>#SHARPNESS_PT2</v>
      </c>
      <c r="AH283" s="3" t="str">
        <f t="shared" si="162"/>
        <v>1</v>
      </c>
      <c r="AI283" s="3" t="str">
        <f t="shared" si="163"/>
        <v>0</v>
      </c>
      <c r="AJ283" s="7">
        <f t="shared" si="168"/>
        <v>1</v>
      </c>
    </row>
    <row r="284" spans="1:36" x14ac:dyDescent="0.3">
      <c r="A284" s="15" t="s">
        <v>313</v>
      </c>
      <c r="B284" s="1">
        <f t="shared" si="169"/>
        <v>8</v>
      </c>
      <c r="C284" s="1">
        <f t="shared" si="170"/>
        <v>9</v>
      </c>
      <c r="D284" s="10" t="str">
        <f t="shared" si="171"/>
        <v>2</v>
      </c>
      <c r="E284" s="1">
        <f t="shared" si="172"/>
        <v>11</v>
      </c>
      <c r="F284" s="1">
        <f t="shared" si="173"/>
        <v>0</v>
      </c>
      <c r="G284" s="1">
        <f t="shared" si="174"/>
        <v>26</v>
      </c>
      <c r="H284" s="1">
        <f t="shared" si="181"/>
        <v>26</v>
      </c>
      <c r="I284" s="10" t="str">
        <f t="shared" si="175"/>
        <v>UpAPT55_TH1_PT2</v>
      </c>
      <c r="J284" s="1">
        <f t="shared" si="182"/>
        <v>0</v>
      </c>
      <c r="K284" s="1">
        <f t="shared" si="176"/>
        <v>0</v>
      </c>
      <c r="L284" s="1" t="str">
        <f t="shared" si="177"/>
        <v>0</v>
      </c>
      <c r="M284" s="10">
        <f t="shared" si="178"/>
        <v>0</v>
      </c>
      <c r="N284" s="1">
        <f t="shared" si="179"/>
        <v>29</v>
      </c>
      <c r="O284" s="1">
        <f t="shared" si="164"/>
        <v>0</v>
      </c>
      <c r="P284" s="1">
        <f t="shared" si="180"/>
        <v>107</v>
      </c>
      <c r="Q284" s="3" t="str">
        <f t="shared" si="155"/>
        <v xml:space="preserve"> Sharpness 5x5 threshold 1 (corresponding to Point 2) (0x0 ~ UpAPT55_TH2_PT2) </v>
      </c>
      <c r="R284" s="11">
        <f t="shared" si="165"/>
        <v>544</v>
      </c>
      <c r="S284" s="11"/>
      <c r="T284" s="13" t="str">
        <f t="shared" si="166"/>
        <v>220</v>
      </c>
      <c r="U284" s="14" t="str">
        <f t="shared" si="150"/>
        <v>UpAPT55_TH1_PT2</v>
      </c>
      <c r="V284" s="13" t="str">
        <f t="shared" si="151"/>
        <v>2</v>
      </c>
      <c r="W284" s="13">
        <f t="shared" si="152"/>
        <v>0</v>
      </c>
      <c r="X284" s="14" t="str">
        <f t="shared" si="154"/>
        <v xml:space="preserve"> Sharpness 5x5 threshold 1 (corresponding to Point 2) (0x0 ~ UpAPT55_TH2_PT2) </v>
      </c>
      <c r="Y284" s="1">
        <f t="shared" si="156"/>
        <v>1</v>
      </c>
      <c r="Z284" s="1">
        <f t="shared" si="157"/>
        <v>2</v>
      </c>
      <c r="AA284" s="1">
        <f t="shared" si="153"/>
        <v>0</v>
      </c>
      <c r="AB284" s="1">
        <f t="shared" si="158"/>
        <v>0</v>
      </c>
      <c r="AC284" s="10" t="e">
        <f t="shared" si="159"/>
        <v>#VALUE!</v>
      </c>
      <c r="AD284" s="1" t="e">
        <f t="shared" si="167"/>
        <v>#VALUE!</v>
      </c>
      <c r="AF284" s="3" t="e">
        <f t="shared" si="160"/>
        <v>#VALUE!</v>
      </c>
      <c r="AG284" s="5" t="str">
        <f t="shared" si="161"/>
        <v>UpAPT55_TH1_PT2)/* Sharpness 5x5 threshold 1 (corresponding to Point 2) (0x0 ~ UpAPT55_TH2_PT2) *</v>
      </c>
      <c r="AH284" s="3">
        <f t="shared" si="162"/>
        <v>2</v>
      </c>
      <c r="AI284" s="3">
        <f t="shared" si="163"/>
        <v>0</v>
      </c>
      <c r="AJ284" s="7">
        <f t="shared" si="168"/>
        <v>1</v>
      </c>
    </row>
    <row r="285" spans="1:36" x14ac:dyDescent="0.3">
      <c r="A285" s="15" t="s">
        <v>314</v>
      </c>
      <c r="B285" s="1">
        <f t="shared" si="169"/>
        <v>8</v>
      </c>
      <c r="C285" s="1">
        <f t="shared" si="170"/>
        <v>9</v>
      </c>
      <c r="D285" s="10" t="str">
        <f t="shared" si="171"/>
        <v>2</v>
      </c>
      <c r="E285" s="1">
        <f t="shared" si="172"/>
        <v>11</v>
      </c>
      <c r="F285" s="1">
        <f t="shared" si="173"/>
        <v>0</v>
      </c>
      <c r="G285" s="1">
        <f t="shared" si="174"/>
        <v>26</v>
      </c>
      <c r="H285" s="1">
        <f t="shared" si="181"/>
        <v>26</v>
      </c>
      <c r="I285" s="10" t="str">
        <f t="shared" si="175"/>
        <v>UpAPT55_TH2_PT2</v>
      </c>
      <c r="J285" s="1">
        <f t="shared" si="182"/>
        <v>0</v>
      </c>
      <c r="K285" s="1">
        <f t="shared" si="176"/>
        <v>0</v>
      </c>
      <c r="L285" s="1" t="str">
        <f t="shared" si="177"/>
        <v>0</v>
      </c>
      <c r="M285" s="10">
        <f t="shared" si="178"/>
        <v>0</v>
      </c>
      <c r="N285" s="1">
        <f t="shared" si="179"/>
        <v>29</v>
      </c>
      <c r="O285" s="1">
        <f t="shared" si="164"/>
        <v>0</v>
      </c>
      <c r="P285" s="1">
        <f t="shared" si="180"/>
        <v>97</v>
      </c>
      <c r="Q285" s="3" t="str">
        <f t="shared" si="155"/>
        <v xml:space="preserve"> Sharpness 5x5 threshold 2 (corresponding to Point 2) (0x0 ~ 0xFFF) </v>
      </c>
      <c r="R285" s="11">
        <f t="shared" si="165"/>
        <v>546</v>
      </c>
      <c r="S285" s="11"/>
      <c r="T285" s="13" t="str">
        <f t="shared" si="166"/>
        <v>222</v>
      </c>
      <c r="U285" s="14" t="str">
        <f t="shared" ref="U285:U301" si="183">IF(A285="",IF(A284="","",$U$1),  IF(B285=0,Q285,I285)  )</f>
        <v>UpAPT55_TH2_PT2</v>
      </c>
      <c r="V285" s="13" t="str">
        <f t="shared" ref="V285:V301" si="184">IF(U285=$U$1,"",IF(A285="",IF(A284="","",1),  IF(B285=0,1,D285)  ))</f>
        <v>2</v>
      </c>
      <c r="W285" s="13">
        <f t="shared" ref="W285:W301" si="185">IF(U285=$U$1,"",IF(A285="",IF(A284="","",0),  IF(C285=0,0,0)  ))</f>
        <v>0</v>
      </c>
      <c r="X285" s="14" t="str">
        <f t="shared" si="154"/>
        <v xml:space="preserve"> Sharpness 5x5 threshold 2 (corresponding to Point 2) (0x0 ~ 0xFFF) </v>
      </c>
      <c r="Y285" s="1">
        <f t="shared" si="156"/>
        <v>1</v>
      </c>
      <c r="Z285" s="1">
        <f t="shared" si="157"/>
        <v>2</v>
      </c>
      <c r="AA285" s="1">
        <f t="shared" si="153"/>
        <v>0</v>
      </c>
      <c r="AB285" s="1">
        <f t="shared" si="158"/>
        <v>0</v>
      </c>
      <c r="AC285" s="10" t="e">
        <f t="shared" si="159"/>
        <v>#VALUE!</v>
      </c>
      <c r="AD285" s="1" t="e">
        <f t="shared" si="167"/>
        <v>#VALUE!</v>
      </c>
      <c r="AF285" s="3" t="e">
        <f t="shared" si="160"/>
        <v>#VALUE!</v>
      </c>
      <c r="AG285" s="5" t="str">
        <f t="shared" si="161"/>
        <v>UpAPT55_TH2_PT2)/* Sharpness 5x5 threshold 2 (corresponding to Point 2) (0x0 ~ 0xFFF) *</v>
      </c>
      <c r="AH285" s="3">
        <f t="shared" si="162"/>
        <v>2</v>
      </c>
      <c r="AI285" s="3">
        <f t="shared" si="163"/>
        <v>0</v>
      </c>
      <c r="AJ285" s="7">
        <f t="shared" si="168"/>
        <v>1</v>
      </c>
    </row>
    <row r="286" spans="1:36" x14ac:dyDescent="0.3">
      <c r="A286" s="15" t="s">
        <v>315</v>
      </c>
      <c r="B286" s="1">
        <f t="shared" si="169"/>
        <v>8</v>
      </c>
      <c r="C286" s="1">
        <f t="shared" si="170"/>
        <v>9</v>
      </c>
      <c r="D286" s="10" t="str">
        <f t="shared" si="171"/>
        <v>2</v>
      </c>
      <c r="E286" s="1">
        <f t="shared" si="172"/>
        <v>11</v>
      </c>
      <c r="F286" s="1">
        <f t="shared" si="173"/>
        <v>0</v>
      </c>
      <c r="G286" s="1">
        <f t="shared" si="174"/>
        <v>26</v>
      </c>
      <c r="H286" s="1">
        <f t="shared" si="181"/>
        <v>26</v>
      </c>
      <c r="I286" s="10" t="str">
        <f t="shared" si="175"/>
        <v>UpAPT55_TH3_PT2</v>
      </c>
      <c r="J286" s="1">
        <f t="shared" si="182"/>
        <v>0</v>
      </c>
      <c r="K286" s="1">
        <f t="shared" si="176"/>
        <v>0</v>
      </c>
      <c r="L286" s="1" t="str">
        <f t="shared" si="177"/>
        <v>0</v>
      </c>
      <c r="M286" s="10">
        <f t="shared" si="178"/>
        <v>0</v>
      </c>
      <c r="N286" s="1">
        <f t="shared" si="179"/>
        <v>29</v>
      </c>
      <c r="O286" s="1">
        <f t="shared" si="164"/>
        <v>0</v>
      </c>
      <c r="P286" s="1">
        <f t="shared" si="180"/>
        <v>97</v>
      </c>
      <c r="Q286" s="3" t="str">
        <f t="shared" si="155"/>
        <v xml:space="preserve"> Sharpness 5x5 threshold 3 (corresponding to Point 2) (0x0 ~ 0x3FF) </v>
      </c>
      <c r="R286" s="11">
        <f t="shared" si="165"/>
        <v>548</v>
      </c>
      <c r="S286" s="11"/>
      <c r="T286" s="13" t="str">
        <f t="shared" si="166"/>
        <v>224</v>
      </c>
      <c r="U286" s="14" t="str">
        <f t="shared" si="183"/>
        <v>UpAPT55_TH3_PT2</v>
      </c>
      <c r="V286" s="13" t="str">
        <f t="shared" si="184"/>
        <v>2</v>
      </c>
      <c r="W286" s="13">
        <f t="shared" si="185"/>
        <v>0</v>
      </c>
      <c r="X286" s="14" t="str">
        <f t="shared" si="154"/>
        <v xml:space="preserve"> Sharpness 5x5 threshold 3 (corresponding to Point 2) (0x0 ~ 0x3FF) </v>
      </c>
      <c r="Y286" s="1">
        <f t="shared" si="156"/>
        <v>1</v>
      </c>
      <c r="Z286" s="1">
        <f t="shared" si="157"/>
        <v>2</v>
      </c>
      <c r="AA286" s="1">
        <f t="shared" si="153"/>
        <v>0</v>
      </c>
      <c r="AB286" s="1">
        <f t="shared" si="158"/>
        <v>0</v>
      </c>
      <c r="AC286" s="10" t="e">
        <f t="shared" si="159"/>
        <v>#VALUE!</v>
      </c>
      <c r="AD286" s="1" t="e">
        <f t="shared" si="167"/>
        <v>#VALUE!</v>
      </c>
      <c r="AF286" s="3" t="e">
        <f t="shared" si="160"/>
        <v>#VALUE!</v>
      </c>
      <c r="AG286" s="5" t="str">
        <f t="shared" si="161"/>
        <v>UpAPT55_TH3_PT2)/* Sharpness 5x5 threshold 3 (corresponding to Point 2) (0x0 ~ 0x3FF) *</v>
      </c>
      <c r="AH286" s="3">
        <f t="shared" si="162"/>
        <v>2</v>
      </c>
      <c r="AI286" s="3">
        <f t="shared" si="163"/>
        <v>0</v>
      </c>
      <c r="AJ286" s="7">
        <f t="shared" si="168"/>
        <v>1</v>
      </c>
    </row>
    <row r="287" spans="1:36" x14ac:dyDescent="0.3">
      <c r="A287" s="15" t="s">
        <v>316</v>
      </c>
      <c r="B287" s="1">
        <f t="shared" si="169"/>
        <v>8</v>
      </c>
      <c r="C287" s="1">
        <f t="shared" si="170"/>
        <v>9</v>
      </c>
      <c r="D287" s="10" t="str">
        <f t="shared" si="171"/>
        <v>1</v>
      </c>
      <c r="E287" s="1">
        <f t="shared" si="172"/>
        <v>11</v>
      </c>
      <c r="F287" s="1">
        <f t="shared" si="173"/>
        <v>0</v>
      </c>
      <c r="G287" s="1">
        <f t="shared" si="174"/>
        <v>29</v>
      </c>
      <c r="H287" s="1">
        <f t="shared" si="181"/>
        <v>29</v>
      </c>
      <c r="I287" s="10" t="str">
        <f t="shared" si="175"/>
        <v>UpAPT55_GAIN1N_PT2</v>
      </c>
      <c r="J287" s="1">
        <f t="shared" si="182"/>
        <v>0</v>
      </c>
      <c r="K287" s="1">
        <f t="shared" si="176"/>
        <v>0</v>
      </c>
      <c r="L287" s="1" t="str">
        <f t="shared" si="177"/>
        <v>0</v>
      </c>
      <c r="M287" s="10">
        <f t="shared" si="178"/>
        <v>0</v>
      </c>
      <c r="N287" s="1">
        <f t="shared" si="179"/>
        <v>32</v>
      </c>
      <c r="O287" s="1">
        <f t="shared" si="164"/>
        <v>0</v>
      </c>
      <c r="P287" s="1">
        <f t="shared" si="180"/>
        <v>103</v>
      </c>
      <c r="Q287" s="3" t="str">
        <f t="shared" si="155"/>
        <v xml:space="preserve"> Sharpness 5x5 negative gain 1 (corresponding to Point 2) (0x0 ~ 0xFF) </v>
      </c>
      <c r="R287" s="11">
        <f t="shared" si="165"/>
        <v>550</v>
      </c>
      <c r="S287" s="11"/>
      <c r="T287" s="13" t="str">
        <f t="shared" si="166"/>
        <v>226</v>
      </c>
      <c r="U287" s="14" t="str">
        <f t="shared" si="183"/>
        <v>UpAPT55_GAIN1N_PT2</v>
      </c>
      <c r="V287" s="13" t="str">
        <f t="shared" si="184"/>
        <v>1</v>
      </c>
      <c r="W287" s="13">
        <f t="shared" si="185"/>
        <v>0</v>
      </c>
      <c r="X287" s="14" t="str">
        <f t="shared" si="154"/>
        <v xml:space="preserve"> Sharpness 5x5 negative gain 1 (corresponding to Point 2) (0x0 ~ 0xFF) </v>
      </c>
      <c r="Y287" s="1">
        <f t="shared" si="156"/>
        <v>1</v>
      </c>
      <c r="Z287" s="1">
        <f t="shared" si="157"/>
        <v>1</v>
      </c>
      <c r="AA287" s="1">
        <f t="shared" si="153"/>
        <v>0</v>
      </c>
      <c r="AB287" s="1">
        <f t="shared" si="158"/>
        <v>0</v>
      </c>
      <c r="AC287" s="10" t="e">
        <f t="shared" si="159"/>
        <v>#VALUE!</v>
      </c>
      <c r="AD287" s="1" t="e">
        <f t="shared" si="167"/>
        <v>#VALUE!</v>
      </c>
      <c r="AF287" s="3" t="e">
        <f t="shared" si="160"/>
        <v>#VALUE!</v>
      </c>
      <c r="AG287" s="5" t="str">
        <f t="shared" si="161"/>
        <v>UpAPT55_GAIN1N_PT2)/* Sharpness 5x5 negative gain 1 (corresponding to Point 2) (0x0 ~ 0xFF) *</v>
      </c>
      <c r="AH287" s="3">
        <f t="shared" si="162"/>
        <v>1</v>
      </c>
      <c r="AI287" s="3">
        <f t="shared" si="163"/>
        <v>0</v>
      </c>
      <c r="AJ287" s="7">
        <f t="shared" si="168"/>
        <v>1</v>
      </c>
    </row>
    <row r="288" spans="1:36" x14ac:dyDescent="0.3">
      <c r="A288" s="15" t="s">
        <v>317</v>
      </c>
      <c r="B288" s="1">
        <f t="shared" si="169"/>
        <v>8</v>
      </c>
      <c r="C288" s="1">
        <f t="shared" si="170"/>
        <v>9</v>
      </c>
      <c r="D288" s="10" t="str">
        <f t="shared" si="171"/>
        <v>1</v>
      </c>
      <c r="E288" s="1">
        <f t="shared" si="172"/>
        <v>11</v>
      </c>
      <c r="F288" s="1">
        <f t="shared" si="173"/>
        <v>0</v>
      </c>
      <c r="G288" s="1">
        <f t="shared" si="174"/>
        <v>29</v>
      </c>
      <c r="H288" s="1">
        <f t="shared" si="181"/>
        <v>29</v>
      </c>
      <c r="I288" s="10" t="str">
        <f t="shared" si="175"/>
        <v>UpAPT55_GAIN2N_PT2</v>
      </c>
      <c r="J288" s="1">
        <f t="shared" si="182"/>
        <v>0</v>
      </c>
      <c r="K288" s="1">
        <f t="shared" si="176"/>
        <v>0</v>
      </c>
      <c r="L288" s="1" t="str">
        <f t="shared" si="177"/>
        <v>0</v>
      </c>
      <c r="M288" s="10">
        <f t="shared" si="178"/>
        <v>0</v>
      </c>
      <c r="N288" s="1">
        <f t="shared" si="179"/>
        <v>32</v>
      </c>
      <c r="O288" s="1">
        <f t="shared" si="164"/>
        <v>0</v>
      </c>
      <c r="P288" s="1">
        <f t="shared" si="180"/>
        <v>103</v>
      </c>
      <c r="Q288" s="3" t="str">
        <f t="shared" si="155"/>
        <v xml:space="preserve"> Sharpness 5x5 negative gain 2 (corresponding to Point 2) (0x0 ~ 0xFF) </v>
      </c>
      <c r="R288" s="11">
        <f t="shared" si="165"/>
        <v>551</v>
      </c>
      <c r="S288" s="11"/>
      <c r="T288" s="13" t="str">
        <f t="shared" si="166"/>
        <v>227</v>
      </c>
      <c r="U288" s="14" t="str">
        <f t="shared" si="183"/>
        <v>UpAPT55_GAIN2N_PT2</v>
      </c>
      <c r="V288" s="13" t="str">
        <f t="shared" si="184"/>
        <v>1</v>
      </c>
      <c r="W288" s="13">
        <f t="shared" si="185"/>
        <v>0</v>
      </c>
      <c r="X288" s="14" t="str">
        <f t="shared" si="154"/>
        <v xml:space="preserve"> Sharpness 5x5 negative gain 2 (corresponding to Point 2) (0x0 ~ 0xFF) </v>
      </c>
      <c r="Y288" s="1">
        <f t="shared" si="156"/>
        <v>1</v>
      </c>
      <c r="Z288" s="1">
        <f t="shared" si="157"/>
        <v>1</v>
      </c>
      <c r="AA288" s="1">
        <f t="shared" si="153"/>
        <v>0</v>
      </c>
      <c r="AB288" s="1">
        <f t="shared" si="158"/>
        <v>0</v>
      </c>
      <c r="AC288" s="10" t="e">
        <f t="shared" si="159"/>
        <v>#VALUE!</v>
      </c>
      <c r="AD288" s="1" t="e">
        <f t="shared" si="167"/>
        <v>#VALUE!</v>
      </c>
      <c r="AF288" s="3" t="e">
        <f t="shared" si="160"/>
        <v>#VALUE!</v>
      </c>
      <c r="AG288" s="5" t="str">
        <f t="shared" si="161"/>
        <v>UpAPT55_GAIN2N_PT2)/* Sharpness 5x5 negative gain 2 (corresponding to Point 2) (0x0 ~ 0xFF) *</v>
      </c>
      <c r="AH288" s="3">
        <f t="shared" si="162"/>
        <v>1</v>
      </c>
      <c r="AI288" s="3">
        <f t="shared" si="163"/>
        <v>0</v>
      </c>
      <c r="AJ288" s="7">
        <f t="shared" si="168"/>
        <v>1</v>
      </c>
    </row>
    <row r="289" spans="1:36" x14ac:dyDescent="0.3">
      <c r="A289" s="15" t="s">
        <v>318</v>
      </c>
      <c r="B289" s="1">
        <f t="shared" si="169"/>
        <v>8</v>
      </c>
      <c r="C289" s="1">
        <f t="shared" si="170"/>
        <v>9</v>
      </c>
      <c r="D289" s="10" t="str">
        <f t="shared" si="171"/>
        <v>1</v>
      </c>
      <c r="E289" s="1">
        <f t="shared" si="172"/>
        <v>11</v>
      </c>
      <c r="F289" s="1">
        <f t="shared" si="173"/>
        <v>0</v>
      </c>
      <c r="G289" s="1">
        <f t="shared" si="174"/>
        <v>29</v>
      </c>
      <c r="H289" s="1">
        <f t="shared" si="181"/>
        <v>29</v>
      </c>
      <c r="I289" s="10" t="str">
        <f t="shared" si="175"/>
        <v>UpAPT55_GAIN1P_PT2</v>
      </c>
      <c r="J289" s="1">
        <f t="shared" si="182"/>
        <v>0</v>
      </c>
      <c r="K289" s="1">
        <f t="shared" si="176"/>
        <v>0</v>
      </c>
      <c r="L289" s="1" t="str">
        <f t="shared" si="177"/>
        <v>0</v>
      </c>
      <c r="M289" s="10">
        <f t="shared" si="178"/>
        <v>0</v>
      </c>
      <c r="N289" s="1">
        <f t="shared" si="179"/>
        <v>32</v>
      </c>
      <c r="O289" s="1">
        <f t="shared" si="164"/>
        <v>0</v>
      </c>
      <c r="P289" s="1">
        <f t="shared" si="180"/>
        <v>103</v>
      </c>
      <c r="Q289" s="3" t="str">
        <f t="shared" si="155"/>
        <v xml:space="preserve"> Sharpness 5x5 positive gain 1 (corresponding to Point 2) (0x0 ~ 0xFF) </v>
      </c>
      <c r="R289" s="11">
        <f t="shared" si="165"/>
        <v>552</v>
      </c>
      <c r="S289" s="11"/>
      <c r="T289" s="13" t="str">
        <f t="shared" si="166"/>
        <v>228</v>
      </c>
      <c r="U289" s="14" t="str">
        <f t="shared" si="183"/>
        <v>UpAPT55_GAIN1P_PT2</v>
      </c>
      <c r="V289" s="13" t="str">
        <f t="shared" si="184"/>
        <v>1</v>
      </c>
      <c r="W289" s="13">
        <f t="shared" si="185"/>
        <v>0</v>
      </c>
      <c r="X289" s="14" t="str">
        <f t="shared" si="154"/>
        <v xml:space="preserve"> Sharpness 5x5 positive gain 1 (corresponding to Point 2) (0x0 ~ 0xFF) </v>
      </c>
      <c r="Y289" s="1">
        <f t="shared" si="156"/>
        <v>1</v>
      </c>
      <c r="Z289" s="1">
        <f t="shared" si="157"/>
        <v>1</v>
      </c>
      <c r="AA289" s="1">
        <f t="shared" si="153"/>
        <v>0</v>
      </c>
      <c r="AB289" s="1">
        <f t="shared" si="158"/>
        <v>0</v>
      </c>
      <c r="AC289" s="10" t="e">
        <f t="shared" si="159"/>
        <v>#VALUE!</v>
      </c>
      <c r="AD289" s="1" t="e">
        <f t="shared" si="167"/>
        <v>#VALUE!</v>
      </c>
      <c r="AF289" s="3" t="e">
        <f t="shared" si="160"/>
        <v>#VALUE!</v>
      </c>
      <c r="AG289" s="5" t="str">
        <f t="shared" si="161"/>
        <v>UpAPT55_GAIN1P_PT2)/* Sharpness 5x5 positive gain 1 (corresponding to Point 2) (0x0 ~ 0xFF) *</v>
      </c>
      <c r="AH289" s="3">
        <f t="shared" si="162"/>
        <v>1</v>
      </c>
      <c r="AI289" s="3">
        <f t="shared" si="163"/>
        <v>0</v>
      </c>
      <c r="AJ289" s="7">
        <f t="shared" si="168"/>
        <v>1</v>
      </c>
    </row>
    <row r="290" spans="1:36" x14ac:dyDescent="0.3">
      <c r="A290" s="15" t="s">
        <v>319</v>
      </c>
      <c r="B290" s="1">
        <f t="shared" si="169"/>
        <v>8</v>
      </c>
      <c r="C290" s="1">
        <f t="shared" si="170"/>
        <v>9</v>
      </c>
      <c r="D290" s="10" t="str">
        <f t="shared" si="171"/>
        <v>1</v>
      </c>
      <c r="E290" s="1">
        <f t="shared" si="172"/>
        <v>11</v>
      </c>
      <c r="F290" s="1">
        <f t="shared" si="173"/>
        <v>0</v>
      </c>
      <c r="G290" s="1">
        <f t="shared" si="174"/>
        <v>29</v>
      </c>
      <c r="H290" s="1">
        <f t="shared" si="181"/>
        <v>29</v>
      </c>
      <c r="I290" s="10" t="str">
        <f t="shared" si="175"/>
        <v>UpAPT55_GAIN2P_PT2</v>
      </c>
      <c r="J290" s="1">
        <f t="shared" si="182"/>
        <v>0</v>
      </c>
      <c r="K290" s="1">
        <f t="shared" si="176"/>
        <v>0</v>
      </c>
      <c r="L290" s="1" t="str">
        <f t="shared" si="177"/>
        <v>0</v>
      </c>
      <c r="M290" s="10">
        <f t="shared" si="178"/>
        <v>0</v>
      </c>
      <c r="N290" s="1">
        <f t="shared" si="179"/>
        <v>32</v>
      </c>
      <c r="O290" s="1">
        <f t="shared" si="164"/>
        <v>0</v>
      </c>
      <c r="P290" s="1">
        <f t="shared" si="180"/>
        <v>103</v>
      </c>
      <c r="Q290" s="3" t="str">
        <f t="shared" si="155"/>
        <v xml:space="preserve"> Sharpness 5x5 positive gain 2 (corresponding to Point 2) (0x0 ~ 0xFF) </v>
      </c>
      <c r="R290" s="11">
        <f t="shared" si="165"/>
        <v>553</v>
      </c>
      <c r="S290" s="11"/>
      <c r="T290" s="13" t="str">
        <f t="shared" si="166"/>
        <v>229</v>
      </c>
      <c r="U290" s="14" t="str">
        <f t="shared" si="183"/>
        <v>UpAPT55_GAIN2P_PT2</v>
      </c>
      <c r="V290" s="13" t="str">
        <f t="shared" si="184"/>
        <v>1</v>
      </c>
      <c r="W290" s="13">
        <f t="shared" si="185"/>
        <v>0</v>
      </c>
      <c r="X290" s="14" t="str">
        <f t="shared" si="154"/>
        <v xml:space="preserve"> Sharpness 5x5 positive gain 2 (corresponding to Point 2) (0x0 ~ 0xFF) </v>
      </c>
      <c r="Y290" s="1">
        <f t="shared" si="156"/>
        <v>1</v>
      </c>
      <c r="Z290" s="1">
        <f t="shared" si="157"/>
        <v>1</v>
      </c>
      <c r="AA290" s="1">
        <f t="shared" si="153"/>
        <v>0</v>
      </c>
      <c r="AB290" s="1">
        <f t="shared" si="158"/>
        <v>0</v>
      </c>
      <c r="AC290" s="10" t="e">
        <f t="shared" si="159"/>
        <v>#VALUE!</v>
      </c>
      <c r="AD290" s="1" t="e">
        <f t="shared" si="167"/>
        <v>#VALUE!</v>
      </c>
      <c r="AF290" s="3" t="e">
        <f t="shared" si="160"/>
        <v>#VALUE!</v>
      </c>
      <c r="AG290" s="5" t="str">
        <f t="shared" si="161"/>
        <v>UpAPT55_GAIN2P_PT2)/* Sharpness 5x5 positive gain 2 (corresponding to Point 2) (0x0 ~ 0xFF) *</v>
      </c>
      <c r="AH290" s="3">
        <f t="shared" si="162"/>
        <v>1</v>
      </c>
      <c r="AI290" s="3">
        <f t="shared" si="163"/>
        <v>0</v>
      </c>
      <c r="AJ290" s="7">
        <f t="shared" si="168"/>
        <v>1</v>
      </c>
    </row>
    <row r="291" spans="1:36" x14ac:dyDescent="0.3">
      <c r="A291" s="15" t="s">
        <v>320</v>
      </c>
      <c r="B291" s="1">
        <f t="shared" si="169"/>
        <v>8</v>
      </c>
      <c r="C291" s="1">
        <f t="shared" si="170"/>
        <v>9</v>
      </c>
      <c r="D291" s="10" t="str">
        <f t="shared" si="171"/>
        <v>2</v>
      </c>
      <c r="E291" s="1">
        <f t="shared" si="172"/>
        <v>11</v>
      </c>
      <c r="F291" s="1">
        <f t="shared" si="173"/>
        <v>0</v>
      </c>
      <c r="G291" s="1">
        <f t="shared" si="174"/>
        <v>27</v>
      </c>
      <c r="H291" s="1">
        <f t="shared" si="181"/>
        <v>27</v>
      </c>
      <c r="I291" s="10" t="str">
        <f t="shared" si="175"/>
        <v>UpAPT33_SLIC_PT2</v>
      </c>
      <c r="J291" s="1">
        <f t="shared" si="182"/>
        <v>0</v>
      </c>
      <c r="K291" s="1">
        <f t="shared" si="176"/>
        <v>0</v>
      </c>
      <c r="L291" s="1" t="str">
        <f t="shared" si="177"/>
        <v>0</v>
      </c>
      <c r="M291" s="10">
        <f t="shared" si="178"/>
        <v>0</v>
      </c>
      <c r="N291" s="1">
        <f t="shared" si="179"/>
        <v>30</v>
      </c>
      <c r="O291" s="1">
        <f t="shared" si="164"/>
        <v>0</v>
      </c>
      <c r="P291" s="1">
        <f t="shared" si="180"/>
        <v>98</v>
      </c>
      <c r="Q291" s="3" t="str">
        <f t="shared" si="155"/>
        <v xml:space="preserve"> Sharpness 3x3 slice value (corresponding to Point 2) (0x0 ~ 0x3FF) </v>
      </c>
      <c r="R291" s="11">
        <f t="shared" si="165"/>
        <v>554</v>
      </c>
      <c r="S291" s="11"/>
      <c r="T291" s="13" t="str">
        <f t="shared" si="166"/>
        <v>22A</v>
      </c>
      <c r="U291" s="14" t="str">
        <f t="shared" si="183"/>
        <v>UpAPT33_SLIC_PT2</v>
      </c>
      <c r="V291" s="13" t="str">
        <f t="shared" si="184"/>
        <v>2</v>
      </c>
      <c r="W291" s="13">
        <f t="shared" si="185"/>
        <v>0</v>
      </c>
      <c r="X291" s="14" t="str">
        <f t="shared" si="154"/>
        <v xml:space="preserve"> Sharpness 3x3 slice value (corresponding to Point 2) (0x0 ~ 0x3FF) </v>
      </c>
      <c r="Y291" s="1">
        <f t="shared" si="156"/>
        <v>1</v>
      </c>
      <c r="Z291" s="1">
        <f t="shared" si="157"/>
        <v>2</v>
      </c>
      <c r="AA291" s="1">
        <f t="shared" si="153"/>
        <v>0</v>
      </c>
      <c r="AB291" s="1">
        <f t="shared" si="158"/>
        <v>0</v>
      </c>
      <c r="AC291" s="10" t="e">
        <f t="shared" si="159"/>
        <v>#VALUE!</v>
      </c>
      <c r="AD291" s="1" t="e">
        <f t="shared" si="167"/>
        <v>#VALUE!</v>
      </c>
      <c r="AF291" s="3" t="e">
        <f t="shared" si="160"/>
        <v>#VALUE!</v>
      </c>
      <c r="AG291" s="5" t="str">
        <f t="shared" si="161"/>
        <v>UpAPT33_SLIC_PT2)/* Sharpness 3x3 slice value (corresponding to Point 2) (0x0 ~ 0x3FF) *</v>
      </c>
      <c r="AH291" s="3">
        <f t="shared" si="162"/>
        <v>2</v>
      </c>
      <c r="AI291" s="3">
        <f t="shared" si="163"/>
        <v>0</v>
      </c>
      <c r="AJ291" s="7">
        <f t="shared" si="168"/>
        <v>1</v>
      </c>
    </row>
    <row r="292" spans="1:36" x14ac:dyDescent="0.3">
      <c r="A292" s="15" t="s">
        <v>321</v>
      </c>
      <c r="B292" s="1">
        <f t="shared" si="169"/>
        <v>8</v>
      </c>
      <c r="C292" s="1">
        <f t="shared" si="170"/>
        <v>9</v>
      </c>
      <c r="D292" s="10" t="str">
        <f t="shared" si="171"/>
        <v>2</v>
      </c>
      <c r="E292" s="1">
        <f t="shared" si="172"/>
        <v>11</v>
      </c>
      <c r="F292" s="1">
        <f t="shared" si="173"/>
        <v>0</v>
      </c>
      <c r="G292" s="1">
        <f t="shared" si="174"/>
        <v>27</v>
      </c>
      <c r="H292" s="1">
        <f t="shared" si="181"/>
        <v>27</v>
      </c>
      <c r="I292" s="10" t="str">
        <f t="shared" si="175"/>
        <v>UpAPT33_CLIP_PT2</v>
      </c>
      <c r="J292" s="1">
        <f t="shared" si="182"/>
        <v>0</v>
      </c>
      <c r="K292" s="1">
        <f t="shared" si="176"/>
        <v>0</v>
      </c>
      <c r="L292" s="1" t="str">
        <f t="shared" si="177"/>
        <v>0</v>
      </c>
      <c r="M292" s="10">
        <f t="shared" si="178"/>
        <v>0</v>
      </c>
      <c r="N292" s="1">
        <f t="shared" si="179"/>
        <v>30</v>
      </c>
      <c r="O292" s="1">
        <f t="shared" si="164"/>
        <v>0</v>
      </c>
      <c r="P292" s="1">
        <f t="shared" si="180"/>
        <v>97</v>
      </c>
      <c r="Q292" s="3" t="str">
        <f t="shared" si="155"/>
        <v xml:space="preserve"> Sharpness 3x3 clip value (corresponding to Point 2) (0x0 ~ 0x3FF) </v>
      </c>
      <c r="R292" s="11">
        <f t="shared" si="165"/>
        <v>556</v>
      </c>
      <c r="S292" s="11"/>
      <c r="T292" s="13" t="str">
        <f t="shared" si="166"/>
        <v>22C</v>
      </c>
      <c r="U292" s="14" t="str">
        <f t="shared" si="183"/>
        <v>UpAPT33_CLIP_PT2</v>
      </c>
      <c r="V292" s="13" t="str">
        <f t="shared" si="184"/>
        <v>2</v>
      </c>
      <c r="W292" s="13">
        <f t="shared" si="185"/>
        <v>0</v>
      </c>
      <c r="X292" s="14" t="str">
        <f t="shared" si="154"/>
        <v xml:space="preserve"> Sharpness 3x3 clip value (corresponding to Point 2) (0x0 ~ 0x3FF) </v>
      </c>
      <c r="Y292" s="1">
        <f t="shared" si="156"/>
        <v>1</v>
      </c>
      <c r="Z292" s="1">
        <f t="shared" si="157"/>
        <v>2</v>
      </c>
      <c r="AA292" s="1">
        <f t="shared" ref="AA292:AA301" si="186">IFERROR(FIND("=",A292)+1,0)</f>
        <v>0</v>
      </c>
      <c r="AB292" s="1">
        <f t="shared" si="158"/>
        <v>0</v>
      </c>
      <c r="AC292" s="10" t="e">
        <f t="shared" si="159"/>
        <v>#VALUE!</v>
      </c>
      <c r="AD292" s="1" t="e">
        <f t="shared" si="167"/>
        <v>#VALUE!</v>
      </c>
      <c r="AF292" s="3" t="e">
        <f t="shared" si="160"/>
        <v>#VALUE!</v>
      </c>
      <c r="AG292" s="5" t="str">
        <f t="shared" si="161"/>
        <v>UpAPT33_CLIP_PT2)/* Sharpness 3x3 clip value (corresponding to Point 2) (0x0 ~ 0x3FF) *</v>
      </c>
      <c r="AH292" s="3">
        <f t="shared" si="162"/>
        <v>2</v>
      </c>
      <c r="AI292" s="3">
        <f t="shared" si="163"/>
        <v>0</v>
      </c>
      <c r="AJ292" s="7">
        <f t="shared" si="168"/>
        <v>1</v>
      </c>
    </row>
    <row r="293" spans="1:36" x14ac:dyDescent="0.3">
      <c r="A293" s="15" t="s">
        <v>322</v>
      </c>
      <c r="B293" s="1">
        <f t="shared" si="169"/>
        <v>8</v>
      </c>
      <c r="C293" s="1">
        <f t="shared" si="170"/>
        <v>9</v>
      </c>
      <c r="D293" s="10" t="str">
        <f t="shared" si="171"/>
        <v>1</v>
      </c>
      <c r="E293" s="1">
        <f t="shared" si="172"/>
        <v>11</v>
      </c>
      <c r="F293" s="1">
        <f t="shared" si="173"/>
        <v>0</v>
      </c>
      <c r="G293" s="1">
        <f t="shared" si="174"/>
        <v>27</v>
      </c>
      <c r="H293" s="1">
        <f t="shared" si="181"/>
        <v>27</v>
      </c>
      <c r="I293" s="10" t="str">
        <f t="shared" si="175"/>
        <v>UpAPT33_GAIN_PT2</v>
      </c>
      <c r="J293" s="1">
        <f t="shared" si="182"/>
        <v>0</v>
      </c>
      <c r="K293" s="1">
        <f t="shared" si="176"/>
        <v>0</v>
      </c>
      <c r="L293" s="1" t="str">
        <f t="shared" si="177"/>
        <v>0</v>
      </c>
      <c r="M293" s="10">
        <f t="shared" si="178"/>
        <v>0</v>
      </c>
      <c r="N293" s="1">
        <f t="shared" si="179"/>
        <v>30</v>
      </c>
      <c r="O293" s="1">
        <f t="shared" si="164"/>
        <v>0</v>
      </c>
      <c r="P293" s="1">
        <f t="shared" si="180"/>
        <v>90</v>
      </c>
      <c r="Q293" s="3" t="str">
        <f t="shared" si="155"/>
        <v xml:space="preserve"> Sharpness 3x3 gain (corresponding to Point 2) (0x0 ~ 0xFF) </v>
      </c>
      <c r="R293" s="11">
        <f t="shared" si="165"/>
        <v>558</v>
      </c>
      <c r="S293" s="11"/>
      <c r="T293" s="13" t="str">
        <f t="shared" si="166"/>
        <v>22E</v>
      </c>
      <c r="U293" s="14" t="str">
        <f t="shared" si="183"/>
        <v>UpAPT33_GAIN_PT2</v>
      </c>
      <c r="V293" s="13" t="str">
        <f t="shared" si="184"/>
        <v>1</v>
      </c>
      <c r="W293" s="13">
        <f t="shared" si="185"/>
        <v>0</v>
      </c>
      <c r="X293" s="14" t="str">
        <f t="shared" si="154"/>
        <v xml:space="preserve"> Sharpness 3x3 gain (corresponding to Point 2) (0x0 ~ 0xFF) </v>
      </c>
      <c r="Y293" s="1">
        <f t="shared" si="156"/>
        <v>1</v>
      </c>
      <c r="Z293" s="1">
        <f t="shared" si="157"/>
        <v>1</v>
      </c>
      <c r="AA293" s="1">
        <f t="shared" si="186"/>
        <v>0</v>
      </c>
      <c r="AB293" s="1">
        <f t="shared" si="158"/>
        <v>0</v>
      </c>
      <c r="AC293" s="10" t="e">
        <f t="shared" si="159"/>
        <v>#VALUE!</v>
      </c>
      <c r="AD293" s="1" t="e">
        <f t="shared" si="167"/>
        <v>#VALUE!</v>
      </c>
      <c r="AF293" s="3" t="e">
        <f t="shared" si="160"/>
        <v>#VALUE!</v>
      </c>
      <c r="AG293" s="5" t="str">
        <f t="shared" si="161"/>
        <v>UpAPT33_GAIN_PT2)/* Sharpness 3x3 gain (corresponding to Point 2) (0x0 ~ 0xFF) *</v>
      </c>
      <c r="AH293" s="3">
        <f t="shared" si="162"/>
        <v>1</v>
      </c>
      <c r="AI293" s="3">
        <f t="shared" si="163"/>
        <v>0</v>
      </c>
      <c r="AJ293" s="7">
        <f t="shared" si="168"/>
        <v>1</v>
      </c>
    </row>
    <row r="294" spans="1:36" x14ac:dyDescent="0.3">
      <c r="A294" s="15" t="s">
        <v>118</v>
      </c>
      <c r="B294" s="1">
        <f t="shared" si="169"/>
        <v>0</v>
      </c>
      <c r="C294" s="1">
        <f t="shared" si="170"/>
        <v>0</v>
      </c>
      <c r="D294" s="10">
        <f t="shared" si="171"/>
        <v>0</v>
      </c>
      <c r="E294" s="1">
        <f t="shared" si="172"/>
        <v>0</v>
      </c>
      <c r="F294" s="1">
        <f t="shared" si="173"/>
        <v>0</v>
      </c>
      <c r="G294" s="1">
        <f t="shared" si="174"/>
        <v>0</v>
      </c>
      <c r="H294" s="1">
        <f t="shared" si="181"/>
        <v>0</v>
      </c>
      <c r="I294" s="10">
        <f t="shared" si="175"/>
        <v>0</v>
      </c>
      <c r="J294" s="1">
        <f t="shared" si="182"/>
        <v>0</v>
      </c>
      <c r="K294" s="1">
        <f t="shared" si="176"/>
        <v>0</v>
      </c>
      <c r="L294" s="1" t="str">
        <f t="shared" si="177"/>
        <v>0</v>
      </c>
      <c r="M294" s="10">
        <f t="shared" si="178"/>
        <v>0</v>
      </c>
      <c r="N294" s="1">
        <f t="shared" si="179"/>
        <v>3</v>
      </c>
      <c r="O294" s="1">
        <f t="shared" si="164"/>
        <v>0</v>
      </c>
      <c r="P294" s="1">
        <f t="shared" si="180"/>
        <v>40</v>
      </c>
      <c r="Q294" s="3" t="str">
        <f t="shared" si="155"/>
        <v>---------------　DEFOG　---------------</v>
      </c>
      <c r="R294" s="11">
        <f t="shared" si="165"/>
        <v>559</v>
      </c>
      <c r="S294" s="11"/>
      <c r="T294" s="13" t="str">
        <f t="shared" si="166"/>
        <v>*</v>
      </c>
      <c r="U294" s="14" t="str">
        <f t="shared" si="183"/>
        <v>---------------　DEFOG　---------------</v>
      </c>
      <c r="V294" s="13">
        <f t="shared" si="184"/>
        <v>1</v>
      </c>
      <c r="W294" s="13">
        <f t="shared" si="185"/>
        <v>0</v>
      </c>
      <c r="X294" s="14" t="str">
        <f t="shared" si="154"/>
        <v>-</v>
      </c>
      <c r="Y294" s="1">
        <f t="shared" si="156"/>
        <v>0</v>
      </c>
      <c r="Z294" s="1">
        <f t="shared" si="157"/>
        <v>1</v>
      </c>
      <c r="AA294" s="1">
        <f t="shared" si="186"/>
        <v>0</v>
      </c>
      <c r="AB294" s="1">
        <f t="shared" si="158"/>
        <v>0</v>
      </c>
      <c r="AC294" s="10" t="e">
        <f t="shared" si="159"/>
        <v>#VALUE!</v>
      </c>
      <c r="AD294" s="1" t="e">
        <f t="shared" si="167"/>
        <v>#VALUE!</v>
      </c>
      <c r="AF294" s="3" t="str">
        <f t="shared" si="160"/>
        <v>0</v>
      </c>
      <c r="AG294" s="5" t="str">
        <f t="shared" si="161"/>
        <v>---------------　DEFOG　---------------</v>
      </c>
      <c r="AH294" s="3" t="str">
        <f t="shared" si="162"/>
        <v>1</v>
      </c>
      <c r="AI294" s="3" t="str">
        <f t="shared" si="163"/>
        <v>0</v>
      </c>
      <c r="AJ294" s="7">
        <f t="shared" si="168"/>
        <v>1</v>
      </c>
    </row>
    <row r="295" spans="1:36" x14ac:dyDescent="0.3">
      <c r="A295" s="15" t="s">
        <v>179</v>
      </c>
      <c r="B295" s="1">
        <f t="shared" si="169"/>
        <v>0</v>
      </c>
      <c r="C295" s="1">
        <f t="shared" si="170"/>
        <v>0</v>
      </c>
      <c r="D295" s="10">
        <f t="shared" si="171"/>
        <v>0</v>
      </c>
      <c r="E295" s="1">
        <f t="shared" si="172"/>
        <v>0</v>
      </c>
      <c r="F295" s="1">
        <f t="shared" si="173"/>
        <v>0</v>
      </c>
      <c r="G295" s="1">
        <f t="shared" si="174"/>
        <v>0</v>
      </c>
      <c r="H295" s="1">
        <f t="shared" si="181"/>
        <v>0</v>
      </c>
      <c r="I295" s="10">
        <f t="shared" si="175"/>
        <v>0</v>
      </c>
      <c r="J295" s="1">
        <f t="shared" si="182"/>
        <v>0</v>
      </c>
      <c r="K295" s="1">
        <f t="shared" si="176"/>
        <v>0</v>
      </c>
      <c r="L295" s="1" t="str">
        <f t="shared" si="177"/>
        <v>0</v>
      </c>
      <c r="M295" s="10">
        <f t="shared" si="178"/>
        <v>0</v>
      </c>
      <c r="N295" s="1">
        <f t="shared" si="179"/>
        <v>3</v>
      </c>
      <c r="O295" s="1">
        <f t="shared" si="164"/>
        <v>1</v>
      </c>
      <c r="P295" s="1">
        <f t="shared" si="180"/>
        <v>9</v>
      </c>
      <c r="Q295" s="3" t="str">
        <f t="shared" si="155"/>
        <v>DEFOG</v>
      </c>
      <c r="R295" s="11">
        <f t="shared" si="165"/>
        <v>559</v>
      </c>
      <c r="S295" s="11"/>
      <c r="T295" s="13" t="str">
        <f t="shared" si="166"/>
        <v>#</v>
      </c>
      <c r="U295" s="14" t="str">
        <f t="shared" si="183"/>
        <v>DEFOG</v>
      </c>
      <c r="V295" s="13">
        <f t="shared" si="184"/>
        <v>1</v>
      </c>
      <c r="W295" s="13">
        <f t="shared" si="185"/>
        <v>0</v>
      </c>
      <c r="X295" s="14" t="str">
        <f t="shared" si="154"/>
        <v>-</v>
      </c>
      <c r="Y295" s="1">
        <f t="shared" si="156"/>
        <v>0</v>
      </c>
      <c r="Z295" s="1">
        <f t="shared" si="157"/>
        <v>1</v>
      </c>
      <c r="AA295" s="1">
        <f t="shared" si="186"/>
        <v>0</v>
      </c>
      <c r="AB295" s="1">
        <f t="shared" si="158"/>
        <v>0</v>
      </c>
      <c r="AC295" s="10" t="e">
        <f t="shared" si="159"/>
        <v>#VALUE!</v>
      </c>
      <c r="AD295" s="1" t="e">
        <f t="shared" si="167"/>
        <v>#VALUE!</v>
      </c>
      <c r="AF295" s="3" t="str">
        <f t="shared" si="160"/>
        <v>0</v>
      </c>
      <c r="AG295" s="5" t="str">
        <f t="shared" si="161"/>
        <v>#DEFOG</v>
      </c>
      <c r="AH295" s="3" t="str">
        <f t="shared" si="162"/>
        <v>1</v>
      </c>
      <c r="AI295" s="3" t="str">
        <f t="shared" si="163"/>
        <v>0</v>
      </c>
      <c r="AJ295" s="7">
        <f t="shared" si="168"/>
        <v>1</v>
      </c>
    </row>
    <row r="296" spans="1:36" x14ac:dyDescent="0.3">
      <c r="A296" s="15" t="s">
        <v>508</v>
      </c>
      <c r="B296" s="1">
        <f t="shared" si="169"/>
        <v>8</v>
      </c>
      <c r="C296" s="1">
        <f t="shared" si="170"/>
        <v>9</v>
      </c>
      <c r="D296" s="10" t="str">
        <f t="shared" si="171"/>
        <v>2</v>
      </c>
      <c r="E296" s="1">
        <f t="shared" si="172"/>
        <v>11</v>
      </c>
      <c r="F296" s="1">
        <f t="shared" si="173"/>
        <v>25</v>
      </c>
      <c r="G296" s="1">
        <f t="shared" si="174"/>
        <v>30</v>
      </c>
      <c r="H296" s="1">
        <f t="shared" si="181"/>
        <v>25</v>
      </c>
      <c r="I296" s="10" t="str">
        <f t="shared" si="175"/>
        <v>UpDEFOG_TH_LOW</v>
      </c>
      <c r="J296" s="1">
        <f t="shared" si="182"/>
        <v>27</v>
      </c>
      <c r="K296" s="1" t="str">
        <f t="shared" si="176"/>
        <v>570</v>
      </c>
      <c r="L296" s="1" t="str">
        <f t="shared" si="177"/>
        <v>23A</v>
      </c>
      <c r="M296" s="10">
        <f t="shared" si="178"/>
        <v>570</v>
      </c>
      <c r="N296" s="1">
        <f t="shared" si="179"/>
        <v>33</v>
      </c>
      <c r="O296" s="1">
        <f t="shared" si="164"/>
        <v>0</v>
      </c>
      <c r="P296" s="1">
        <f t="shared" si="180"/>
        <v>85</v>
      </c>
      <c r="Q296" s="3" t="str">
        <f t="shared" si="155"/>
        <v xml:space="preserve"> Defog Maximum Strength for menu LOW (0x0 ~ 0xffff) </v>
      </c>
      <c r="R296" s="11">
        <f t="shared" si="165"/>
        <v>570</v>
      </c>
      <c r="S296" s="11"/>
      <c r="T296" s="13" t="str">
        <f t="shared" si="166"/>
        <v>23A</v>
      </c>
      <c r="U296" s="14" t="str">
        <f t="shared" si="183"/>
        <v>UpDEFOG_TH_LOW</v>
      </c>
      <c r="V296" s="13" t="str">
        <f t="shared" si="184"/>
        <v>2</v>
      </c>
      <c r="W296" s="13">
        <f t="shared" si="185"/>
        <v>0</v>
      </c>
      <c r="X296" s="14" t="str">
        <f t="shared" si="154"/>
        <v xml:space="preserve"> Defog Maximum Strength for menu LOW (0x0 ~ 0xffff) </v>
      </c>
      <c r="Y296" s="1">
        <f t="shared" si="156"/>
        <v>1</v>
      </c>
      <c r="Z296" s="1">
        <f t="shared" si="157"/>
        <v>2</v>
      </c>
      <c r="AA296" s="1">
        <f t="shared" si="186"/>
        <v>27</v>
      </c>
      <c r="AB296" s="1" t="str">
        <f t="shared" si="158"/>
        <v>570)/* Defog Maximum Strength for menu LOW (0x0 ~ 0xffff) *</v>
      </c>
      <c r="AC296" s="10" t="str">
        <f t="shared" si="159"/>
        <v>570)/* Defog Maximum Strength for menu LOW (0x0 ~ 0xffff) *</v>
      </c>
      <c r="AD296" s="1" t="e">
        <f t="shared" si="167"/>
        <v>#VALUE!</v>
      </c>
      <c r="AF296" s="3" t="e">
        <f t="shared" si="160"/>
        <v>#VALUE!</v>
      </c>
      <c r="AG296" s="5" t="str">
        <f t="shared" si="161"/>
        <v>UpDEFOG_TH_LOW</v>
      </c>
      <c r="AH296" s="3">
        <f t="shared" si="162"/>
        <v>2</v>
      </c>
      <c r="AI296" s="3">
        <f t="shared" si="163"/>
        <v>0</v>
      </c>
      <c r="AJ296" s="7">
        <f t="shared" si="168"/>
        <v>1</v>
      </c>
    </row>
    <row r="297" spans="1:36" x14ac:dyDescent="0.3">
      <c r="A297" s="15" t="s">
        <v>74</v>
      </c>
      <c r="B297" s="1">
        <f t="shared" si="169"/>
        <v>8</v>
      </c>
      <c r="C297" s="1">
        <f t="shared" si="170"/>
        <v>9</v>
      </c>
      <c r="D297" s="10" t="str">
        <f t="shared" si="171"/>
        <v>2</v>
      </c>
      <c r="E297" s="1">
        <f t="shared" si="172"/>
        <v>11</v>
      </c>
      <c r="F297" s="1">
        <f t="shared" si="173"/>
        <v>0</v>
      </c>
      <c r="G297" s="1">
        <f t="shared" si="174"/>
        <v>25</v>
      </c>
      <c r="H297" s="1">
        <f t="shared" si="181"/>
        <v>25</v>
      </c>
      <c r="I297" s="10" t="str">
        <f t="shared" si="175"/>
        <v>UpDEFOG_TH_MID</v>
      </c>
      <c r="J297" s="1">
        <f t="shared" si="182"/>
        <v>0</v>
      </c>
      <c r="K297" s="1">
        <f t="shared" si="176"/>
        <v>0</v>
      </c>
      <c r="L297" s="1" t="str">
        <f t="shared" si="177"/>
        <v>0</v>
      </c>
      <c r="M297" s="10">
        <f t="shared" si="178"/>
        <v>0</v>
      </c>
      <c r="N297" s="1">
        <f t="shared" si="179"/>
        <v>28</v>
      </c>
      <c r="O297" s="1">
        <f t="shared" si="164"/>
        <v>0</v>
      </c>
      <c r="P297" s="1">
        <f t="shared" si="180"/>
        <v>83</v>
      </c>
      <c r="Q297" s="3" t="str">
        <f t="shared" si="155"/>
        <v xml:space="preserve"> Defog Maximum Strength for menu MIDDLE (LOW ~ 0xffff) </v>
      </c>
      <c r="R297" s="11">
        <f t="shared" si="165"/>
        <v>572</v>
      </c>
      <c r="S297" s="11"/>
      <c r="T297" s="13" t="str">
        <f t="shared" si="166"/>
        <v>23C</v>
      </c>
      <c r="U297" s="14" t="str">
        <f t="shared" si="183"/>
        <v>UpDEFOG_TH_MID</v>
      </c>
      <c r="V297" s="13" t="str">
        <f t="shared" si="184"/>
        <v>2</v>
      </c>
      <c r="W297" s="13">
        <f t="shared" si="185"/>
        <v>0</v>
      </c>
      <c r="X297" s="14" t="str">
        <f t="shared" si="154"/>
        <v xml:space="preserve"> Defog Maximum Strength for menu MIDDLE (LOW ~ 0xffff) </v>
      </c>
      <c r="Y297" s="1">
        <f t="shared" si="156"/>
        <v>1</v>
      </c>
      <c r="Z297" s="1">
        <f t="shared" si="157"/>
        <v>2</v>
      </c>
      <c r="AA297" s="1">
        <f t="shared" si="186"/>
        <v>0</v>
      </c>
      <c r="AB297" s="1">
        <f t="shared" si="158"/>
        <v>0</v>
      </c>
      <c r="AC297" s="10" t="e">
        <f t="shared" si="159"/>
        <v>#VALUE!</v>
      </c>
      <c r="AD297" s="1" t="e">
        <f t="shared" si="167"/>
        <v>#VALUE!</v>
      </c>
      <c r="AF297" s="3" t="e">
        <f t="shared" si="160"/>
        <v>#VALUE!</v>
      </c>
      <c r="AG297" s="5" t="str">
        <f t="shared" si="161"/>
        <v>UpDEFOG_TH_MID)/* Defog Maximum Strength for menu MIDDLE (LOW ~ 0xffff) *</v>
      </c>
      <c r="AH297" s="3">
        <f t="shared" si="162"/>
        <v>2</v>
      </c>
      <c r="AI297" s="3">
        <f t="shared" si="163"/>
        <v>0</v>
      </c>
      <c r="AJ297" s="7">
        <f t="shared" si="168"/>
        <v>1</v>
      </c>
    </row>
    <row r="298" spans="1:36" x14ac:dyDescent="0.3">
      <c r="A298" s="15" t="s">
        <v>75</v>
      </c>
      <c r="B298" s="1">
        <f t="shared" si="169"/>
        <v>8</v>
      </c>
      <c r="C298" s="1">
        <f t="shared" si="170"/>
        <v>9</v>
      </c>
      <c r="D298" s="10" t="str">
        <f t="shared" si="171"/>
        <v>2</v>
      </c>
      <c r="E298" s="1">
        <f t="shared" si="172"/>
        <v>11</v>
      </c>
      <c r="F298" s="1">
        <f t="shared" si="173"/>
        <v>0</v>
      </c>
      <c r="G298" s="1">
        <f t="shared" si="174"/>
        <v>26</v>
      </c>
      <c r="H298" s="1">
        <f t="shared" si="181"/>
        <v>26</v>
      </c>
      <c r="I298" s="10" t="str">
        <f t="shared" si="175"/>
        <v>UpDEFOG_TH_HIGH</v>
      </c>
      <c r="J298" s="1">
        <f t="shared" si="182"/>
        <v>0</v>
      </c>
      <c r="K298" s="1">
        <f t="shared" si="176"/>
        <v>0</v>
      </c>
      <c r="L298" s="1" t="str">
        <f t="shared" si="177"/>
        <v>0</v>
      </c>
      <c r="M298" s="10">
        <f t="shared" si="178"/>
        <v>0</v>
      </c>
      <c r="N298" s="1">
        <f t="shared" si="179"/>
        <v>29</v>
      </c>
      <c r="O298" s="1">
        <f t="shared" si="164"/>
        <v>0</v>
      </c>
      <c r="P298" s="1">
        <f t="shared" si="180"/>
        <v>85</v>
      </c>
      <c r="Q298" s="3" t="str">
        <f t="shared" si="155"/>
        <v xml:space="preserve"> Defog Maximum Strength for menu HIGH (MIDDLE ~ 0xffff) </v>
      </c>
      <c r="R298" s="11">
        <f t="shared" si="165"/>
        <v>574</v>
      </c>
      <c r="S298" s="11"/>
      <c r="T298" s="13" t="str">
        <f t="shared" si="166"/>
        <v>23E</v>
      </c>
      <c r="U298" s="14" t="str">
        <f t="shared" si="183"/>
        <v>UpDEFOG_TH_HIGH</v>
      </c>
      <c r="V298" s="13" t="str">
        <f t="shared" si="184"/>
        <v>2</v>
      </c>
      <c r="W298" s="13">
        <f t="shared" si="185"/>
        <v>0</v>
      </c>
      <c r="X298" s="14" t="str">
        <f t="shared" si="154"/>
        <v xml:space="preserve"> Defog Maximum Strength for menu HIGH (MIDDLE ~ 0xffff) </v>
      </c>
      <c r="Y298" s="1">
        <f t="shared" si="156"/>
        <v>1</v>
      </c>
      <c r="Z298" s="1">
        <f t="shared" si="157"/>
        <v>2</v>
      </c>
      <c r="AA298" s="1">
        <f t="shared" si="186"/>
        <v>0</v>
      </c>
      <c r="AB298" s="1">
        <f t="shared" si="158"/>
        <v>0</v>
      </c>
      <c r="AC298" s="10" t="e">
        <f t="shared" si="159"/>
        <v>#VALUE!</v>
      </c>
      <c r="AD298" s="1" t="e">
        <f t="shared" si="167"/>
        <v>#VALUE!</v>
      </c>
      <c r="AF298" s="3" t="e">
        <f t="shared" si="160"/>
        <v>#VALUE!</v>
      </c>
      <c r="AG298" s="5" t="str">
        <f t="shared" si="161"/>
        <v>UpDEFOG_TH_HIGH)/* Defog Maximum Strength for menu HIGH (MIDDLE ~ 0xffff) *</v>
      </c>
      <c r="AH298" s="3">
        <f t="shared" si="162"/>
        <v>2</v>
      </c>
      <c r="AI298" s="3">
        <f t="shared" si="163"/>
        <v>0</v>
      </c>
      <c r="AJ298" s="7">
        <f t="shared" si="168"/>
        <v>1</v>
      </c>
    </row>
    <row r="299" spans="1:36" x14ac:dyDescent="0.3">
      <c r="A299" s="15" t="s">
        <v>39</v>
      </c>
      <c r="B299" s="1">
        <f t="shared" si="169"/>
        <v>0</v>
      </c>
      <c r="C299" s="1">
        <f t="shared" si="170"/>
        <v>0</v>
      </c>
      <c r="D299" s="10">
        <f t="shared" si="171"/>
        <v>0</v>
      </c>
      <c r="E299" s="1">
        <f t="shared" si="172"/>
        <v>0</v>
      </c>
      <c r="F299" s="1">
        <f t="shared" si="173"/>
        <v>0</v>
      </c>
      <c r="G299" s="1">
        <f t="shared" si="174"/>
        <v>0</v>
      </c>
      <c r="H299" s="1">
        <f t="shared" si="181"/>
        <v>0</v>
      </c>
      <c r="I299" s="10">
        <f t="shared" si="175"/>
        <v>0</v>
      </c>
      <c r="J299" s="1">
        <f t="shared" si="182"/>
        <v>0</v>
      </c>
      <c r="K299" s="1">
        <f t="shared" si="176"/>
        <v>0</v>
      </c>
      <c r="L299" s="1" t="str">
        <f t="shared" si="177"/>
        <v>0</v>
      </c>
      <c r="M299" s="10">
        <f t="shared" si="178"/>
        <v>0</v>
      </c>
      <c r="N299" s="1">
        <f t="shared" si="179"/>
        <v>3</v>
      </c>
      <c r="O299" s="1">
        <f t="shared" si="164"/>
        <v>0</v>
      </c>
      <c r="P299" s="1">
        <f t="shared" si="180"/>
        <v>38</v>
      </c>
      <c r="Q299" s="3" t="str">
        <f t="shared" si="155"/>
        <v>---------------　ACE　---------------</v>
      </c>
      <c r="R299" s="11">
        <f t="shared" si="165"/>
        <v>576</v>
      </c>
      <c r="S299" s="11"/>
      <c r="T299" s="13" t="str">
        <f t="shared" si="166"/>
        <v>*</v>
      </c>
      <c r="U299" s="14" t="str">
        <f t="shared" si="183"/>
        <v>---------------　ACE　---------------</v>
      </c>
      <c r="V299" s="13">
        <f t="shared" si="184"/>
        <v>1</v>
      </c>
      <c r="W299" s="13">
        <f t="shared" si="185"/>
        <v>0</v>
      </c>
      <c r="X299" s="14" t="str">
        <f t="shared" si="154"/>
        <v>-</v>
      </c>
      <c r="Y299" s="1">
        <f t="shared" si="156"/>
        <v>0</v>
      </c>
      <c r="Z299" s="1">
        <f t="shared" si="157"/>
        <v>2</v>
      </c>
      <c r="AA299" s="1">
        <f t="shared" si="186"/>
        <v>0</v>
      </c>
      <c r="AB299" s="1">
        <f t="shared" si="158"/>
        <v>0</v>
      </c>
      <c r="AC299" s="10" t="e">
        <f t="shared" si="159"/>
        <v>#VALUE!</v>
      </c>
      <c r="AD299" s="1" t="e">
        <f t="shared" si="167"/>
        <v>#VALUE!</v>
      </c>
      <c r="AF299" s="3" t="str">
        <f t="shared" si="160"/>
        <v>0</v>
      </c>
      <c r="AG299" s="5" t="str">
        <f t="shared" si="161"/>
        <v>---------------　ACE　---------------</v>
      </c>
      <c r="AH299" s="3" t="str">
        <f t="shared" si="162"/>
        <v>1</v>
      </c>
      <c r="AI299" s="3" t="str">
        <f t="shared" si="163"/>
        <v>0</v>
      </c>
      <c r="AJ299" s="7">
        <f t="shared" si="168"/>
        <v>1</v>
      </c>
    </row>
    <row r="300" spans="1:36" x14ac:dyDescent="0.3">
      <c r="A300" s="15" t="s">
        <v>164</v>
      </c>
      <c r="B300" s="1">
        <f t="shared" si="169"/>
        <v>0</v>
      </c>
      <c r="C300" s="1">
        <f t="shared" si="170"/>
        <v>0</v>
      </c>
      <c r="D300" s="10">
        <f t="shared" si="171"/>
        <v>0</v>
      </c>
      <c r="E300" s="1">
        <f t="shared" si="172"/>
        <v>0</v>
      </c>
      <c r="F300" s="1">
        <f t="shared" si="173"/>
        <v>0</v>
      </c>
      <c r="G300" s="1">
        <f t="shared" si="174"/>
        <v>0</v>
      </c>
      <c r="H300" s="1">
        <f t="shared" ref="H300:H363" si="187">IF(AND(F300&gt;0,F300&lt;G300),F300,G300)</f>
        <v>0</v>
      </c>
      <c r="I300" s="10">
        <f t="shared" si="175"/>
        <v>0</v>
      </c>
      <c r="J300" s="1">
        <f t="shared" ref="J300:J363" si="188">IF(AND(F300&gt;0,F300&lt;G300),FIND("=",A300,F300)+1,0)</f>
        <v>0</v>
      </c>
      <c r="K300" s="1">
        <f t="shared" ref="K300:K363" si="189">IF(J300&gt;0,MID(A300,J300,G300-J300),0)</f>
        <v>0</v>
      </c>
      <c r="L300" s="1" t="str">
        <f t="shared" ref="L300:L363" si="190">IFERROR(RIGHT(K300,LEN(K300)-FIND("0x",K300)-1),DEC2HEX(K300))</f>
        <v>0</v>
      </c>
      <c r="M300" s="10">
        <f t="shared" ref="M300:M363" si="191">HEX2DEC(L300)</f>
        <v>0</v>
      </c>
      <c r="N300" s="1">
        <f t="shared" si="179"/>
        <v>3</v>
      </c>
      <c r="O300" s="1">
        <f t="shared" si="164"/>
        <v>1</v>
      </c>
      <c r="P300" s="1">
        <f t="shared" ref="P300:P363" si="192">IFERROR(FIND("*/",$A300,N300+1),0)</f>
        <v>14</v>
      </c>
      <c r="Q300" s="3" t="str">
        <f t="shared" si="155"/>
        <v>ACE_Common</v>
      </c>
      <c r="R300" s="11">
        <f t="shared" ref="R300:R363" si="193">IF(M300&gt;0,M300,D299+R299)</f>
        <v>576</v>
      </c>
      <c r="S300" s="11"/>
      <c r="T300" s="13" t="str">
        <f t="shared" si="166"/>
        <v>#</v>
      </c>
      <c r="U300" s="14" t="str">
        <f t="shared" si="183"/>
        <v>ACE_Common</v>
      </c>
      <c r="V300" s="13">
        <f t="shared" si="184"/>
        <v>1</v>
      </c>
      <c r="W300" s="13">
        <f t="shared" si="185"/>
        <v>0</v>
      </c>
      <c r="X300" s="14" t="str">
        <f t="shared" si="154"/>
        <v>-</v>
      </c>
      <c r="Y300" s="1">
        <f t="shared" si="156"/>
        <v>0</v>
      </c>
      <c r="Z300" s="1">
        <f t="shared" si="157"/>
        <v>2</v>
      </c>
      <c r="AA300" s="1">
        <f t="shared" si="186"/>
        <v>0</v>
      </c>
      <c r="AB300" s="1">
        <f t="shared" si="158"/>
        <v>0</v>
      </c>
      <c r="AC300" s="10" t="e">
        <f t="shared" si="159"/>
        <v>#VALUE!</v>
      </c>
      <c r="AD300" s="1" t="e">
        <f t="shared" si="167"/>
        <v>#VALUE!</v>
      </c>
      <c r="AF300" s="3" t="str">
        <f t="shared" si="160"/>
        <v>0</v>
      </c>
      <c r="AG300" s="5" t="str">
        <f t="shared" si="161"/>
        <v>#ACE_Common</v>
      </c>
      <c r="AH300" s="3" t="str">
        <f t="shared" si="162"/>
        <v>1</v>
      </c>
      <c r="AI300" s="3" t="str">
        <f t="shared" si="163"/>
        <v>0</v>
      </c>
      <c r="AJ300" s="7">
        <f t="shared" si="168"/>
        <v>1</v>
      </c>
    </row>
    <row r="301" spans="1:36" x14ac:dyDescent="0.3">
      <c r="A301" s="15" t="s">
        <v>509</v>
      </c>
      <c r="B301" s="1">
        <f t="shared" si="169"/>
        <v>8</v>
      </c>
      <c r="C301" s="1">
        <f t="shared" si="170"/>
        <v>9</v>
      </c>
      <c r="D301" s="10" t="str">
        <f t="shared" si="171"/>
        <v>1</v>
      </c>
      <c r="E301" s="1">
        <f t="shared" si="172"/>
        <v>11</v>
      </c>
      <c r="F301" s="1">
        <f t="shared" si="173"/>
        <v>20</v>
      </c>
      <c r="G301" s="1">
        <f t="shared" si="174"/>
        <v>25</v>
      </c>
      <c r="H301" s="1">
        <f t="shared" si="187"/>
        <v>20</v>
      </c>
      <c r="I301" s="10" t="str">
        <f t="shared" si="175"/>
        <v>UpACE_IIR</v>
      </c>
      <c r="J301" s="1">
        <f t="shared" si="188"/>
        <v>22</v>
      </c>
      <c r="K301" s="1" t="str">
        <f t="shared" si="189"/>
        <v>590</v>
      </c>
      <c r="L301" s="1" t="str">
        <f t="shared" si="190"/>
        <v>24E</v>
      </c>
      <c r="M301" s="10">
        <f t="shared" si="191"/>
        <v>590</v>
      </c>
      <c r="N301" s="1">
        <f t="shared" si="179"/>
        <v>28</v>
      </c>
      <c r="O301" s="1">
        <f t="shared" si="164"/>
        <v>0</v>
      </c>
      <c r="P301" s="1">
        <f t="shared" si="192"/>
        <v>62</v>
      </c>
      <c r="Q301" s="3" t="str">
        <f t="shared" si="155"/>
        <v xml:space="preserve"> ACE IIR coefficient (0x0 ~ 0x3f) </v>
      </c>
      <c r="R301" s="11">
        <f t="shared" si="193"/>
        <v>590</v>
      </c>
      <c r="S301" s="11"/>
      <c r="T301" s="13" t="str">
        <f t="shared" si="166"/>
        <v>24E</v>
      </c>
      <c r="U301" s="14" t="str">
        <f t="shared" si="183"/>
        <v>UpACE_IIR</v>
      </c>
      <c r="V301" s="13" t="str">
        <f t="shared" si="184"/>
        <v>1</v>
      </c>
      <c r="W301" s="13">
        <f t="shared" si="185"/>
        <v>0</v>
      </c>
      <c r="X301" s="14" t="str">
        <f t="shared" si="154"/>
        <v xml:space="preserve"> ACE IIR coefficient (0x0 ~ 0x3f) </v>
      </c>
      <c r="Y301" s="1">
        <f t="shared" si="156"/>
        <v>1</v>
      </c>
      <c r="Z301" s="1">
        <f t="shared" si="157"/>
        <v>1</v>
      </c>
      <c r="AA301" s="1">
        <f t="shared" si="186"/>
        <v>22</v>
      </c>
      <c r="AB301" s="1" t="str">
        <f t="shared" si="158"/>
        <v>590)/* ACE IIR coefficient (0x0 ~ 0x3f) *</v>
      </c>
      <c r="AC301" s="10" t="str">
        <f t="shared" si="159"/>
        <v>590)/* ACE IIR coefficient (0x0 ~ 0x3f) *</v>
      </c>
      <c r="AD301" s="1" t="e">
        <f t="shared" si="167"/>
        <v>#VALUE!</v>
      </c>
      <c r="AF301" s="3" t="e">
        <f t="shared" si="160"/>
        <v>#VALUE!</v>
      </c>
      <c r="AG301" s="5" t="str">
        <f t="shared" si="161"/>
        <v>UpACE_IIR</v>
      </c>
      <c r="AH301" s="3">
        <f t="shared" si="162"/>
        <v>1</v>
      </c>
      <c r="AI301" s="3">
        <f t="shared" si="163"/>
        <v>0</v>
      </c>
      <c r="AJ301" s="7">
        <f t="shared" si="168"/>
        <v>1</v>
      </c>
    </row>
    <row r="302" spans="1:36" x14ac:dyDescent="0.3">
      <c r="A302" s="15" t="s">
        <v>323</v>
      </c>
      <c r="B302" s="1">
        <f t="shared" si="169"/>
        <v>8</v>
      </c>
      <c r="C302" s="1">
        <f t="shared" si="170"/>
        <v>9</v>
      </c>
      <c r="D302" s="10" t="str">
        <f t="shared" si="171"/>
        <v>1</v>
      </c>
      <c r="E302" s="1">
        <f t="shared" si="172"/>
        <v>11</v>
      </c>
      <c r="F302" s="1">
        <f t="shared" si="173"/>
        <v>125</v>
      </c>
      <c r="G302" s="1">
        <f t="shared" si="174"/>
        <v>20</v>
      </c>
      <c r="H302" s="1">
        <f t="shared" si="187"/>
        <v>20</v>
      </c>
      <c r="I302" s="10" t="str">
        <f t="shared" si="175"/>
        <v>UpACE_DTH</v>
      </c>
      <c r="J302" s="1">
        <f t="shared" si="188"/>
        <v>0</v>
      </c>
      <c r="K302" s="1">
        <f t="shared" si="189"/>
        <v>0</v>
      </c>
      <c r="L302" s="1" t="str">
        <f t="shared" si="190"/>
        <v>0</v>
      </c>
      <c r="M302" s="10">
        <f t="shared" si="191"/>
        <v>0</v>
      </c>
      <c r="N302" s="1">
        <f t="shared" si="179"/>
        <v>23</v>
      </c>
      <c r="O302" s="1">
        <f t="shared" si="164"/>
        <v>0</v>
      </c>
      <c r="P302" s="1">
        <f t="shared" si="192"/>
        <v>160</v>
      </c>
      <c r="Q302" s="3" t="str">
        <f t="shared" si="155"/>
        <v xml:space="preserve"> Threshold dividing histogram into 2 areas [Histogram Area smaller Than DTH Value means TH1[Dark Area],In the opposite, TH2[Bright Area] </v>
      </c>
      <c r="R302" s="11">
        <f t="shared" si="193"/>
        <v>591</v>
      </c>
      <c r="T302" s="13" t="str">
        <f t="shared" si="166"/>
        <v>24F</v>
      </c>
      <c r="U302" s="14" t="str">
        <f>IF(A302="",IF(A301="","",$U$1),  IF(B302=0,Q302,I302)  )</f>
        <v>UpACE_DTH</v>
      </c>
      <c r="V302" s="13" t="str">
        <f>IF(U302=$U$1,"",IF(A302="",IF(A301="","",1),  IF(B302=0,1,D302)  ))</f>
        <v>1</v>
      </c>
      <c r="W302" s="13">
        <f>IF(U302=$U$1,"",IF(A302="",IF(A301="","",0),  IF(C302=0,0,0)  ))</f>
        <v>0</v>
      </c>
      <c r="X302" s="14" t="str">
        <f>IF(U302=$U$1,"",IF(U302="","",IF(B302&gt;0,IF(Q302&lt;&gt;"",Q302,"No description"),"-")))</f>
        <v xml:space="preserve"> Threshold dividing histogram into 2 areas [Histogram Area smaller Than DTH Value means TH1[Dark Area],In the opposite, TH2[Bright Area] </v>
      </c>
      <c r="Y302" s="1">
        <f t="shared" ref="Y302:Y312" si="194">IFERROR(SEARCH("UP_SET",A302),0)</f>
        <v>1</v>
      </c>
      <c r="Z302" s="1">
        <f t="shared" ref="Z302:Z312" si="195">IF(Y302=0,Z301,INT(MID(A302,8,1)))</f>
        <v>1</v>
      </c>
      <c r="AA302" s="1">
        <f t="shared" ref="AA302:AA312" si="196">IFERROR(FIND("=",A302)+1,0)</f>
        <v>0</v>
      </c>
      <c r="AB302" s="1">
        <f t="shared" ref="AB302:AB312" si="197">IF(AA302=0,0,MID(A302,AA302,LEN(A302)-AA302-1))</f>
        <v>0</v>
      </c>
      <c r="AC302" s="10" t="e">
        <f t="shared" ref="AC302:AC312" si="198">IF(AB302=0,IF(Y302=0,AC301,Z301+AC301),AB302)</f>
        <v>#VALUE!</v>
      </c>
      <c r="AD302" s="1" t="e">
        <f t="shared" ref="AD302:AD312" si="199">DEC2HEX(AC302)</f>
        <v>#VALUE!</v>
      </c>
      <c r="AF302" s="3" t="e">
        <f t="shared" ref="AF302:AF312" si="200">IF(A302="",IF(A301="","",$T$1),IF(Y302=0,"0",AD302))</f>
        <v>#VALUE!</v>
      </c>
      <c r="AG302" s="5" t="str">
        <f t="shared" ref="AG302:AG312" si="201">IF(A302="",IF(A301="","",$U$1),IFERROR(IF(Y302=0,MID(A302,3,LEN(A302)-5),MID(A302,11,IF(AA302=0,LEN(A302)-1-11,AA302-11-2))),"-"))</f>
        <v>UpACE_DTH)/* Threshold dividing histogram into 2 areas [Histogram Area smaller Than DTH Value means TH1[Dark Area],In the opposite, TH2[Bright Area] *</v>
      </c>
      <c r="AH302" s="3">
        <f t="shared" ref="AH302:AH312" si="202">IF(Y302=0,"1",Z302)</f>
        <v>1</v>
      </c>
      <c r="AI302" s="3">
        <f t="shared" ref="AI302:AI312" si="203">IF(Y302=0,"0",0)</f>
        <v>0</v>
      </c>
      <c r="AJ302" s="7">
        <f>IF(LEN(U302)=0,0,IF(U302="END_ID",0,1))</f>
        <v>1</v>
      </c>
    </row>
    <row r="303" spans="1:36" x14ac:dyDescent="0.3">
      <c r="A303" s="15" t="s">
        <v>324</v>
      </c>
      <c r="B303" s="1">
        <f t="shared" si="169"/>
        <v>8</v>
      </c>
      <c r="C303" s="1">
        <f t="shared" si="170"/>
        <v>9</v>
      </c>
      <c r="D303" s="10" t="str">
        <f t="shared" si="171"/>
        <v>1</v>
      </c>
      <c r="E303" s="1">
        <f t="shared" si="172"/>
        <v>11</v>
      </c>
      <c r="F303" s="1">
        <f t="shared" si="173"/>
        <v>41</v>
      </c>
      <c r="G303" s="1">
        <f t="shared" si="174"/>
        <v>24</v>
      </c>
      <c r="H303" s="1">
        <f t="shared" si="187"/>
        <v>24</v>
      </c>
      <c r="I303" s="10" t="str">
        <f t="shared" si="175"/>
        <v>UpACE_WDR_DTH</v>
      </c>
      <c r="J303" s="1">
        <f t="shared" si="188"/>
        <v>0</v>
      </c>
      <c r="K303" s="1">
        <f t="shared" si="189"/>
        <v>0</v>
      </c>
      <c r="L303" s="1" t="str">
        <f t="shared" si="190"/>
        <v>0</v>
      </c>
      <c r="M303" s="10">
        <f t="shared" si="191"/>
        <v>0</v>
      </c>
      <c r="N303" s="1">
        <f t="shared" si="179"/>
        <v>27</v>
      </c>
      <c r="O303" s="1">
        <f t="shared" si="164"/>
        <v>0</v>
      </c>
      <c r="P303" s="1">
        <f t="shared" si="192"/>
        <v>179</v>
      </c>
      <c r="Q303" s="3" t="str">
        <f t="shared" si="155"/>
        <v xml:space="preserve"> When WDR Mode, Threshold dividing histogram into 2 areas [Histogram Area Smaller Than DTH Value means TH1[Dark Area],In the opposite, TH2[Bright Area] </v>
      </c>
      <c r="R303" s="11">
        <f t="shared" si="193"/>
        <v>592</v>
      </c>
      <c r="T303" s="13" t="str">
        <f t="shared" si="166"/>
        <v>250</v>
      </c>
      <c r="U303" s="14" t="str">
        <f t="shared" ref="U303:U312" si="204">IF(A303="",IF(A302="","",$U$1),  IF(B303=0,Q303,I303)  )</f>
        <v>UpACE_WDR_DTH</v>
      </c>
      <c r="V303" s="13" t="str">
        <f t="shared" ref="V303:V312" si="205">IF(U303=$U$1,"",IF(A303="",IF(A302="","",1),  IF(B303=0,1,D303)  ))</f>
        <v>1</v>
      </c>
      <c r="W303" s="13">
        <f t="shared" ref="W303:W312" si="206">IF(U303=$U$1,"",IF(A303="",IF(A302="","",0),  IF(C303=0,0,0)  ))</f>
        <v>0</v>
      </c>
      <c r="X303" s="14" t="str">
        <f t="shared" ref="X303:X312" si="207">IF(U303=$U$1,"",IF(U303="","",IF(B303&gt;0,IF(Q303&lt;&gt;"",Q303,"No description"),"-")))</f>
        <v xml:space="preserve"> When WDR Mode, Threshold dividing histogram into 2 areas [Histogram Area Smaller Than DTH Value means TH1[Dark Area],In the opposite, TH2[Bright Area] </v>
      </c>
      <c r="Y303" s="1">
        <f t="shared" si="194"/>
        <v>1</v>
      </c>
      <c r="Z303" s="1">
        <f t="shared" si="195"/>
        <v>1</v>
      </c>
      <c r="AA303" s="1">
        <f t="shared" si="196"/>
        <v>0</v>
      </c>
      <c r="AB303" s="1">
        <f t="shared" si="197"/>
        <v>0</v>
      </c>
      <c r="AC303" s="10" t="e">
        <f t="shared" si="198"/>
        <v>#VALUE!</v>
      </c>
      <c r="AD303" s="1" t="e">
        <f t="shared" si="199"/>
        <v>#VALUE!</v>
      </c>
      <c r="AF303" s="3" t="e">
        <f t="shared" si="200"/>
        <v>#VALUE!</v>
      </c>
      <c r="AG303" s="5" t="str">
        <f t="shared" si="201"/>
        <v>UpACE_WDR_DTH)/* When WDR Mode, Threshold dividing histogram into 2 areas [Histogram Area Smaller Than DTH Value means TH1[Dark Area],In the opposite, TH2[Bright Area] *</v>
      </c>
      <c r="AH303" s="3">
        <f t="shared" si="202"/>
        <v>1</v>
      </c>
      <c r="AI303" s="3">
        <f t="shared" si="203"/>
        <v>0</v>
      </c>
      <c r="AJ303" s="7">
        <f t="shared" ref="AJ303:AJ312" si="208">IF(LEN(U303)=0,0,IF(U303="END_ID",0,1))</f>
        <v>1</v>
      </c>
    </row>
    <row r="304" spans="1:36" x14ac:dyDescent="0.3">
      <c r="A304" s="15" t="s">
        <v>170</v>
      </c>
      <c r="B304" s="1">
        <f t="shared" si="169"/>
        <v>0</v>
      </c>
      <c r="C304" s="1">
        <f t="shared" si="170"/>
        <v>0</v>
      </c>
      <c r="D304" s="10">
        <f t="shared" si="171"/>
        <v>0</v>
      </c>
      <c r="E304" s="1">
        <f t="shared" si="172"/>
        <v>0</v>
      </c>
      <c r="F304" s="1">
        <f t="shared" si="173"/>
        <v>0</v>
      </c>
      <c r="G304" s="1">
        <f t="shared" si="174"/>
        <v>0</v>
      </c>
      <c r="H304" s="1">
        <f t="shared" si="187"/>
        <v>0</v>
      </c>
      <c r="I304" s="10">
        <f t="shared" si="175"/>
        <v>0</v>
      </c>
      <c r="J304" s="1">
        <f t="shared" si="188"/>
        <v>0</v>
      </c>
      <c r="K304" s="1">
        <f t="shared" si="189"/>
        <v>0</v>
      </c>
      <c r="L304" s="1" t="str">
        <f t="shared" si="190"/>
        <v>0</v>
      </c>
      <c r="M304" s="10">
        <f t="shared" si="191"/>
        <v>0</v>
      </c>
      <c r="N304" s="1">
        <f t="shared" si="179"/>
        <v>3</v>
      </c>
      <c r="O304" s="1">
        <f t="shared" si="164"/>
        <v>1</v>
      </c>
      <c r="P304" s="1">
        <f t="shared" si="192"/>
        <v>14</v>
      </c>
      <c r="Q304" s="3" t="str">
        <f t="shared" si="155"/>
        <v>ACE_AGC_PT</v>
      </c>
      <c r="R304" s="11">
        <f t="shared" si="193"/>
        <v>593</v>
      </c>
      <c r="T304" s="13" t="str">
        <f t="shared" si="166"/>
        <v>#</v>
      </c>
      <c r="U304" s="14" t="str">
        <f t="shared" si="204"/>
        <v>ACE_AGC_PT</v>
      </c>
      <c r="V304" s="13">
        <f t="shared" si="205"/>
        <v>1</v>
      </c>
      <c r="W304" s="13">
        <f t="shared" si="206"/>
        <v>0</v>
      </c>
      <c r="X304" s="14" t="str">
        <f t="shared" si="207"/>
        <v>-</v>
      </c>
      <c r="Y304" s="1">
        <f t="shared" si="194"/>
        <v>0</v>
      </c>
      <c r="Z304" s="1">
        <f t="shared" si="195"/>
        <v>1</v>
      </c>
      <c r="AA304" s="1">
        <f t="shared" si="196"/>
        <v>0</v>
      </c>
      <c r="AB304" s="1">
        <f t="shared" si="197"/>
        <v>0</v>
      </c>
      <c r="AC304" s="10" t="e">
        <f t="shared" si="198"/>
        <v>#VALUE!</v>
      </c>
      <c r="AD304" s="1" t="e">
        <f t="shared" si="199"/>
        <v>#VALUE!</v>
      </c>
      <c r="AF304" s="3" t="str">
        <f t="shared" si="200"/>
        <v>0</v>
      </c>
      <c r="AG304" s="5" t="str">
        <f t="shared" si="201"/>
        <v>#ACE_AGC_PT</v>
      </c>
      <c r="AH304" s="3" t="str">
        <f t="shared" si="202"/>
        <v>1</v>
      </c>
      <c r="AI304" s="3" t="str">
        <f t="shared" si="203"/>
        <v>0</v>
      </c>
      <c r="AJ304" s="7">
        <f t="shared" si="208"/>
        <v>1</v>
      </c>
    </row>
    <row r="305" spans="1:36" x14ac:dyDescent="0.3">
      <c r="A305" s="15" t="s">
        <v>203</v>
      </c>
      <c r="B305" s="1">
        <f t="shared" si="169"/>
        <v>8</v>
      </c>
      <c r="C305" s="1">
        <f t="shared" si="170"/>
        <v>9</v>
      </c>
      <c r="D305" s="10" t="str">
        <f t="shared" si="171"/>
        <v>2</v>
      </c>
      <c r="E305" s="1">
        <f t="shared" si="172"/>
        <v>11</v>
      </c>
      <c r="F305" s="1">
        <f t="shared" si="173"/>
        <v>0</v>
      </c>
      <c r="G305" s="1">
        <f t="shared" si="174"/>
        <v>24</v>
      </c>
      <c r="H305" s="1">
        <f t="shared" si="187"/>
        <v>24</v>
      </c>
      <c r="I305" s="10" t="str">
        <f t="shared" si="175"/>
        <v>UpACE_AGC_PT0</v>
      </c>
      <c r="J305" s="1">
        <f t="shared" si="188"/>
        <v>0</v>
      </c>
      <c r="K305" s="1">
        <f t="shared" si="189"/>
        <v>0</v>
      </c>
      <c r="L305" s="1" t="str">
        <f t="shared" si="190"/>
        <v>0</v>
      </c>
      <c r="M305" s="10">
        <f t="shared" si="191"/>
        <v>0</v>
      </c>
      <c r="N305" s="1">
        <f t="shared" si="179"/>
        <v>27</v>
      </c>
      <c r="O305" s="1">
        <f t="shared" si="164"/>
        <v>0</v>
      </c>
      <c r="P305" s="1">
        <f t="shared" si="192"/>
        <v>69</v>
      </c>
      <c r="Q305" s="3" t="str">
        <f t="shared" si="155"/>
        <v xml:space="preserve"> AGC interlocking point 0 in ACE function </v>
      </c>
      <c r="R305" s="11">
        <f t="shared" si="193"/>
        <v>593</v>
      </c>
      <c r="T305" s="13" t="str">
        <f t="shared" si="166"/>
        <v>251</v>
      </c>
      <c r="U305" s="14" t="str">
        <f t="shared" ref="U305:U309" si="209">IF(A305="",IF(A304="","",$U$1),  IF(B305=0,Q305,I305)  )</f>
        <v>UpACE_AGC_PT0</v>
      </c>
      <c r="V305" s="13" t="str">
        <f t="shared" ref="V305:V309" si="210">IF(U305=$U$1,"",IF(A305="",IF(A304="","",1),  IF(B305=0,1,D305)  ))</f>
        <v>2</v>
      </c>
      <c r="W305" s="13">
        <f t="shared" ref="W305:W309" si="211">IF(U305=$U$1,"",IF(A305="",IF(A304="","",0),  IF(C305=0,0,0)  ))</f>
        <v>0</v>
      </c>
      <c r="X305" s="14" t="str">
        <f t="shared" ref="X305:X309" si="212">IF(U305=$U$1,"",IF(U305="","",IF(B305&gt;0,IF(Q305&lt;&gt;"",Q305,"No description"),"-")))</f>
        <v xml:space="preserve"> AGC interlocking point 0 in ACE function </v>
      </c>
      <c r="Y305" s="1">
        <f t="shared" ref="Y305:Y309" si="213">IFERROR(SEARCH("UP_SET",A305),0)</f>
        <v>1</v>
      </c>
      <c r="Z305" s="1">
        <f t="shared" ref="Z305:Z309" si="214">IF(Y305=0,Z304,INT(MID(A305,8,1)))</f>
        <v>2</v>
      </c>
      <c r="AA305" s="1">
        <f t="shared" ref="AA305:AA309" si="215">IFERROR(FIND("=",A305)+1,0)</f>
        <v>0</v>
      </c>
      <c r="AB305" s="1">
        <f t="shared" ref="AB305:AB309" si="216">IF(AA305=0,0,MID(A305,AA305,LEN(A305)-AA305-1))</f>
        <v>0</v>
      </c>
      <c r="AC305" s="10" t="e">
        <f t="shared" ref="AC305:AC309" si="217">IF(AB305=0,IF(Y305=0,AC304,Z304+AC304),AB305)</f>
        <v>#VALUE!</v>
      </c>
      <c r="AD305" s="1" t="e">
        <f t="shared" ref="AD305:AD309" si="218">DEC2HEX(AC305)</f>
        <v>#VALUE!</v>
      </c>
      <c r="AF305" s="3" t="e">
        <f t="shared" ref="AF305:AF309" si="219">IF(A305="",IF(A304="","",$T$1),IF(Y305=0,"0",AD305))</f>
        <v>#VALUE!</v>
      </c>
      <c r="AG305" s="5" t="str">
        <f t="shared" ref="AG305:AG309" si="220">IF(A305="",IF(A304="","",$U$1),IFERROR(IF(Y305=0,MID(A305,3,LEN(A305)-5),MID(A305,11,IF(AA305=0,LEN(A305)-1-11,AA305-11-2))),"-"))</f>
        <v>UpACE_AGC_PT0)/* AGC interlocking point 0 in ACE function *</v>
      </c>
      <c r="AH305" s="3">
        <f t="shared" ref="AH305:AH309" si="221">IF(Y305=0,"1",Z305)</f>
        <v>2</v>
      </c>
      <c r="AI305" s="3">
        <f t="shared" ref="AI305:AI309" si="222">IF(Y305=0,"0",0)</f>
        <v>0</v>
      </c>
      <c r="AJ305" s="7">
        <f t="shared" ref="AJ305:AJ309" si="223">IF(LEN(U305)=0,0,IF(U305="END_ID",0,1))</f>
        <v>1</v>
      </c>
    </row>
    <row r="306" spans="1:36" x14ac:dyDescent="0.3">
      <c r="A306" s="15" t="s">
        <v>204</v>
      </c>
      <c r="B306" s="1">
        <f t="shared" si="169"/>
        <v>8</v>
      </c>
      <c r="C306" s="1">
        <f t="shared" si="170"/>
        <v>9</v>
      </c>
      <c r="D306" s="10" t="str">
        <f t="shared" si="171"/>
        <v>2</v>
      </c>
      <c r="E306" s="1">
        <f t="shared" si="172"/>
        <v>11</v>
      </c>
      <c r="F306" s="1">
        <f t="shared" si="173"/>
        <v>0</v>
      </c>
      <c r="G306" s="1">
        <f t="shared" si="174"/>
        <v>24</v>
      </c>
      <c r="H306" s="1">
        <f t="shared" si="187"/>
        <v>24</v>
      </c>
      <c r="I306" s="10" t="str">
        <f t="shared" si="175"/>
        <v>UpACE_AGC_PT1</v>
      </c>
      <c r="J306" s="1">
        <f t="shared" si="188"/>
        <v>0</v>
      </c>
      <c r="K306" s="1">
        <f t="shared" si="189"/>
        <v>0</v>
      </c>
      <c r="L306" s="1" t="str">
        <f t="shared" si="190"/>
        <v>0</v>
      </c>
      <c r="M306" s="10">
        <f t="shared" si="191"/>
        <v>0</v>
      </c>
      <c r="N306" s="1">
        <f t="shared" si="179"/>
        <v>27</v>
      </c>
      <c r="O306" s="1">
        <f t="shared" si="164"/>
        <v>0</v>
      </c>
      <c r="P306" s="1">
        <f t="shared" si="192"/>
        <v>69</v>
      </c>
      <c r="Q306" s="3" t="str">
        <f t="shared" si="155"/>
        <v xml:space="preserve"> AGC interlocking point 1 in ACE function </v>
      </c>
      <c r="R306" s="11">
        <f t="shared" si="193"/>
        <v>595</v>
      </c>
      <c r="T306" s="13" t="str">
        <f t="shared" si="166"/>
        <v>253</v>
      </c>
      <c r="U306" s="14" t="str">
        <f t="shared" si="209"/>
        <v>UpACE_AGC_PT1</v>
      </c>
      <c r="V306" s="13" t="str">
        <f t="shared" si="210"/>
        <v>2</v>
      </c>
      <c r="W306" s="13">
        <f t="shared" si="211"/>
        <v>0</v>
      </c>
      <c r="X306" s="14" t="str">
        <f t="shared" si="212"/>
        <v xml:space="preserve"> AGC interlocking point 1 in ACE function </v>
      </c>
      <c r="Y306" s="1">
        <f t="shared" si="213"/>
        <v>1</v>
      </c>
      <c r="Z306" s="1">
        <f t="shared" si="214"/>
        <v>2</v>
      </c>
      <c r="AA306" s="1">
        <f t="shared" si="215"/>
        <v>0</v>
      </c>
      <c r="AB306" s="1">
        <f t="shared" si="216"/>
        <v>0</v>
      </c>
      <c r="AC306" s="10" t="e">
        <f t="shared" si="217"/>
        <v>#VALUE!</v>
      </c>
      <c r="AD306" s="1" t="e">
        <f t="shared" si="218"/>
        <v>#VALUE!</v>
      </c>
      <c r="AF306" s="3" t="e">
        <f t="shared" si="219"/>
        <v>#VALUE!</v>
      </c>
      <c r="AG306" s="5" t="str">
        <f t="shared" si="220"/>
        <v>UpACE_AGC_PT1)/* AGC interlocking point 1 in ACE function *</v>
      </c>
      <c r="AH306" s="3">
        <f t="shared" si="221"/>
        <v>2</v>
      </c>
      <c r="AI306" s="3">
        <f t="shared" si="222"/>
        <v>0</v>
      </c>
      <c r="AJ306" s="7">
        <f t="shared" si="223"/>
        <v>1</v>
      </c>
    </row>
    <row r="307" spans="1:36" x14ac:dyDescent="0.3">
      <c r="A307" s="15" t="s">
        <v>325</v>
      </c>
      <c r="B307" s="1">
        <f t="shared" si="169"/>
        <v>8</v>
      </c>
      <c r="C307" s="1">
        <f t="shared" si="170"/>
        <v>9</v>
      </c>
      <c r="D307" s="10" t="str">
        <f t="shared" si="171"/>
        <v>2</v>
      </c>
      <c r="E307" s="1">
        <f t="shared" si="172"/>
        <v>11</v>
      </c>
      <c r="F307" s="1">
        <f t="shared" si="173"/>
        <v>0</v>
      </c>
      <c r="G307" s="1">
        <f t="shared" si="174"/>
        <v>24</v>
      </c>
      <c r="H307" s="1">
        <f t="shared" si="187"/>
        <v>24</v>
      </c>
      <c r="I307" s="10" t="str">
        <f t="shared" si="175"/>
        <v>UpACE_AGC_PT2</v>
      </c>
      <c r="J307" s="1">
        <f t="shared" si="188"/>
        <v>0</v>
      </c>
      <c r="K307" s="1">
        <f t="shared" si="189"/>
        <v>0</v>
      </c>
      <c r="L307" s="1" t="str">
        <f t="shared" si="190"/>
        <v>0</v>
      </c>
      <c r="M307" s="10">
        <f t="shared" si="191"/>
        <v>0</v>
      </c>
      <c r="N307" s="1">
        <f t="shared" si="179"/>
        <v>27</v>
      </c>
      <c r="O307" s="1">
        <f t="shared" si="164"/>
        <v>0</v>
      </c>
      <c r="P307" s="1">
        <f t="shared" si="192"/>
        <v>69</v>
      </c>
      <c r="Q307" s="3" t="str">
        <f t="shared" si="155"/>
        <v xml:space="preserve"> AGC interlocking point 2 in ACE function </v>
      </c>
      <c r="R307" s="11">
        <f t="shared" si="193"/>
        <v>597</v>
      </c>
      <c r="T307" s="13" t="str">
        <f t="shared" si="166"/>
        <v>255</v>
      </c>
      <c r="U307" s="14" t="str">
        <f t="shared" si="209"/>
        <v>UpACE_AGC_PT2</v>
      </c>
      <c r="V307" s="13" t="str">
        <f t="shared" si="210"/>
        <v>2</v>
      </c>
      <c r="W307" s="13">
        <f t="shared" si="211"/>
        <v>0</v>
      </c>
      <c r="X307" s="14" t="str">
        <f t="shared" si="212"/>
        <v xml:space="preserve"> AGC interlocking point 2 in ACE function </v>
      </c>
      <c r="Y307" s="1">
        <f t="shared" si="213"/>
        <v>1</v>
      </c>
      <c r="Z307" s="1">
        <f t="shared" si="214"/>
        <v>2</v>
      </c>
      <c r="AA307" s="1">
        <f t="shared" si="215"/>
        <v>0</v>
      </c>
      <c r="AB307" s="1">
        <f t="shared" si="216"/>
        <v>0</v>
      </c>
      <c r="AC307" s="10" t="e">
        <f t="shared" si="217"/>
        <v>#VALUE!</v>
      </c>
      <c r="AD307" s="1" t="e">
        <f t="shared" si="218"/>
        <v>#VALUE!</v>
      </c>
      <c r="AF307" s="3" t="e">
        <f t="shared" si="219"/>
        <v>#VALUE!</v>
      </c>
      <c r="AG307" s="5" t="str">
        <f t="shared" si="220"/>
        <v>UpACE_AGC_PT2)/* AGC interlocking point 2 in ACE function *</v>
      </c>
      <c r="AH307" s="3">
        <f t="shared" si="221"/>
        <v>2</v>
      </c>
      <c r="AI307" s="3">
        <f t="shared" si="222"/>
        <v>0</v>
      </c>
      <c r="AJ307" s="7">
        <f t="shared" si="223"/>
        <v>1</v>
      </c>
    </row>
    <row r="308" spans="1:36" x14ac:dyDescent="0.3">
      <c r="A308" s="15" t="s">
        <v>326</v>
      </c>
      <c r="B308" s="1">
        <f t="shared" si="169"/>
        <v>8</v>
      </c>
      <c r="C308" s="1">
        <f t="shared" si="170"/>
        <v>9</v>
      </c>
      <c r="D308" s="10" t="str">
        <f t="shared" si="171"/>
        <v>2</v>
      </c>
      <c r="E308" s="1">
        <f t="shared" si="172"/>
        <v>11</v>
      </c>
      <c r="F308" s="1">
        <f t="shared" si="173"/>
        <v>45</v>
      </c>
      <c r="G308" s="1">
        <f t="shared" si="174"/>
        <v>28</v>
      </c>
      <c r="H308" s="1">
        <f t="shared" si="187"/>
        <v>28</v>
      </c>
      <c r="I308" s="10" t="str">
        <f t="shared" si="175"/>
        <v>UpACE_WDR_AGC_PT0</v>
      </c>
      <c r="J308" s="1">
        <f t="shared" si="188"/>
        <v>0</v>
      </c>
      <c r="K308" s="1">
        <f t="shared" si="189"/>
        <v>0</v>
      </c>
      <c r="L308" s="1" t="str">
        <f t="shared" si="190"/>
        <v>0</v>
      </c>
      <c r="M308" s="10">
        <f t="shared" si="191"/>
        <v>0</v>
      </c>
      <c r="N308" s="1">
        <f t="shared" si="179"/>
        <v>31</v>
      </c>
      <c r="O308" s="1">
        <f t="shared" si="164"/>
        <v>0</v>
      </c>
      <c r="P308" s="1">
        <f t="shared" si="192"/>
        <v>88</v>
      </c>
      <c r="Q308" s="3" t="str">
        <f t="shared" si="155"/>
        <v xml:space="preserve"> When WDR Mode, AGC interlocking point 0 in ACE function </v>
      </c>
      <c r="R308" s="11">
        <f t="shared" si="193"/>
        <v>599</v>
      </c>
      <c r="T308" s="13" t="str">
        <f t="shared" si="166"/>
        <v>257</v>
      </c>
      <c r="U308" s="14" t="str">
        <f t="shared" si="209"/>
        <v>UpACE_WDR_AGC_PT0</v>
      </c>
      <c r="V308" s="13" t="str">
        <f t="shared" si="210"/>
        <v>2</v>
      </c>
      <c r="W308" s="13">
        <f t="shared" si="211"/>
        <v>0</v>
      </c>
      <c r="X308" s="14" t="str">
        <f t="shared" si="212"/>
        <v xml:space="preserve"> When WDR Mode, AGC interlocking point 0 in ACE function </v>
      </c>
      <c r="Y308" s="1">
        <f t="shared" si="213"/>
        <v>1</v>
      </c>
      <c r="Z308" s="1">
        <f t="shared" si="214"/>
        <v>2</v>
      </c>
      <c r="AA308" s="1">
        <f t="shared" si="215"/>
        <v>0</v>
      </c>
      <c r="AB308" s="1">
        <f t="shared" si="216"/>
        <v>0</v>
      </c>
      <c r="AC308" s="10" t="e">
        <f t="shared" si="217"/>
        <v>#VALUE!</v>
      </c>
      <c r="AD308" s="1" t="e">
        <f t="shared" si="218"/>
        <v>#VALUE!</v>
      </c>
      <c r="AF308" s="3" t="e">
        <f t="shared" si="219"/>
        <v>#VALUE!</v>
      </c>
      <c r="AG308" s="5" t="str">
        <f t="shared" si="220"/>
        <v>UpACE_WDR_AGC_PT0)/* When WDR Mode, AGC interlocking point 0 in ACE function *</v>
      </c>
      <c r="AH308" s="3">
        <f t="shared" si="221"/>
        <v>2</v>
      </c>
      <c r="AI308" s="3">
        <f t="shared" si="222"/>
        <v>0</v>
      </c>
      <c r="AJ308" s="7">
        <f t="shared" si="223"/>
        <v>1</v>
      </c>
    </row>
    <row r="309" spans="1:36" x14ac:dyDescent="0.3">
      <c r="A309" s="15" t="s">
        <v>327</v>
      </c>
      <c r="B309" s="1">
        <f t="shared" si="169"/>
        <v>8</v>
      </c>
      <c r="C309" s="1">
        <f t="shared" si="170"/>
        <v>9</v>
      </c>
      <c r="D309" s="10" t="str">
        <f t="shared" si="171"/>
        <v>2</v>
      </c>
      <c r="E309" s="1">
        <f t="shared" si="172"/>
        <v>11</v>
      </c>
      <c r="F309" s="1">
        <f t="shared" si="173"/>
        <v>45</v>
      </c>
      <c r="G309" s="1">
        <f t="shared" si="174"/>
        <v>28</v>
      </c>
      <c r="H309" s="1">
        <f t="shared" si="187"/>
        <v>28</v>
      </c>
      <c r="I309" s="10" t="str">
        <f t="shared" si="175"/>
        <v>UpACE_WDR_AGC_PT1</v>
      </c>
      <c r="J309" s="1">
        <f t="shared" si="188"/>
        <v>0</v>
      </c>
      <c r="K309" s="1">
        <f t="shared" si="189"/>
        <v>0</v>
      </c>
      <c r="L309" s="1" t="str">
        <f t="shared" si="190"/>
        <v>0</v>
      </c>
      <c r="M309" s="10">
        <f t="shared" si="191"/>
        <v>0</v>
      </c>
      <c r="N309" s="1">
        <f t="shared" si="179"/>
        <v>31</v>
      </c>
      <c r="O309" s="1">
        <f t="shared" si="164"/>
        <v>0</v>
      </c>
      <c r="P309" s="1">
        <f t="shared" si="192"/>
        <v>88</v>
      </c>
      <c r="Q309" s="3" t="str">
        <f t="shared" si="155"/>
        <v xml:space="preserve"> When WDR Mode, AGC interlocking point 1 in ACE function </v>
      </c>
      <c r="R309" s="11">
        <f t="shared" si="193"/>
        <v>601</v>
      </c>
      <c r="T309" s="13" t="str">
        <f t="shared" si="166"/>
        <v>259</v>
      </c>
      <c r="U309" s="14" t="str">
        <f t="shared" si="209"/>
        <v>UpACE_WDR_AGC_PT1</v>
      </c>
      <c r="V309" s="13" t="str">
        <f t="shared" si="210"/>
        <v>2</v>
      </c>
      <c r="W309" s="13">
        <f t="shared" si="211"/>
        <v>0</v>
      </c>
      <c r="X309" s="14" t="str">
        <f t="shared" si="212"/>
        <v xml:space="preserve"> When WDR Mode, AGC interlocking point 1 in ACE function </v>
      </c>
      <c r="Y309" s="1">
        <f t="shared" si="213"/>
        <v>1</v>
      </c>
      <c r="Z309" s="1">
        <f t="shared" si="214"/>
        <v>2</v>
      </c>
      <c r="AA309" s="1">
        <f t="shared" si="215"/>
        <v>0</v>
      </c>
      <c r="AB309" s="1">
        <f t="shared" si="216"/>
        <v>0</v>
      </c>
      <c r="AC309" s="10" t="e">
        <f t="shared" si="217"/>
        <v>#VALUE!</v>
      </c>
      <c r="AD309" s="1" t="e">
        <f t="shared" si="218"/>
        <v>#VALUE!</v>
      </c>
      <c r="AF309" s="3" t="e">
        <f t="shared" si="219"/>
        <v>#VALUE!</v>
      </c>
      <c r="AG309" s="5" t="str">
        <f t="shared" si="220"/>
        <v>UpACE_WDR_AGC_PT1)/* When WDR Mode, AGC interlocking point 1 in ACE function *</v>
      </c>
      <c r="AH309" s="3">
        <f t="shared" si="221"/>
        <v>2</v>
      </c>
      <c r="AI309" s="3">
        <f t="shared" si="222"/>
        <v>0</v>
      </c>
      <c r="AJ309" s="7">
        <f t="shared" si="223"/>
        <v>1</v>
      </c>
    </row>
    <row r="310" spans="1:36" x14ac:dyDescent="0.3">
      <c r="A310" s="15" t="s">
        <v>328</v>
      </c>
      <c r="B310" s="1">
        <f t="shared" si="169"/>
        <v>8</v>
      </c>
      <c r="C310" s="1">
        <f t="shared" si="170"/>
        <v>9</v>
      </c>
      <c r="D310" s="10" t="str">
        <f t="shared" si="171"/>
        <v>2</v>
      </c>
      <c r="E310" s="1">
        <f t="shared" si="172"/>
        <v>11</v>
      </c>
      <c r="F310" s="1">
        <f t="shared" si="173"/>
        <v>45</v>
      </c>
      <c r="G310" s="1">
        <f t="shared" si="174"/>
        <v>28</v>
      </c>
      <c r="H310" s="1">
        <f t="shared" si="187"/>
        <v>28</v>
      </c>
      <c r="I310" s="10" t="str">
        <f t="shared" si="175"/>
        <v>UpACE_WDR_AGC_PT2</v>
      </c>
      <c r="J310" s="1">
        <f t="shared" si="188"/>
        <v>0</v>
      </c>
      <c r="K310" s="1">
        <f t="shared" si="189"/>
        <v>0</v>
      </c>
      <c r="L310" s="1" t="str">
        <f t="shared" si="190"/>
        <v>0</v>
      </c>
      <c r="M310" s="10">
        <f t="shared" si="191"/>
        <v>0</v>
      </c>
      <c r="N310" s="1">
        <f t="shared" si="179"/>
        <v>31</v>
      </c>
      <c r="O310" s="1">
        <f t="shared" si="164"/>
        <v>0</v>
      </c>
      <c r="P310" s="1">
        <f t="shared" si="192"/>
        <v>88</v>
      </c>
      <c r="Q310" s="3" t="str">
        <f t="shared" si="155"/>
        <v xml:space="preserve"> When WDR Mode, AGC interlocking point 2 in ACE function </v>
      </c>
      <c r="R310" s="11">
        <f t="shared" si="193"/>
        <v>603</v>
      </c>
      <c r="T310" s="13" t="str">
        <f t="shared" si="166"/>
        <v>25B</v>
      </c>
      <c r="U310" s="14" t="str">
        <f t="shared" si="204"/>
        <v>UpACE_WDR_AGC_PT2</v>
      </c>
      <c r="V310" s="13" t="str">
        <f t="shared" si="205"/>
        <v>2</v>
      </c>
      <c r="W310" s="13">
        <f t="shared" si="206"/>
        <v>0</v>
      </c>
      <c r="X310" s="14" t="str">
        <f t="shared" si="207"/>
        <v xml:space="preserve"> When WDR Mode, AGC interlocking point 2 in ACE function </v>
      </c>
      <c r="Y310" s="1">
        <f t="shared" si="194"/>
        <v>1</v>
      </c>
      <c r="Z310" s="1">
        <f t="shared" si="195"/>
        <v>2</v>
      </c>
      <c r="AA310" s="1">
        <f t="shared" si="196"/>
        <v>0</v>
      </c>
      <c r="AB310" s="1">
        <f t="shared" si="197"/>
        <v>0</v>
      </c>
      <c r="AC310" s="10" t="e">
        <f t="shared" si="198"/>
        <v>#VALUE!</v>
      </c>
      <c r="AD310" s="1" t="e">
        <f t="shared" si="199"/>
        <v>#VALUE!</v>
      </c>
      <c r="AF310" s="3" t="e">
        <f t="shared" si="200"/>
        <v>#VALUE!</v>
      </c>
      <c r="AG310" s="5" t="str">
        <f t="shared" si="201"/>
        <v>UpACE_WDR_AGC_PT2)/* When WDR Mode, AGC interlocking point 2 in ACE function *</v>
      </c>
      <c r="AH310" s="3">
        <f t="shared" si="202"/>
        <v>2</v>
      </c>
      <c r="AI310" s="3">
        <f t="shared" si="203"/>
        <v>0</v>
      </c>
      <c r="AJ310" s="7">
        <f t="shared" si="208"/>
        <v>1</v>
      </c>
    </row>
    <row r="311" spans="1:36" x14ac:dyDescent="0.3">
      <c r="A311" s="15" t="s">
        <v>171</v>
      </c>
      <c r="B311" s="1">
        <f t="shared" si="169"/>
        <v>0</v>
      </c>
      <c r="C311" s="1">
        <f t="shared" si="170"/>
        <v>0</v>
      </c>
      <c r="D311" s="10">
        <f t="shared" si="171"/>
        <v>0</v>
      </c>
      <c r="E311" s="1">
        <f t="shared" si="172"/>
        <v>0</v>
      </c>
      <c r="F311" s="1">
        <f t="shared" si="173"/>
        <v>0</v>
      </c>
      <c r="G311" s="1">
        <f t="shared" si="174"/>
        <v>0</v>
      </c>
      <c r="H311" s="1">
        <f t="shared" si="187"/>
        <v>0</v>
      </c>
      <c r="I311" s="10">
        <f t="shared" si="175"/>
        <v>0</v>
      </c>
      <c r="J311" s="1">
        <f t="shared" si="188"/>
        <v>0</v>
      </c>
      <c r="K311" s="1">
        <f t="shared" si="189"/>
        <v>0</v>
      </c>
      <c r="L311" s="1" t="str">
        <f t="shared" si="190"/>
        <v>0</v>
      </c>
      <c r="M311" s="10">
        <f t="shared" si="191"/>
        <v>0</v>
      </c>
      <c r="N311" s="1">
        <f t="shared" si="179"/>
        <v>3</v>
      </c>
      <c r="O311" s="1">
        <f t="shared" si="164"/>
        <v>1</v>
      </c>
      <c r="P311" s="1">
        <f t="shared" si="192"/>
        <v>11</v>
      </c>
      <c r="Q311" s="3" t="str">
        <f t="shared" si="155"/>
        <v>ACE_PT0</v>
      </c>
      <c r="R311" s="11">
        <f t="shared" si="193"/>
        <v>605</v>
      </c>
      <c r="T311" s="13" t="str">
        <f t="shared" si="166"/>
        <v>#</v>
      </c>
      <c r="U311" s="14" t="str">
        <f t="shared" si="204"/>
        <v>ACE_PT0</v>
      </c>
      <c r="V311" s="13">
        <f t="shared" si="205"/>
        <v>1</v>
      </c>
      <c r="W311" s="13">
        <f t="shared" si="206"/>
        <v>0</v>
      </c>
      <c r="X311" s="14" t="str">
        <f t="shared" si="207"/>
        <v>-</v>
      </c>
      <c r="Y311" s="1">
        <f t="shared" si="194"/>
        <v>0</v>
      </c>
      <c r="Z311" s="1">
        <f t="shared" si="195"/>
        <v>2</v>
      </c>
      <c r="AA311" s="1">
        <f t="shared" si="196"/>
        <v>0</v>
      </c>
      <c r="AB311" s="1">
        <f t="shared" si="197"/>
        <v>0</v>
      </c>
      <c r="AC311" s="10" t="e">
        <f t="shared" si="198"/>
        <v>#VALUE!</v>
      </c>
      <c r="AD311" s="1" t="e">
        <f t="shared" si="199"/>
        <v>#VALUE!</v>
      </c>
      <c r="AF311" s="3" t="str">
        <f t="shared" si="200"/>
        <v>0</v>
      </c>
      <c r="AG311" s="5" t="str">
        <f t="shared" si="201"/>
        <v>#ACE_PT0</v>
      </c>
      <c r="AH311" s="3" t="str">
        <f t="shared" si="202"/>
        <v>1</v>
      </c>
      <c r="AI311" s="3" t="str">
        <f t="shared" si="203"/>
        <v>0</v>
      </c>
      <c r="AJ311" s="7">
        <f t="shared" si="208"/>
        <v>1</v>
      </c>
    </row>
    <row r="312" spans="1:36" x14ac:dyDescent="0.3">
      <c r="A312" s="15" t="s">
        <v>329</v>
      </c>
      <c r="B312" s="1">
        <f t="shared" si="169"/>
        <v>8</v>
      </c>
      <c r="C312" s="1">
        <f t="shared" si="170"/>
        <v>9</v>
      </c>
      <c r="D312" s="10" t="str">
        <f t="shared" si="171"/>
        <v>1</v>
      </c>
      <c r="E312" s="1">
        <f t="shared" si="172"/>
        <v>11</v>
      </c>
      <c r="F312" s="1">
        <f t="shared" si="173"/>
        <v>48</v>
      </c>
      <c r="G312" s="1">
        <f t="shared" si="174"/>
        <v>32</v>
      </c>
      <c r="H312" s="1">
        <f t="shared" si="187"/>
        <v>32</v>
      </c>
      <c r="I312" s="10" t="str">
        <f t="shared" si="175"/>
        <v>UpACE_TH1_LOW_VAL_PT0</v>
      </c>
      <c r="J312" s="1">
        <f t="shared" si="188"/>
        <v>0</v>
      </c>
      <c r="K312" s="1">
        <f t="shared" si="189"/>
        <v>0</v>
      </c>
      <c r="L312" s="1" t="str">
        <f t="shared" si="190"/>
        <v>0</v>
      </c>
      <c r="M312" s="10">
        <f t="shared" si="191"/>
        <v>0</v>
      </c>
      <c r="N312" s="1">
        <f t="shared" si="179"/>
        <v>35</v>
      </c>
      <c r="O312" s="1">
        <f t="shared" si="164"/>
        <v>0</v>
      </c>
      <c r="P312" s="1">
        <f t="shared" si="192"/>
        <v>146</v>
      </c>
      <c r="Q312" s="3" t="str">
        <f t="shared" si="155"/>
        <v xml:space="preserve"> When ACE-LOW, Value to be applied to TH1 Area corresponding to interlocking point 0 (Apply to TH1[Dark Area]) </v>
      </c>
      <c r="R312" s="11">
        <f t="shared" si="193"/>
        <v>605</v>
      </c>
      <c r="T312" s="13" t="str">
        <f t="shared" si="166"/>
        <v>25D</v>
      </c>
      <c r="U312" s="14" t="str">
        <f t="shared" si="204"/>
        <v>UpACE_TH1_LOW_VAL_PT0</v>
      </c>
      <c r="V312" s="13" t="str">
        <f t="shared" si="205"/>
        <v>1</v>
      </c>
      <c r="W312" s="13">
        <f t="shared" si="206"/>
        <v>0</v>
      </c>
      <c r="X312" s="14" t="str">
        <f t="shared" si="207"/>
        <v xml:space="preserve"> When ACE-LOW, Value to be applied to TH1 Area corresponding to interlocking point 0 (Apply to TH1[Dark Area]) </v>
      </c>
      <c r="Y312" s="1">
        <f t="shared" si="194"/>
        <v>1</v>
      </c>
      <c r="Z312" s="1">
        <f t="shared" si="195"/>
        <v>1</v>
      </c>
      <c r="AA312" s="1">
        <f t="shared" si="196"/>
        <v>0</v>
      </c>
      <c r="AB312" s="1">
        <f t="shared" si="197"/>
        <v>0</v>
      </c>
      <c r="AC312" s="10" t="e">
        <f t="shared" si="198"/>
        <v>#VALUE!</v>
      </c>
      <c r="AD312" s="1" t="e">
        <f t="shared" si="199"/>
        <v>#VALUE!</v>
      </c>
      <c r="AF312" s="3" t="e">
        <f t="shared" si="200"/>
        <v>#VALUE!</v>
      </c>
      <c r="AG312" s="5" t="str">
        <f t="shared" si="201"/>
        <v>UpACE_TH1_LOW_VAL_PT0)/* When ACE-LOW, Value to be applied to TH1 Area corresponding to interlocking point 0 (Apply to TH1[Dark Area]) *</v>
      </c>
      <c r="AH312" s="3">
        <f t="shared" si="202"/>
        <v>1</v>
      </c>
      <c r="AI312" s="3">
        <f t="shared" si="203"/>
        <v>0</v>
      </c>
      <c r="AJ312" s="7">
        <f t="shared" si="208"/>
        <v>1</v>
      </c>
    </row>
    <row r="313" spans="1:36" x14ac:dyDescent="0.3">
      <c r="A313" s="15" t="s">
        <v>330</v>
      </c>
      <c r="B313" s="1">
        <f t="shared" si="169"/>
        <v>8</v>
      </c>
      <c r="C313" s="1">
        <f t="shared" si="170"/>
        <v>9</v>
      </c>
      <c r="D313" s="10" t="str">
        <f t="shared" si="171"/>
        <v>1</v>
      </c>
      <c r="E313" s="1">
        <f t="shared" si="172"/>
        <v>11</v>
      </c>
      <c r="F313" s="1">
        <f t="shared" si="173"/>
        <v>48</v>
      </c>
      <c r="G313" s="1">
        <f t="shared" si="174"/>
        <v>32</v>
      </c>
      <c r="H313" s="1">
        <f t="shared" si="187"/>
        <v>32</v>
      </c>
      <c r="I313" s="10" t="str">
        <f t="shared" si="175"/>
        <v>UpACE_TH1_MID_VAL_PT0</v>
      </c>
      <c r="J313" s="1">
        <f t="shared" si="188"/>
        <v>0</v>
      </c>
      <c r="K313" s="1">
        <f t="shared" si="189"/>
        <v>0</v>
      </c>
      <c r="L313" s="1" t="str">
        <f t="shared" si="190"/>
        <v>0</v>
      </c>
      <c r="M313" s="10">
        <f t="shared" si="191"/>
        <v>0</v>
      </c>
      <c r="N313" s="1">
        <f t="shared" si="179"/>
        <v>35</v>
      </c>
      <c r="O313" s="1">
        <f t="shared" si="164"/>
        <v>0</v>
      </c>
      <c r="P313" s="1">
        <f t="shared" si="192"/>
        <v>146</v>
      </c>
      <c r="Q313" s="3" t="str">
        <f t="shared" si="155"/>
        <v xml:space="preserve"> When ACE-MID, Value to be applied to TH1 Area corresponding to interlocking point 0 (Apply to TH1[Dark Area]) </v>
      </c>
      <c r="R313" s="11">
        <f t="shared" si="193"/>
        <v>606</v>
      </c>
      <c r="T313" s="13" t="str">
        <f t="shared" si="166"/>
        <v>25E</v>
      </c>
      <c r="U313" s="14" t="str">
        <f t="shared" ref="U313:U338" si="224">IF(A313="",IF(A312="","",$U$1),  IF(B313=0,Q313,I313)  )</f>
        <v>UpACE_TH1_MID_VAL_PT0</v>
      </c>
      <c r="V313" s="13" t="str">
        <f t="shared" ref="V313:V338" si="225">IF(U313=$U$1,"",IF(A313="",IF(A312="","",1),  IF(B313=0,1,D313)  ))</f>
        <v>1</v>
      </c>
      <c r="W313" s="13">
        <f t="shared" ref="W313:W338" si="226">IF(U313=$U$1,"",IF(A313="",IF(A312="","",0),  IF(C313=0,0,0)  ))</f>
        <v>0</v>
      </c>
      <c r="X313" s="14" t="str">
        <f t="shared" ref="X313:X338" si="227">IF(U313=$U$1,"",IF(U313="","",IF(B313&gt;0,IF(Q313&lt;&gt;"",Q313,"No description"),"-")))</f>
        <v xml:space="preserve"> When ACE-MID, Value to be applied to TH1 Area corresponding to interlocking point 0 (Apply to TH1[Dark Area]) </v>
      </c>
    </row>
    <row r="314" spans="1:36" x14ac:dyDescent="0.3">
      <c r="A314" s="15" t="s">
        <v>331</v>
      </c>
      <c r="B314" s="1">
        <f t="shared" si="169"/>
        <v>8</v>
      </c>
      <c r="C314" s="1">
        <f t="shared" si="170"/>
        <v>9</v>
      </c>
      <c r="D314" s="10" t="str">
        <f t="shared" si="171"/>
        <v>1</v>
      </c>
      <c r="E314" s="1">
        <f t="shared" si="172"/>
        <v>11</v>
      </c>
      <c r="F314" s="1">
        <f t="shared" si="173"/>
        <v>50</v>
      </c>
      <c r="G314" s="1">
        <f t="shared" si="174"/>
        <v>33</v>
      </c>
      <c r="H314" s="1">
        <f t="shared" si="187"/>
        <v>33</v>
      </c>
      <c r="I314" s="10" t="str">
        <f t="shared" si="175"/>
        <v>UpACE_TH1_HIGH_VAL_PT0</v>
      </c>
      <c r="J314" s="1">
        <f t="shared" si="188"/>
        <v>0</v>
      </c>
      <c r="K314" s="1">
        <f t="shared" si="189"/>
        <v>0</v>
      </c>
      <c r="L314" s="1" t="str">
        <f t="shared" si="190"/>
        <v>0</v>
      </c>
      <c r="M314" s="10">
        <f t="shared" si="191"/>
        <v>0</v>
      </c>
      <c r="N314" s="1">
        <f t="shared" si="179"/>
        <v>36</v>
      </c>
      <c r="O314" s="1">
        <f t="shared" si="164"/>
        <v>0</v>
      </c>
      <c r="P314" s="1">
        <f t="shared" si="192"/>
        <v>148</v>
      </c>
      <c r="Q314" s="3" t="str">
        <f t="shared" si="155"/>
        <v xml:space="preserve"> When ACE-HIGH, Value to be applied to TH1 Area corresponding to interlocking point 0 (Apply to TH1[Dark Area]) </v>
      </c>
      <c r="R314" s="11">
        <f t="shared" si="193"/>
        <v>607</v>
      </c>
      <c r="T314" s="13" t="str">
        <f t="shared" si="166"/>
        <v>25F</v>
      </c>
      <c r="U314" s="14" t="str">
        <f t="shared" si="224"/>
        <v>UpACE_TH1_HIGH_VAL_PT0</v>
      </c>
      <c r="V314" s="13" t="str">
        <f t="shared" si="225"/>
        <v>1</v>
      </c>
      <c r="W314" s="13">
        <f t="shared" si="226"/>
        <v>0</v>
      </c>
      <c r="X314" s="14" t="str">
        <f t="shared" si="227"/>
        <v xml:space="preserve"> When ACE-HIGH, Value to be applied to TH1 Area corresponding to interlocking point 0 (Apply to TH1[Dark Area]) </v>
      </c>
    </row>
    <row r="315" spans="1:36" x14ac:dyDescent="0.3">
      <c r="A315" s="15" t="s">
        <v>332</v>
      </c>
      <c r="B315" s="1">
        <f t="shared" si="169"/>
        <v>8</v>
      </c>
      <c r="C315" s="1">
        <f t="shared" si="170"/>
        <v>9</v>
      </c>
      <c r="D315" s="10" t="str">
        <f t="shared" si="171"/>
        <v>1</v>
      </c>
      <c r="E315" s="1">
        <f t="shared" si="172"/>
        <v>11</v>
      </c>
      <c r="F315" s="1">
        <f t="shared" si="173"/>
        <v>48</v>
      </c>
      <c r="G315" s="1">
        <f t="shared" si="174"/>
        <v>32</v>
      </c>
      <c r="H315" s="1">
        <f t="shared" si="187"/>
        <v>32</v>
      </c>
      <c r="I315" s="10" t="str">
        <f t="shared" si="175"/>
        <v>UpACE_TH2_LOW_VAL_PT0</v>
      </c>
      <c r="J315" s="1">
        <f t="shared" si="188"/>
        <v>0</v>
      </c>
      <c r="K315" s="1">
        <f t="shared" si="189"/>
        <v>0</v>
      </c>
      <c r="L315" s="1" t="str">
        <f t="shared" si="190"/>
        <v>0</v>
      </c>
      <c r="M315" s="10">
        <f t="shared" si="191"/>
        <v>0</v>
      </c>
      <c r="N315" s="1">
        <f t="shared" si="179"/>
        <v>35</v>
      </c>
      <c r="O315" s="1">
        <f t="shared" si="164"/>
        <v>0</v>
      </c>
      <c r="P315" s="1">
        <f t="shared" si="192"/>
        <v>148</v>
      </c>
      <c r="Q315" s="3" t="str">
        <f t="shared" si="155"/>
        <v xml:space="preserve"> When ACE-LOW, Value to be applied to TH2 Area corresponding to interlocking point 0 (Apply to TH2[Bright Area]) </v>
      </c>
      <c r="R315" s="11">
        <f t="shared" si="193"/>
        <v>608</v>
      </c>
      <c r="T315" s="13" t="str">
        <f t="shared" si="166"/>
        <v>260</v>
      </c>
      <c r="U315" s="14" t="str">
        <f t="shared" si="224"/>
        <v>UpACE_TH2_LOW_VAL_PT0</v>
      </c>
      <c r="V315" s="13" t="str">
        <f t="shared" si="225"/>
        <v>1</v>
      </c>
      <c r="W315" s="13">
        <f t="shared" si="226"/>
        <v>0</v>
      </c>
      <c r="X315" s="14" t="str">
        <f t="shared" si="227"/>
        <v xml:space="preserve"> When ACE-LOW, Value to be applied to TH2 Area corresponding to interlocking point 0 (Apply to TH2[Bright Area]) </v>
      </c>
    </row>
    <row r="316" spans="1:36" x14ac:dyDescent="0.3">
      <c r="A316" s="15" t="s">
        <v>333</v>
      </c>
      <c r="B316" s="1">
        <f t="shared" si="169"/>
        <v>8</v>
      </c>
      <c r="C316" s="1">
        <f t="shared" si="170"/>
        <v>9</v>
      </c>
      <c r="D316" s="10" t="str">
        <f t="shared" si="171"/>
        <v>1</v>
      </c>
      <c r="E316" s="1">
        <f t="shared" si="172"/>
        <v>11</v>
      </c>
      <c r="F316" s="1">
        <f t="shared" si="173"/>
        <v>48</v>
      </c>
      <c r="G316" s="1">
        <f t="shared" si="174"/>
        <v>32</v>
      </c>
      <c r="H316" s="1">
        <f t="shared" si="187"/>
        <v>32</v>
      </c>
      <c r="I316" s="10" t="str">
        <f t="shared" si="175"/>
        <v>UpACE_TH2_MID_VAL_PT0</v>
      </c>
      <c r="J316" s="1">
        <f t="shared" si="188"/>
        <v>0</v>
      </c>
      <c r="K316" s="1">
        <f t="shared" si="189"/>
        <v>0</v>
      </c>
      <c r="L316" s="1" t="str">
        <f t="shared" si="190"/>
        <v>0</v>
      </c>
      <c r="M316" s="10">
        <f t="shared" si="191"/>
        <v>0</v>
      </c>
      <c r="N316" s="1">
        <f t="shared" si="179"/>
        <v>35</v>
      </c>
      <c r="O316" s="1">
        <f t="shared" si="164"/>
        <v>0</v>
      </c>
      <c r="P316" s="1">
        <f t="shared" si="192"/>
        <v>148</v>
      </c>
      <c r="Q316" s="3" t="str">
        <f t="shared" si="155"/>
        <v xml:space="preserve"> When ACE-MID, Value to be applied to TH2 Area corresponding to interlocking point 0 (Apply to TH2[Bright Area]) </v>
      </c>
      <c r="R316" s="11">
        <f>IF(M316&gt;0,M316,D315+R315)</f>
        <v>609</v>
      </c>
      <c r="T316" s="13" t="str">
        <f>IF(A316="",IF(A315="","",$T$1),IF(O316=1,"#",IF(B316=0,"*",DEC2HEX(R316))))</f>
        <v>261</v>
      </c>
      <c r="U316" s="14" t="str">
        <f>IF(A316="",IF(A315="","",$U$1),  IF(B316=0,Q316,I316)  )</f>
        <v>UpACE_TH2_MID_VAL_PT0</v>
      </c>
      <c r="V316" s="13" t="str">
        <f>IF(U316=$U$1,"",IF(A316="",IF(A315="","",1),  IF(B316=0,1,D316)  ))</f>
        <v>1</v>
      </c>
      <c r="W316" s="13">
        <f>IF(U316=$U$1,"",IF(A316="",IF(A315="","",0),  IF(C316=0,0,0)  ))</f>
        <v>0</v>
      </c>
      <c r="X316" s="14" t="str">
        <f t="shared" si="227"/>
        <v xml:space="preserve"> When ACE-MID, Value to be applied to TH2 Area corresponding to interlocking point 0 (Apply to TH2[Bright Area]) </v>
      </c>
    </row>
    <row r="317" spans="1:36" x14ac:dyDescent="0.3">
      <c r="A317" s="15" t="s">
        <v>334</v>
      </c>
      <c r="B317" s="1">
        <f t="shared" si="169"/>
        <v>8</v>
      </c>
      <c r="C317" s="1">
        <f t="shared" si="170"/>
        <v>9</v>
      </c>
      <c r="D317" s="10" t="str">
        <f t="shared" si="171"/>
        <v>1</v>
      </c>
      <c r="E317" s="1">
        <f t="shared" si="172"/>
        <v>11</v>
      </c>
      <c r="F317" s="1">
        <f t="shared" si="173"/>
        <v>50</v>
      </c>
      <c r="G317" s="1">
        <f t="shared" si="174"/>
        <v>33</v>
      </c>
      <c r="H317" s="1">
        <f t="shared" si="187"/>
        <v>33</v>
      </c>
      <c r="I317" s="10" t="str">
        <f t="shared" si="175"/>
        <v>UpACE_TH2_HIGH_VAL_PT0</v>
      </c>
      <c r="J317" s="1">
        <f t="shared" si="188"/>
        <v>0</v>
      </c>
      <c r="K317" s="1">
        <f t="shared" si="189"/>
        <v>0</v>
      </c>
      <c r="L317" s="1" t="str">
        <f t="shared" si="190"/>
        <v>0</v>
      </c>
      <c r="M317" s="10">
        <f t="shared" si="191"/>
        <v>0</v>
      </c>
      <c r="N317" s="1">
        <f t="shared" si="179"/>
        <v>36</v>
      </c>
      <c r="O317" s="1">
        <f t="shared" si="164"/>
        <v>0</v>
      </c>
      <c r="P317" s="1">
        <f t="shared" si="192"/>
        <v>150</v>
      </c>
      <c r="Q317" s="3" t="str">
        <f t="shared" si="155"/>
        <v xml:space="preserve"> When ACE-HIGH, Value to be applied to TH2 Area corresponding to interlocking point 0 (Apply to TH2[Bright Area]) </v>
      </c>
      <c r="R317" s="11">
        <f>IF(M317&gt;0,M317,D316+R316)</f>
        <v>610</v>
      </c>
      <c r="T317" s="13" t="str">
        <f>IF(A317="",IF(A316="","",$T$1),IF(O317=1,"#",IF(B317=0,"*",DEC2HEX(R317))))</f>
        <v>262</v>
      </c>
      <c r="U317" s="14" t="str">
        <f>IF(A317="",IF(A316="","",$U$1),  IF(B317=0,Q317,I317)  )</f>
        <v>UpACE_TH2_HIGH_VAL_PT0</v>
      </c>
      <c r="V317" s="13" t="str">
        <f>IF(U317=$U$1,"",IF(A317="",IF(A316="","",1),  IF(B317=0,1,D317)  ))</f>
        <v>1</v>
      </c>
      <c r="W317" s="13">
        <f>IF(U317=$U$1,"",IF(A317="",IF(A316="","",0),  IF(C317=0,0,0)  ))</f>
        <v>0</v>
      </c>
      <c r="X317" s="14" t="str">
        <f t="shared" si="227"/>
        <v xml:space="preserve"> When ACE-HIGH, Value to be applied to TH2 Area corresponding to interlocking point 0 (Apply to TH2[Bright Area]) </v>
      </c>
    </row>
    <row r="318" spans="1:36" x14ac:dyDescent="0.3">
      <c r="A318" s="15" t="s">
        <v>172</v>
      </c>
      <c r="B318" s="1">
        <f t="shared" si="169"/>
        <v>0</v>
      </c>
      <c r="C318" s="1">
        <f t="shared" si="170"/>
        <v>0</v>
      </c>
      <c r="D318" s="10">
        <f t="shared" si="171"/>
        <v>0</v>
      </c>
      <c r="E318" s="1">
        <f t="shared" si="172"/>
        <v>0</v>
      </c>
      <c r="F318" s="1">
        <f t="shared" si="173"/>
        <v>0</v>
      </c>
      <c r="G318" s="1">
        <f t="shared" si="174"/>
        <v>0</v>
      </c>
      <c r="H318" s="1">
        <f t="shared" si="187"/>
        <v>0</v>
      </c>
      <c r="I318" s="10">
        <f t="shared" si="175"/>
        <v>0</v>
      </c>
      <c r="J318" s="1">
        <f t="shared" si="188"/>
        <v>0</v>
      </c>
      <c r="K318" s="1">
        <f t="shared" si="189"/>
        <v>0</v>
      </c>
      <c r="L318" s="1" t="str">
        <f t="shared" si="190"/>
        <v>0</v>
      </c>
      <c r="M318" s="10">
        <f t="shared" si="191"/>
        <v>0</v>
      </c>
      <c r="N318" s="1">
        <f t="shared" si="179"/>
        <v>3</v>
      </c>
      <c r="O318" s="1">
        <f t="shared" si="164"/>
        <v>1</v>
      </c>
      <c r="P318" s="1">
        <f t="shared" si="192"/>
        <v>11</v>
      </c>
      <c r="Q318" s="3" t="str">
        <f t="shared" si="155"/>
        <v>ACE_PT1</v>
      </c>
      <c r="R318" s="11">
        <f t="shared" si="193"/>
        <v>611</v>
      </c>
      <c r="T318" s="13" t="str">
        <f t="shared" si="166"/>
        <v>#</v>
      </c>
      <c r="U318" s="14" t="str">
        <f t="shared" si="224"/>
        <v>ACE_PT1</v>
      </c>
      <c r="V318" s="13">
        <f t="shared" si="225"/>
        <v>1</v>
      </c>
      <c r="W318" s="13">
        <f t="shared" si="226"/>
        <v>0</v>
      </c>
      <c r="X318" s="14" t="str">
        <f t="shared" si="227"/>
        <v>-</v>
      </c>
    </row>
    <row r="319" spans="1:36" x14ac:dyDescent="0.3">
      <c r="A319" s="15" t="s">
        <v>335</v>
      </c>
      <c r="B319" s="1">
        <f t="shared" si="169"/>
        <v>8</v>
      </c>
      <c r="C319" s="1">
        <f t="shared" si="170"/>
        <v>9</v>
      </c>
      <c r="D319" s="10" t="str">
        <f t="shared" si="171"/>
        <v>1</v>
      </c>
      <c r="E319" s="1">
        <f t="shared" si="172"/>
        <v>11</v>
      </c>
      <c r="F319" s="1">
        <f t="shared" si="173"/>
        <v>48</v>
      </c>
      <c r="G319" s="1">
        <f t="shared" si="174"/>
        <v>32</v>
      </c>
      <c r="H319" s="1">
        <f t="shared" si="187"/>
        <v>32</v>
      </c>
      <c r="I319" s="10" t="str">
        <f t="shared" si="175"/>
        <v>UpACE_TH1_LOW_VAL_PT1</v>
      </c>
      <c r="J319" s="1">
        <f t="shared" si="188"/>
        <v>0</v>
      </c>
      <c r="K319" s="1">
        <f t="shared" si="189"/>
        <v>0</v>
      </c>
      <c r="L319" s="1" t="str">
        <f t="shared" si="190"/>
        <v>0</v>
      </c>
      <c r="M319" s="10">
        <f t="shared" si="191"/>
        <v>0</v>
      </c>
      <c r="N319" s="1">
        <f t="shared" si="179"/>
        <v>35</v>
      </c>
      <c r="O319" s="1">
        <f t="shared" si="164"/>
        <v>0</v>
      </c>
      <c r="P319" s="1">
        <f t="shared" si="192"/>
        <v>146</v>
      </c>
      <c r="Q319" s="3" t="str">
        <f t="shared" si="155"/>
        <v xml:space="preserve"> When ACE-LOW, Value to be applied to TH1 Area corresponding to interlocking point 1 (Apply to TH1[Dark Area]) </v>
      </c>
      <c r="R319" s="11">
        <f t="shared" si="193"/>
        <v>611</v>
      </c>
      <c r="T319" s="13" t="str">
        <f t="shared" si="166"/>
        <v>263</v>
      </c>
      <c r="U319" s="14" t="str">
        <f t="shared" si="224"/>
        <v>UpACE_TH1_LOW_VAL_PT1</v>
      </c>
      <c r="V319" s="13" t="str">
        <f t="shared" si="225"/>
        <v>1</v>
      </c>
      <c r="W319" s="13">
        <f t="shared" si="226"/>
        <v>0</v>
      </c>
      <c r="X319" s="14" t="str">
        <f t="shared" si="227"/>
        <v xml:space="preserve"> When ACE-LOW, Value to be applied to TH1 Area corresponding to interlocking point 1 (Apply to TH1[Dark Area]) </v>
      </c>
    </row>
    <row r="320" spans="1:36" x14ac:dyDescent="0.3">
      <c r="A320" s="15" t="s">
        <v>336</v>
      </c>
      <c r="B320" s="1">
        <f t="shared" si="169"/>
        <v>8</v>
      </c>
      <c r="C320" s="1">
        <f t="shared" si="170"/>
        <v>9</v>
      </c>
      <c r="D320" s="10" t="str">
        <f t="shared" si="171"/>
        <v>1</v>
      </c>
      <c r="E320" s="1">
        <f t="shared" si="172"/>
        <v>11</v>
      </c>
      <c r="F320" s="1">
        <f t="shared" si="173"/>
        <v>48</v>
      </c>
      <c r="G320" s="1">
        <f t="shared" si="174"/>
        <v>32</v>
      </c>
      <c r="H320" s="1">
        <f t="shared" si="187"/>
        <v>32</v>
      </c>
      <c r="I320" s="10" t="str">
        <f t="shared" si="175"/>
        <v>UpACE_TH1_MID_VAL_PT1</v>
      </c>
      <c r="J320" s="1">
        <f t="shared" si="188"/>
        <v>0</v>
      </c>
      <c r="K320" s="1">
        <f t="shared" si="189"/>
        <v>0</v>
      </c>
      <c r="L320" s="1" t="str">
        <f t="shared" si="190"/>
        <v>0</v>
      </c>
      <c r="M320" s="10">
        <f t="shared" si="191"/>
        <v>0</v>
      </c>
      <c r="N320" s="1">
        <f t="shared" si="179"/>
        <v>35</v>
      </c>
      <c r="O320" s="1">
        <f t="shared" si="164"/>
        <v>0</v>
      </c>
      <c r="P320" s="1">
        <f t="shared" si="192"/>
        <v>146</v>
      </c>
      <c r="Q320" s="3" t="str">
        <f t="shared" si="155"/>
        <v xml:space="preserve"> When ACE-MID, Value to be applied to TH1 Area corresponding to interlocking point 1 (Apply to TH1[Dark Area]) </v>
      </c>
      <c r="R320" s="11">
        <f t="shared" si="193"/>
        <v>612</v>
      </c>
      <c r="T320" s="13" t="str">
        <f t="shared" si="166"/>
        <v>264</v>
      </c>
      <c r="U320" s="14" t="str">
        <f t="shared" si="224"/>
        <v>UpACE_TH1_MID_VAL_PT1</v>
      </c>
      <c r="V320" s="13" t="str">
        <f t="shared" si="225"/>
        <v>1</v>
      </c>
      <c r="W320" s="13">
        <f t="shared" si="226"/>
        <v>0</v>
      </c>
      <c r="X320" s="14" t="str">
        <f t="shared" si="227"/>
        <v xml:space="preserve"> When ACE-MID, Value to be applied to TH1 Area corresponding to interlocking point 1 (Apply to TH1[Dark Area]) </v>
      </c>
    </row>
    <row r="321" spans="1:24" x14ac:dyDescent="0.3">
      <c r="A321" s="15" t="s">
        <v>337</v>
      </c>
      <c r="B321" s="1">
        <f t="shared" si="169"/>
        <v>8</v>
      </c>
      <c r="C321" s="1">
        <f t="shared" si="170"/>
        <v>9</v>
      </c>
      <c r="D321" s="10" t="str">
        <f t="shared" si="171"/>
        <v>1</v>
      </c>
      <c r="E321" s="1">
        <f t="shared" si="172"/>
        <v>11</v>
      </c>
      <c r="F321" s="1">
        <f t="shared" si="173"/>
        <v>50</v>
      </c>
      <c r="G321" s="1">
        <f t="shared" si="174"/>
        <v>33</v>
      </c>
      <c r="H321" s="1">
        <f t="shared" si="187"/>
        <v>33</v>
      </c>
      <c r="I321" s="10" t="str">
        <f t="shared" si="175"/>
        <v>UpACE_TH1_HIGH_VAL_PT1</v>
      </c>
      <c r="J321" s="1">
        <f t="shared" si="188"/>
        <v>0</v>
      </c>
      <c r="K321" s="1">
        <f t="shared" si="189"/>
        <v>0</v>
      </c>
      <c r="L321" s="1" t="str">
        <f t="shared" si="190"/>
        <v>0</v>
      </c>
      <c r="M321" s="10">
        <f t="shared" si="191"/>
        <v>0</v>
      </c>
      <c r="N321" s="1">
        <f t="shared" si="179"/>
        <v>36</v>
      </c>
      <c r="O321" s="1">
        <f t="shared" si="164"/>
        <v>0</v>
      </c>
      <c r="P321" s="1">
        <f t="shared" si="192"/>
        <v>148</v>
      </c>
      <c r="Q321" s="3" t="str">
        <f t="shared" si="155"/>
        <v xml:space="preserve"> When ACE-HIGH, Value to be applied to TH1 Area corresponding to interlocking point 1 (Apply to TH1[Dark Area]) </v>
      </c>
      <c r="R321" s="11">
        <f t="shared" si="193"/>
        <v>613</v>
      </c>
      <c r="T321" s="13" t="str">
        <f t="shared" si="166"/>
        <v>265</v>
      </c>
      <c r="U321" s="14" t="str">
        <f t="shared" si="224"/>
        <v>UpACE_TH1_HIGH_VAL_PT1</v>
      </c>
      <c r="V321" s="13" t="str">
        <f t="shared" si="225"/>
        <v>1</v>
      </c>
      <c r="W321" s="13">
        <f t="shared" si="226"/>
        <v>0</v>
      </c>
      <c r="X321" s="14" t="str">
        <f t="shared" si="227"/>
        <v xml:space="preserve"> When ACE-HIGH, Value to be applied to TH1 Area corresponding to interlocking point 1 (Apply to TH1[Dark Area]) </v>
      </c>
    </row>
    <row r="322" spans="1:24" x14ac:dyDescent="0.3">
      <c r="A322" s="15" t="s">
        <v>338</v>
      </c>
      <c r="B322" s="1">
        <f t="shared" si="169"/>
        <v>8</v>
      </c>
      <c r="C322" s="1">
        <f t="shared" si="170"/>
        <v>9</v>
      </c>
      <c r="D322" s="10" t="str">
        <f t="shared" si="171"/>
        <v>1</v>
      </c>
      <c r="E322" s="1">
        <f t="shared" si="172"/>
        <v>11</v>
      </c>
      <c r="F322" s="1">
        <f t="shared" si="173"/>
        <v>48</v>
      </c>
      <c r="G322" s="1">
        <f t="shared" si="174"/>
        <v>32</v>
      </c>
      <c r="H322" s="1">
        <f t="shared" si="187"/>
        <v>32</v>
      </c>
      <c r="I322" s="10" t="str">
        <f t="shared" si="175"/>
        <v>UpACE_TH2_LOW_VAL_PT1</v>
      </c>
      <c r="J322" s="1">
        <f t="shared" si="188"/>
        <v>0</v>
      </c>
      <c r="K322" s="1">
        <f t="shared" si="189"/>
        <v>0</v>
      </c>
      <c r="L322" s="1" t="str">
        <f t="shared" si="190"/>
        <v>0</v>
      </c>
      <c r="M322" s="10">
        <f t="shared" si="191"/>
        <v>0</v>
      </c>
      <c r="N322" s="1">
        <f t="shared" si="179"/>
        <v>35</v>
      </c>
      <c r="O322" s="1">
        <f t="shared" si="164"/>
        <v>0</v>
      </c>
      <c r="P322" s="1">
        <f t="shared" si="192"/>
        <v>148</v>
      </c>
      <c r="Q322" s="3" t="str">
        <f t="shared" si="155"/>
        <v xml:space="preserve"> When ACE-LOW, Value to be applied to TH2 Area corresponding to interlocking point 1 (Apply to TH2[Bright Area]) </v>
      </c>
      <c r="R322" s="11">
        <f t="shared" si="193"/>
        <v>614</v>
      </c>
      <c r="T322" s="13" t="str">
        <f t="shared" si="166"/>
        <v>266</v>
      </c>
      <c r="U322" s="14" t="str">
        <f t="shared" si="224"/>
        <v>UpACE_TH2_LOW_VAL_PT1</v>
      </c>
      <c r="V322" s="13" t="str">
        <f t="shared" si="225"/>
        <v>1</v>
      </c>
      <c r="W322" s="13">
        <f t="shared" si="226"/>
        <v>0</v>
      </c>
      <c r="X322" s="14" t="str">
        <f t="shared" si="227"/>
        <v xml:space="preserve"> When ACE-LOW, Value to be applied to TH2 Area corresponding to interlocking point 1 (Apply to TH2[Bright Area]) </v>
      </c>
    </row>
    <row r="323" spans="1:24" x14ac:dyDescent="0.3">
      <c r="A323" s="15" t="s">
        <v>339</v>
      </c>
      <c r="B323" s="1">
        <f t="shared" si="169"/>
        <v>8</v>
      </c>
      <c r="C323" s="1">
        <f t="shared" si="170"/>
        <v>9</v>
      </c>
      <c r="D323" s="10" t="str">
        <f t="shared" si="171"/>
        <v>1</v>
      </c>
      <c r="E323" s="1">
        <f t="shared" si="172"/>
        <v>11</v>
      </c>
      <c r="F323" s="1">
        <f t="shared" si="173"/>
        <v>48</v>
      </c>
      <c r="G323" s="1">
        <f t="shared" si="174"/>
        <v>32</v>
      </c>
      <c r="H323" s="1">
        <f t="shared" si="187"/>
        <v>32</v>
      </c>
      <c r="I323" s="10" t="str">
        <f t="shared" si="175"/>
        <v>UpACE_TH2_MID_VAL_PT1</v>
      </c>
      <c r="J323" s="1">
        <f t="shared" si="188"/>
        <v>0</v>
      </c>
      <c r="K323" s="1">
        <f t="shared" si="189"/>
        <v>0</v>
      </c>
      <c r="L323" s="1" t="str">
        <f t="shared" si="190"/>
        <v>0</v>
      </c>
      <c r="M323" s="10">
        <f t="shared" si="191"/>
        <v>0</v>
      </c>
      <c r="N323" s="1">
        <f t="shared" si="179"/>
        <v>35</v>
      </c>
      <c r="O323" s="1">
        <f t="shared" si="164"/>
        <v>0</v>
      </c>
      <c r="P323" s="1">
        <f t="shared" si="192"/>
        <v>148</v>
      </c>
      <c r="Q323" s="3" t="str">
        <f t="shared" si="155"/>
        <v xml:space="preserve"> When ACE-MID, Value to be applied to TH2 Area corresponding to interlocking point 1 (Apply to TH2[Bright Area]) </v>
      </c>
      <c r="R323" s="11">
        <f t="shared" si="193"/>
        <v>615</v>
      </c>
      <c r="T323" s="13" t="str">
        <f t="shared" si="166"/>
        <v>267</v>
      </c>
      <c r="U323" s="14" t="str">
        <f t="shared" si="224"/>
        <v>UpACE_TH2_MID_VAL_PT1</v>
      </c>
      <c r="V323" s="13" t="str">
        <f t="shared" si="225"/>
        <v>1</v>
      </c>
      <c r="W323" s="13">
        <f t="shared" si="226"/>
        <v>0</v>
      </c>
      <c r="X323" s="14" t="str">
        <f t="shared" si="227"/>
        <v xml:space="preserve"> When ACE-MID, Value to be applied to TH2 Area corresponding to interlocking point 1 (Apply to TH2[Bright Area]) </v>
      </c>
    </row>
    <row r="324" spans="1:24" x14ac:dyDescent="0.3">
      <c r="A324" s="15" t="s">
        <v>340</v>
      </c>
      <c r="B324" s="1">
        <f t="shared" si="169"/>
        <v>8</v>
      </c>
      <c r="C324" s="1">
        <f t="shared" si="170"/>
        <v>9</v>
      </c>
      <c r="D324" s="10" t="str">
        <f t="shared" si="171"/>
        <v>1</v>
      </c>
      <c r="E324" s="1">
        <f t="shared" si="172"/>
        <v>11</v>
      </c>
      <c r="F324" s="1">
        <f t="shared" si="173"/>
        <v>50</v>
      </c>
      <c r="G324" s="1">
        <f t="shared" si="174"/>
        <v>33</v>
      </c>
      <c r="H324" s="1">
        <f t="shared" si="187"/>
        <v>33</v>
      </c>
      <c r="I324" s="10" t="str">
        <f t="shared" si="175"/>
        <v>UpACE_TH2_HIGH_VAL_PT1</v>
      </c>
      <c r="J324" s="1">
        <f t="shared" si="188"/>
        <v>0</v>
      </c>
      <c r="K324" s="1">
        <f t="shared" si="189"/>
        <v>0</v>
      </c>
      <c r="L324" s="1" t="str">
        <f t="shared" si="190"/>
        <v>0</v>
      </c>
      <c r="M324" s="10">
        <f t="shared" si="191"/>
        <v>0</v>
      </c>
      <c r="N324" s="1">
        <f t="shared" si="179"/>
        <v>36</v>
      </c>
      <c r="O324" s="1">
        <f t="shared" si="164"/>
        <v>0</v>
      </c>
      <c r="P324" s="1">
        <f t="shared" si="192"/>
        <v>150</v>
      </c>
      <c r="Q324" s="3" t="str">
        <f t="shared" ref="Q324:Q387" si="228">IF($N324&gt;0,MID($A324,($N324+$O324),$P324-($N324+$O324)),"")</f>
        <v xml:space="preserve"> When ACE-HIGH, Value to be applied to TH2 Area corresponding to interlocking point 1 (Apply to TH2[Bright Area]) </v>
      </c>
      <c r="R324" s="11">
        <f t="shared" si="193"/>
        <v>616</v>
      </c>
      <c r="T324" s="13" t="str">
        <f t="shared" si="166"/>
        <v>268</v>
      </c>
      <c r="U324" s="14" t="str">
        <f t="shared" si="224"/>
        <v>UpACE_TH2_HIGH_VAL_PT1</v>
      </c>
      <c r="V324" s="13" t="str">
        <f t="shared" si="225"/>
        <v>1</v>
      </c>
      <c r="W324" s="13">
        <f t="shared" si="226"/>
        <v>0</v>
      </c>
      <c r="X324" s="14" t="str">
        <f t="shared" si="227"/>
        <v xml:space="preserve"> When ACE-HIGH, Value to be applied to TH2 Area corresponding to interlocking point 1 (Apply to TH2[Bright Area]) </v>
      </c>
    </row>
    <row r="325" spans="1:24" x14ac:dyDescent="0.3">
      <c r="A325" s="15" t="s">
        <v>173</v>
      </c>
      <c r="B325" s="1">
        <f t="shared" si="169"/>
        <v>0</v>
      </c>
      <c r="C325" s="1">
        <f t="shared" si="170"/>
        <v>0</v>
      </c>
      <c r="D325" s="10">
        <f t="shared" si="171"/>
        <v>0</v>
      </c>
      <c r="E325" s="1">
        <f t="shared" si="172"/>
        <v>0</v>
      </c>
      <c r="F325" s="1">
        <f t="shared" si="173"/>
        <v>0</v>
      </c>
      <c r="G325" s="1">
        <f t="shared" si="174"/>
        <v>0</v>
      </c>
      <c r="H325" s="1">
        <f t="shared" si="187"/>
        <v>0</v>
      </c>
      <c r="I325" s="10">
        <f t="shared" si="175"/>
        <v>0</v>
      </c>
      <c r="J325" s="1">
        <f t="shared" si="188"/>
        <v>0</v>
      </c>
      <c r="K325" s="1">
        <f t="shared" si="189"/>
        <v>0</v>
      </c>
      <c r="L325" s="1" t="str">
        <f t="shared" si="190"/>
        <v>0</v>
      </c>
      <c r="M325" s="10">
        <f t="shared" si="191"/>
        <v>0</v>
      </c>
      <c r="N325" s="1">
        <f t="shared" si="179"/>
        <v>3</v>
      </c>
      <c r="O325" s="1">
        <f t="shared" ref="O325:O388" si="229">IFERROR(FIND("#",$A325)+1-N325,0)</f>
        <v>1</v>
      </c>
      <c r="P325" s="1">
        <f t="shared" si="192"/>
        <v>11</v>
      </c>
      <c r="Q325" s="3" t="str">
        <f t="shared" si="228"/>
        <v>ACE_PT2</v>
      </c>
      <c r="R325" s="11">
        <f t="shared" si="193"/>
        <v>617</v>
      </c>
      <c r="T325" s="13" t="str">
        <f t="shared" ref="T325:T338" si="230">IF(A325="",IF(A324="","",$T$1),IF(O325=1,"#",IF(B325=0,"*",DEC2HEX(R325))))</f>
        <v>#</v>
      </c>
      <c r="U325" s="14" t="str">
        <f t="shared" si="224"/>
        <v>ACE_PT2</v>
      </c>
      <c r="V325" s="13">
        <f t="shared" si="225"/>
        <v>1</v>
      </c>
      <c r="W325" s="13">
        <f t="shared" si="226"/>
        <v>0</v>
      </c>
      <c r="X325" s="14" t="str">
        <f t="shared" si="227"/>
        <v>-</v>
      </c>
    </row>
    <row r="326" spans="1:24" x14ac:dyDescent="0.3">
      <c r="A326" s="15" t="s">
        <v>341</v>
      </c>
      <c r="B326" s="1">
        <f t="shared" si="169"/>
        <v>8</v>
      </c>
      <c r="C326" s="1">
        <f t="shared" si="170"/>
        <v>9</v>
      </c>
      <c r="D326" s="10" t="str">
        <f t="shared" si="171"/>
        <v>1</v>
      </c>
      <c r="E326" s="1">
        <f t="shared" si="172"/>
        <v>11</v>
      </c>
      <c r="F326" s="1">
        <f t="shared" si="173"/>
        <v>0</v>
      </c>
      <c r="G326" s="1">
        <f t="shared" si="174"/>
        <v>28</v>
      </c>
      <c r="H326" s="1">
        <f t="shared" si="187"/>
        <v>28</v>
      </c>
      <c r="I326" s="10" t="str">
        <f t="shared" si="175"/>
        <v>UpACE_TH1_VAL_PT2</v>
      </c>
      <c r="J326" s="1">
        <f t="shared" si="188"/>
        <v>0</v>
      </c>
      <c r="K326" s="1">
        <f t="shared" si="189"/>
        <v>0</v>
      </c>
      <c r="L326" s="1" t="str">
        <f t="shared" si="190"/>
        <v>0</v>
      </c>
      <c r="M326" s="10">
        <f t="shared" si="191"/>
        <v>0</v>
      </c>
      <c r="N326" s="1">
        <f t="shared" si="179"/>
        <v>31</v>
      </c>
      <c r="O326" s="1">
        <f t="shared" si="229"/>
        <v>0</v>
      </c>
      <c r="P326" s="1">
        <f t="shared" si="192"/>
        <v>128</v>
      </c>
      <c r="Q326" s="3" t="str">
        <f t="shared" si="228"/>
        <v xml:space="preserve"> Value to be applied to TH1 Area corresponding to interlocking point 2 (Apply to TH1[Dark Area]) </v>
      </c>
      <c r="R326" s="11">
        <f t="shared" si="193"/>
        <v>617</v>
      </c>
      <c r="T326" s="13" t="str">
        <f t="shared" si="230"/>
        <v>269</v>
      </c>
      <c r="U326" s="14" t="str">
        <f t="shared" si="224"/>
        <v>UpACE_TH1_VAL_PT2</v>
      </c>
      <c r="V326" s="13" t="str">
        <f t="shared" si="225"/>
        <v>1</v>
      </c>
      <c r="W326" s="13">
        <f t="shared" si="226"/>
        <v>0</v>
      </c>
      <c r="X326" s="14" t="str">
        <f t="shared" si="227"/>
        <v xml:space="preserve"> Value to be applied to TH1 Area corresponding to interlocking point 2 (Apply to TH1[Dark Area]) </v>
      </c>
    </row>
    <row r="327" spans="1:24" x14ac:dyDescent="0.3">
      <c r="A327" s="15" t="s">
        <v>342</v>
      </c>
      <c r="B327" s="1">
        <f t="shared" ref="B327:B390" si="231">IFERROR(FIND("UP_SET(",$A327)+7,0)</f>
        <v>8</v>
      </c>
      <c r="C327" s="1">
        <f t="shared" ref="C327:C390" si="232">IF($B327&gt;0,FIND(",",$A327,$B327),0)</f>
        <v>9</v>
      </c>
      <c r="D327" s="10" t="str">
        <f t="shared" ref="D327:D390" si="233">IF($B327&gt;0,MID($A327,$B327,$C327-$B327),0)</f>
        <v>1</v>
      </c>
      <c r="E327" s="1">
        <f t="shared" ref="E327:E390" si="234">IF($B327&gt;0,FIND("Up",$A327,$C327),0)</f>
        <v>11</v>
      </c>
      <c r="F327" s="1">
        <f t="shared" ref="F327:F390" si="235">IF($B327&gt;0,IFERROR(FIND(",",$A327,$E327),0),0)</f>
        <v>0</v>
      </c>
      <c r="G327" s="1">
        <f t="shared" ref="G327:G390" si="236">IF($B327&gt;0,FIND(")",$A327,$B327),0)</f>
        <v>28</v>
      </c>
      <c r="H327" s="1">
        <f t="shared" si="187"/>
        <v>28</v>
      </c>
      <c r="I327" s="10" t="str">
        <f t="shared" ref="I327:I390" si="237">IF($B327&gt;0,MID($A327,$E327,$H327-$E327),0)</f>
        <v>UpACE_TH2_VAL_PT2</v>
      </c>
      <c r="J327" s="1">
        <f t="shared" si="188"/>
        <v>0</v>
      </c>
      <c r="K327" s="1">
        <f t="shared" si="189"/>
        <v>0</v>
      </c>
      <c r="L327" s="1" t="str">
        <f t="shared" si="190"/>
        <v>0</v>
      </c>
      <c r="M327" s="10">
        <f t="shared" si="191"/>
        <v>0</v>
      </c>
      <c r="N327" s="1">
        <f t="shared" ref="N327:N390" si="238">IFERROR(FIND("/*",$A327)+2,0)</f>
        <v>31</v>
      </c>
      <c r="O327" s="1">
        <f t="shared" si="229"/>
        <v>0</v>
      </c>
      <c r="P327" s="1">
        <f t="shared" si="192"/>
        <v>130</v>
      </c>
      <c r="Q327" s="3" t="str">
        <f t="shared" si="228"/>
        <v xml:space="preserve"> Value to be applied to TH2 Area corresponding to interlocking point 2 (Apply to TH2[Bright Area]) </v>
      </c>
      <c r="R327" s="11">
        <f t="shared" si="193"/>
        <v>618</v>
      </c>
      <c r="T327" s="13" t="str">
        <f t="shared" si="230"/>
        <v>26A</v>
      </c>
      <c r="U327" s="14" t="str">
        <f t="shared" si="224"/>
        <v>UpACE_TH2_VAL_PT2</v>
      </c>
      <c r="V327" s="13" t="str">
        <f t="shared" si="225"/>
        <v>1</v>
      </c>
      <c r="W327" s="13">
        <f t="shared" si="226"/>
        <v>0</v>
      </c>
      <c r="X327" s="14" t="str">
        <f t="shared" si="227"/>
        <v xml:space="preserve"> Value to be applied to TH2 Area corresponding to interlocking point 2 (Apply to TH2[Bright Area]) </v>
      </c>
    </row>
    <row r="328" spans="1:24" x14ac:dyDescent="0.3">
      <c r="A328" s="15" t="s">
        <v>174</v>
      </c>
      <c r="B328" s="1">
        <f t="shared" si="231"/>
        <v>0</v>
      </c>
      <c r="C328" s="1">
        <f t="shared" si="232"/>
        <v>0</v>
      </c>
      <c r="D328" s="10">
        <f t="shared" si="233"/>
        <v>0</v>
      </c>
      <c r="E328" s="1">
        <f t="shared" si="234"/>
        <v>0</v>
      </c>
      <c r="F328" s="1">
        <f t="shared" si="235"/>
        <v>0</v>
      </c>
      <c r="G328" s="1">
        <f t="shared" si="236"/>
        <v>0</v>
      </c>
      <c r="H328" s="1">
        <f t="shared" si="187"/>
        <v>0</v>
      </c>
      <c r="I328" s="10">
        <f t="shared" si="237"/>
        <v>0</v>
      </c>
      <c r="J328" s="1">
        <f t="shared" si="188"/>
        <v>0</v>
      </c>
      <c r="K328" s="1">
        <f t="shared" si="189"/>
        <v>0</v>
      </c>
      <c r="L328" s="1" t="str">
        <f t="shared" si="190"/>
        <v>0</v>
      </c>
      <c r="M328" s="10">
        <f t="shared" si="191"/>
        <v>0</v>
      </c>
      <c r="N328" s="1">
        <f t="shared" si="238"/>
        <v>3</v>
      </c>
      <c r="O328" s="1">
        <f t="shared" si="229"/>
        <v>1</v>
      </c>
      <c r="P328" s="1">
        <f t="shared" si="192"/>
        <v>12</v>
      </c>
      <c r="Q328" s="3" t="str">
        <f t="shared" si="228"/>
        <v>ACE_GMGN</v>
      </c>
      <c r="R328" s="11">
        <f t="shared" si="193"/>
        <v>619</v>
      </c>
      <c r="T328" s="13" t="str">
        <f t="shared" si="230"/>
        <v>#</v>
      </c>
      <c r="U328" s="14" t="str">
        <f t="shared" si="224"/>
        <v>ACE_GMGN</v>
      </c>
      <c r="V328" s="13">
        <f t="shared" si="225"/>
        <v>1</v>
      </c>
      <c r="W328" s="13">
        <f t="shared" si="226"/>
        <v>0</v>
      </c>
      <c r="X328" s="14" t="str">
        <f t="shared" si="227"/>
        <v>-</v>
      </c>
    </row>
    <row r="329" spans="1:24" x14ac:dyDescent="0.3">
      <c r="A329" s="15" t="s">
        <v>343</v>
      </c>
      <c r="B329" s="1">
        <f t="shared" si="231"/>
        <v>8</v>
      </c>
      <c r="C329" s="1">
        <f t="shared" si="232"/>
        <v>9</v>
      </c>
      <c r="D329" s="10" t="str">
        <f t="shared" si="233"/>
        <v>1</v>
      </c>
      <c r="E329" s="1">
        <f t="shared" si="234"/>
        <v>11</v>
      </c>
      <c r="F329" s="1">
        <f t="shared" si="235"/>
        <v>0</v>
      </c>
      <c r="G329" s="1">
        <f t="shared" si="236"/>
        <v>29</v>
      </c>
      <c r="H329" s="1">
        <f t="shared" si="187"/>
        <v>29</v>
      </c>
      <c r="I329" s="10" t="str">
        <f t="shared" si="237"/>
        <v>UpACE_GMGN_VAL_PT0</v>
      </c>
      <c r="J329" s="1">
        <f t="shared" si="188"/>
        <v>0</v>
      </c>
      <c r="K329" s="1">
        <f t="shared" si="189"/>
        <v>0</v>
      </c>
      <c r="L329" s="1" t="str">
        <f t="shared" si="190"/>
        <v>0</v>
      </c>
      <c r="M329" s="10">
        <f t="shared" si="191"/>
        <v>0</v>
      </c>
      <c r="N329" s="1">
        <f t="shared" si="238"/>
        <v>32</v>
      </c>
      <c r="O329" s="1">
        <f t="shared" si="229"/>
        <v>0</v>
      </c>
      <c r="P329" s="1">
        <f t="shared" si="192"/>
        <v>77</v>
      </c>
      <c r="Q329" s="3" t="str">
        <f t="shared" si="228"/>
        <v xml:space="preserve"> Gamma corresponding to interlocking point 0 </v>
      </c>
      <c r="R329" s="11">
        <f t="shared" si="193"/>
        <v>619</v>
      </c>
      <c r="T329" s="13" t="str">
        <f t="shared" si="230"/>
        <v>26B</v>
      </c>
      <c r="U329" s="14" t="str">
        <f t="shared" si="224"/>
        <v>UpACE_GMGN_VAL_PT0</v>
      </c>
      <c r="V329" s="13" t="str">
        <f t="shared" si="225"/>
        <v>1</v>
      </c>
      <c r="W329" s="13">
        <f t="shared" si="226"/>
        <v>0</v>
      </c>
      <c r="X329" s="14" t="str">
        <f t="shared" si="227"/>
        <v xml:space="preserve"> Gamma corresponding to interlocking point 0 </v>
      </c>
    </row>
    <row r="330" spans="1:24" x14ac:dyDescent="0.3">
      <c r="A330" s="15" t="s">
        <v>344</v>
      </c>
      <c r="B330" s="1">
        <f t="shared" si="231"/>
        <v>8</v>
      </c>
      <c r="C330" s="1">
        <f t="shared" si="232"/>
        <v>9</v>
      </c>
      <c r="D330" s="10" t="str">
        <f t="shared" si="233"/>
        <v>1</v>
      </c>
      <c r="E330" s="1">
        <f t="shared" si="234"/>
        <v>11</v>
      </c>
      <c r="F330" s="1">
        <f t="shared" si="235"/>
        <v>0</v>
      </c>
      <c r="G330" s="1">
        <f t="shared" si="236"/>
        <v>29</v>
      </c>
      <c r="H330" s="1">
        <f t="shared" si="187"/>
        <v>29</v>
      </c>
      <c r="I330" s="10" t="str">
        <f t="shared" si="237"/>
        <v>UpACE_GMGN_VAL_PT1</v>
      </c>
      <c r="J330" s="1">
        <f t="shared" si="188"/>
        <v>0</v>
      </c>
      <c r="K330" s="1">
        <f t="shared" si="189"/>
        <v>0</v>
      </c>
      <c r="L330" s="1" t="str">
        <f t="shared" si="190"/>
        <v>0</v>
      </c>
      <c r="M330" s="10">
        <f t="shared" si="191"/>
        <v>0</v>
      </c>
      <c r="N330" s="1">
        <f t="shared" si="238"/>
        <v>32</v>
      </c>
      <c r="O330" s="1">
        <f t="shared" si="229"/>
        <v>0</v>
      </c>
      <c r="P330" s="1">
        <f t="shared" si="192"/>
        <v>77</v>
      </c>
      <c r="Q330" s="3" t="str">
        <f t="shared" si="228"/>
        <v xml:space="preserve"> Gamma corresponding to interlocking point 1 </v>
      </c>
      <c r="R330" s="11">
        <f t="shared" si="193"/>
        <v>620</v>
      </c>
      <c r="T330" s="13" t="str">
        <f t="shared" si="230"/>
        <v>26C</v>
      </c>
      <c r="U330" s="14" t="str">
        <f t="shared" si="224"/>
        <v>UpACE_GMGN_VAL_PT1</v>
      </c>
      <c r="V330" s="13" t="str">
        <f t="shared" si="225"/>
        <v>1</v>
      </c>
      <c r="W330" s="13">
        <f t="shared" si="226"/>
        <v>0</v>
      </c>
      <c r="X330" s="14" t="str">
        <f t="shared" si="227"/>
        <v xml:space="preserve"> Gamma corresponding to interlocking point 1 </v>
      </c>
    </row>
    <row r="331" spans="1:24" x14ac:dyDescent="0.3">
      <c r="A331" s="15" t="s">
        <v>345</v>
      </c>
      <c r="B331" s="1">
        <f t="shared" si="231"/>
        <v>8</v>
      </c>
      <c r="C331" s="1">
        <f t="shared" si="232"/>
        <v>9</v>
      </c>
      <c r="D331" s="10" t="str">
        <f t="shared" si="233"/>
        <v>1</v>
      </c>
      <c r="E331" s="1">
        <f t="shared" si="234"/>
        <v>11</v>
      </c>
      <c r="F331" s="1">
        <f t="shared" si="235"/>
        <v>0</v>
      </c>
      <c r="G331" s="1">
        <f t="shared" si="236"/>
        <v>29</v>
      </c>
      <c r="H331" s="1">
        <f t="shared" si="187"/>
        <v>29</v>
      </c>
      <c r="I331" s="10" t="str">
        <f t="shared" si="237"/>
        <v>UpACE_GMGN_VAL_PT2</v>
      </c>
      <c r="J331" s="1">
        <f t="shared" si="188"/>
        <v>0</v>
      </c>
      <c r="K331" s="1">
        <f t="shared" si="189"/>
        <v>0</v>
      </c>
      <c r="L331" s="1" t="str">
        <f t="shared" si="190"/>
        <v>0</v>
      </c>
      <c r="M331" s="10">
        <f t="shared" si="191"/>
        <v>0</v>
      </c>
      <c r="N331" s="1">
        <f t="shared" si="238"/>
        <v>32</v>
      </c>
      <c r="O331" s="1">
        <f t="shared" si="229"/>
        <v>0</v>
      </c>
      <c r="P331" s="1">
        <f t="shared" si="192"/>
        <v>77</v>
      </c>
      <c r="Q331" s="3" t="str">
        <f t="shared" si="228"/>
        <v xml:space="preserve"> Gamma corresponding to interlocking point 2 </v>
      </c>
      <c r="R331" s="11">
        <f t="shared" si="193"/>
        <v>621</v>
      </c>
      <c r="T331" s="13" t="str">
        <f t="shared" si="230"/>
        <v>26D</v>
      </c>
      <c r="U331" s="14" t="str">
        <f t="shared" si="224"/>
        <v>UpACE_GMGN_VAL_PT2</v>
      </c>
      <c r="V331" s="13" t="str">
        <f t="shared" si="225"/>
        <v>1</v>
      </c>
      <c r="W331" s="13">
        <f t="shared" si="226"/>
        <v>0</v>
      </c>
      <c r="X331" s="14" t="str">
        <f t="shared" si="227"/>
        <v xml:space="preserve"> Gamma corresponding to interlocking point 2 </v>
      </c>
    </row>
    <row r="332" spans="1:24" x14ac:dyDescent="0.3">
      <c r="A332" s="15" t="s">
        <v>175</v>
      </c>
      <c r="B332" s="1">
        <f t="shared" si="231"/>
        <v>0</v>
      </c>
      <c r="C332" s="1">
        <f t="shared" si="232"/>
        <v>0</v>
      </c>
      <c r="D332" s="10">
        <f t="shared" si="233"/>
        <v>0</v>
      </c>
      <c r="E332" s="1">
        <f t="shared" si="234"/>
        <v>0</v>
      </c>
      <c r="F332" s="1">
        <f t="shared" si="235"/>
        <v>0</v>
      </c>
      <c r="G332" s="1">
        <f t="shared" si="236"/>
        <v>0</v>
      </c>
      <c r="H332" s="1">
        <f t="shared" si="187"/>
        <v>0</v>
      </c>
      <c r="I332" s="10">
        <f t="shared" si="237"/>
        <v>0</v>
      </c>
      <c r="J332" s="1">
        <f t="shared" si="188"/>
        <v>0</v>
      </c>
      <c r="K332" s="1">
        <f t="shared" si="189"/>
        <v>0</v>
      </c>
      <c r="L332" s="1" t="str">
        <f t="shared" si="190"/>
        <v>0</v>
      </c>
      <c r="M332" s="10">
        <f t="shared" si="191"/>
        <v>0</v>
      </c>
      <c r="N332" s="1">
        <f t="shared" si="238"/>
        <v>3</v>
      </c>
      <c r="O332" s="1">
        <f t="shared" si="229"/>
        <v>1</v>
      </c>
      <c r="P332" s="1">
        <f t="shared" si="192"/>
        <v>14</v>
      </c>
      <c r="Q332" s="3" t="str">
        <f t="shared" si="228"/>
        <v>ACE_WDR_PT</v>
      </c>
      <c r="R332" s="11">
        <f t="shared" si="193"/>
        <v>622</v>
      </c>
      <c r="T332" s="13" t="str">
        <f t="shared" si="230"/>
        <v>#</v>
      </c>
      <c r="U332" s="14" t="str">
        <f t="shared" si="224"/>
        <v>ACE_WDR_PT</v>
      </c>
      <c r="V332" s="13">
        <f t="shared" si="225"/>
        <v>1</v>
      </c>
      <c r="W332" s="13">
        <f t="shared" si="226"/>
        <v>0</v>
      </c>
      <c r="X332" s="14" t="str">
        <f t="shared" si="227"/>
        <v>-</v>
      </c>
    </row>
    <row r="333" spans="1:24" x14ac:dyDescent="0.3">
      <c r="A333" s="15" t="s">
        <v>346</v>
      </c>
      <c r="B333" s="1">
        <f t="shared" si="231"/>
        <v>8</v>
      </c>
      <c r="C333" s="1">
        <f t="shared" si="232"/>
        <v>9</v>
      </c>
      <c r="D333" s="10" t="str">
        <f t="shared" si="233"/>
        <v>1</v>
      </c>
      <c r="E333" s="1">
        <f t="shared" si="234"/>
        <v>11</v>
      </c>
      <c r="F333" s="1">
        <f t="shared" si="235"/>
        <v>49</v>
      </c>
      <c r="G333" s="1">
        <f t="shared" si="236"/>
        <v>32</v>
      </c>
      <c r="H333" s="1">
        <f t="shared" si="187"/>
        <v>32</v>
      </c>
      <c r="I333" s="10" t="str">
        <f t="shared" si="237"/>
        <v>UpACE_WDR_TH1_VAL_PT0</v>
      </c>
      <c r="J333" s="1">
        <f t="shared" si="188"/>
        <v>0</v>
      </c>
      <c r="K333" s="1">
        <f t="shared" si="189"/>
        <v>0</v>
      </c>
      <c r="L333" s="1" t="str">
        <f t="shared" si="190"/>
        <v>0</v>
      </c>
      <c r="M333" s="10">
        <f t="shared" si="191"/>
        <v>0</v>
      </c>
      <c r="N333" s="1">
        <f t="shared" si="238"/>
        <v>35</v>
      </c>
      <c r="O333" s="1">
        <f t="shared" si="229"/>
        <v>0</v>
      </c>
      <c r="P333" s="1">
        <f t="shared" si="192"/>
        <v>167</v>
      </c>
      <c r="Q333" s="3" t="str">
        <f t="shared" si="228"/>
        <v xml:space="preserve"> When WDR Mode, Value to be applied to TH1 Area corresponding to interlocking point 0 (Apply to TH1[Dark Area])(Range : 0x0 ~ 0xff) </v>
      </c>
      <c r="R333" s="11">
        <f t="shared" si="193"/>
        <v>622</v>
      </c>
      <c r="T333" s="13" t="str">
        <f t="shared" si="230"/>
        <v>26E</v>
      </c>
      <c r="U333" s="14" t="str">
        <f t="shared" si="224"/>
        <v>UpACE_WDR_TH1_VAL_PT0</v>
      </c>
      <c r="V333" s="13" t="str">
        <f t="shared" si="225"/>
        <v>1</v>
      </c>
      <c r="W333" s="13">
        <f t="shared" si="226"/>
        <v>0</v>
      </c>
      <c r="X333" s="14" t="str">
        <f t="shared" si="227"/>
        <v xml:space="preserve"> When WDR Mode, Value to be applied to TH1 Area corresponding to interlocking point 0 (Apply to TH1[Dark Area])(Range : 0x0 ~ 0xff) </v>
      </c>
    </row>
    <row r="334" spans="1:24" x14ac:dyDescent="0.3">
      <c r="A334" s="15" t="s">
        <v>347</v>
      </c>
      <c r="B334" s="1">
        <f t="shared" si="231"/>
        <v>8</v>
      </c>
      <c r="C334" s="1">
        <f t="shared" si="232"/>
        <v>9</v>
      </c>
      <c r="D334" s="10" t="str">
        <f t="shared" si="233"/>
        <v>1</v>
      </c>
      <c r="E334" s="1">
        <f t="shared" si="234"/>
        <v>11</v>
      </c>
      <c r="F334" s="1">
        <f t="shared" si="235"/>
        <v>49</v>
      </c>
      <c r="G334" s="1">
        <f t="shared" si="236"/>
        <v>32</v>
      </c>
      <c r="H334" s="1">
        <f t="shared" si="187"/>
        <v>32</v>
      </c>
      <c r="I334" s="10" t="str">
        <f t="shared" si="237"/>
        <v>UpACE_WDR_TH1_VAL_PT1</v>
      </c>
      <c r="J334" s="1">
        <f t="shared" si="188"/>
        <v>0</v>
      </c>
      <c r="K334" s="1">
        <f t="shared" si="189"/>
        <v>0</v>
      </c>
      <c r="L334" s="1" t="str">
        <f t="shared" si="190"/>
        <v>0</v>
      </c>
      <c r="M334" s="10">
        <f t="shared" si="191"/>
        <v>0</v>
      </c>
      <c r="N334" s="1">
        <f t="shared" si="238"/>
        <v>35</v>
      </c>
      <c r="O334" s="1">
        <f t="shared" si="229"/>
        <v>0</v>
      </c>
      <c r="P334" s="1">
        <f t="shared" si="192"/>
        <v>167</v>
      </c>
      <c r="Q334" s="3" t="str">
        <f t="shared" si="228"/>
        <v xml:space="preserve"> When WDR Mode, Value to be applied to TH1 Area corresponding to interlocking point 1 (Apply to TH1[Dark Area])(Range : 0x0 ~ 0xff) </v>
      </c>
      <c r="R334" s="11">
        <f t="shared" si="193"/>
        <v>623</v>
      </c>
      <c r="T334" s="13" t="str">
        <f t="shared" si="230"/>
        <v>26F</v>
      </c>
      <c r="U334" s="14" t="str">
        <f t="shared" si="224"/>
        <v>UpACE_WDR_TH1_VAL_PT1</v>
      </c>
      <c r="V334" s="13" t="str">
        <f t="shared" si="225"/>
        <v>1</v>
      </c>
      <c r="W334" s="13">
        <f t="shared" si="226"/>
        <v>0</v>
      </c>
      <c r="X334" s="14" t="str">
        <f t="shared" si="227"/>
        <v xml:space="preserve"> When WDR Mode, Value to be applied to TH1 Area corresponding to interlocking point 1 (Apply to TH1[Dark Area])(Range : 0x0 ~ 0xff) </v>
      </c>
    </row>
    <row r="335" spans="1:24" x14ac:dyDescent="0.3">
      <c r="A335" s="15" t="s">
        <v>348</v>
      </c>
      <c r="B335" s="1">
        <f t="shared" si="231"/>
        <v>8</v>
      </c>
      <c r="C335" s="1">
        <f t="shared" si="232"/>
        <v>9</v>
      </c>
      <c r="D335" s="10" t="str">
        <f t="shared" si="233"/>
        <v>1</v>
      </c>
      <c r="E335" s="1">
        <f t="shared" si="234"/>
        <v>11</v>
      </c>
      <c r="F335" s="1">
        <f t="shared" si="235"/>
        <v>49</v>
      </c>
      <c r="G335" s="1">
        <f t="shared" si="236"/>
        <v>32</v>
      </c>
      <c r="H335" s="1">
        <f t="shared" si="187"/>
        <v>32</v>
      </c>
      <c r="I335" s="10" t="str">
        <f t="shared" si="237"/>
        <v>UpACE_WDR_TH1_VAL_PT2</v>
      </c>
      <c r="J335" s="1">
        <f t="shared" si="188"/>
        <v>0</v>
      </c>
      <c r="K335" s="1">
        <f t="shared" si="189"/>
        <v>0</v>
      </c>
      <c r="L335" s="1" t="str">
        <f t="shared" si="190"/>
        <v>0</v>
      </c>
      <c r="M335" s="10">
        <f t="shared" si="191"/>
        <v>0</v>
      </c>
      <c r="N335" s="1">
        <f t="shared" si="238"/>
        <v>35</v>
      </c>
      <c r="O335" s="1">
        <f t="shared" si="229"/>
        <v>0</v>
      </c>
      <c r="P335" s="1">
        <f t="shared" si="192"/>
        <v>167</v>
      </c>
      <c r="Q335" s="3" t="str">
        <f t="shared" si="228"/>
        <v xml:space="preserve"> When WDR Mode, Value to be applied to TH1 Area corresponding to interlocking point 2 (Apply to TH1[Dark Area])(Range : 0x0 ~ 0xff) </v>
      </c>
      <c r="R335" s="11">
        <f t="shared" si="193"/>
        <v>624</v>
      </c>
      <c r="T335" s="13" t="str">
        <f t="shared" si="230"/>
        <v>270</v>
      </c>
      <c r="U335" s="14" t="str">
        <f t="shared" si="224"/>
        <v>UpACE_WDR_TH1_VAL_PT2</v>
      </c>
      <c r="V335" s="13" t="str">
        <f t="shared" si="225"/>
        <v>1</v>
      </c>
      <c r="W335" s="13">
        <f t="shared" si="226"/>
        <v>0</v>
      </c>
      <c r="X335" s="14" t="str">
        <f t="shared" si="227"/>
        <v xml:space="preserve"> When WDR Mode, Value to be applied to TH1 Area corresponding to interlocking point 2 (Apply to TH1[Dark Area])(Range : 0x0 ~ 0xff) </v>
      </c>
    </row>
    <row r="336" spans="1:24" x14ac:dyDescent="0.3">
      <c r="A336" s="15" t="s">
        <v>349</v>
      </c>
      <c r="B336" s="1">
        <f t="shared" si="231"/>
        <v>8</v>
      </c>
      <c r="C336" s="1">
        <f t="shared" si="232"/>
        <v>9</v>
      </c>
      <c r="D336" s="10" t="str">
        <f t="shared" si="233"/>
        <v>1</v>
      </c>
      <c r="E336" s="1">
        <f t="shared" si="234"/>
        <v>11</v>
      </c>
      <c r="F336" s="1">
        <f t="shared" si="235"/>
        <v>49</v>
      </c>
      <c r="G336" s="1">
        <f t="shared" si="236"/>
        <v>32</v>
      </c>
      <c r="H336" s="1">
        <f t="shared" si="187"/>
        <v>32</v>
      </c>
      <c r="I336" s="10" t="str">
        <f t="shared" si="237"/>
        <v>UpACE_WDR_TH2_VAL_PT0</v>
      </c>
      <c r="J336" s="1">
        <f t="shared" si="188"/>
        <v>0</v>
      </c>
      <c r="K336" s="1">
        <f t="shared" si="189"/>
        <v>0</v>
      </c>
      <c r="L336" s="1" t="str">
        <f t="shared" si="190"/>
        <v>0</v>
      </c>
      <c r="M336" s="10">
        <f t="shared" si="191"/>
        <v>0</v>
      </c>
      <c r="N336" s="1">
        <f t="shared" si="238"/>
        <v>35</v>
      </c>
      <c r="O336" s="1">
        <f t="shared" si="229"/>
        <v>0</v>
      </c>
      <c r="P336" s="1">
        <f t="shared" si="192"/>
        <v>169</v>
      </c>
      <c r="Q336" s="3" t="str">
        <f t="shared" si="228"/>
        <v xml:space="preserve"> When WDR Mode, Value to be applied to TH2 Area corresponding to interlocking point 0 (Apply to TH2[Bright Area])(Range : 0x0 ~ 0xff) </v>
      </c>
      <c r="R336" s="11">
        <f t="shared" si="193"/>
        <v>625</v>
      </c>
      <c r="T336" s="13" t="str">
        <f t="shared" si="230"/>
        <v>271</v>
      </c>
      <c r="U336" s="14" t="str">
        <f t="shared" si="224"/>
        <v>UpACE_WDR_TH2_VAL_PT0</v>
      </c>
      <c r="V336" s="13" t="str">
        <f t="shared" si="225"/>
        <v>1</v>
      </c>
      <c r="W336" s="13">
        <f t="shared" si="226"/>
        <v>0</v>
      </c>
      <c r="X336" s="14" t="str">
        <f t="shared" si="227"/>
        <v xml:space="preserve"> When WDR Mode, Value to be applied to TH2 Area corresponding to interlocking point 0 (Apply to TH2[Bright Area])(Range : 0x0 ~ 0xff) </v>
      </c>
    </row>
    <row r="337" spans="1:24" x14ac:dyDescent="0.3">
      <c r="A337" s="15" t="s">
        <v>350</v>
      </c>
      <c r="B337" s="1">
        <f t="shared" si="231"/>
        <v>8</v>
      </c>
      <c r="C337" s="1">
        <f t="shared" si="232"/>
        <v>9</v>
      </c>
      <c r="D337" s="10" t="str">
        <f t="shared" si="233"/>
        <v>1</v>
      </c>
      <c r="E337" s="1">
        <f t="shared" si="234"/>
        <v>11</v>
      </c>
      <c r="F337" s="1">
        <f t="shared" si="235"/>
        <v>49</v>
      </c>
      <c r="G337" s="1">
        <f t="shared" si="236"/>
        <v>32</v>
      </c>
      <c r="H337" s="1">
        <f t="shared" si="187"/>
        <v>32</v>
      </c>
      <c r="I337" s="10" t="str">
        <f t="shared" si="237"/>
        <v>UpACE_WDR_TH2_VAL_PT1</v>
      </c>
      <c r="J337" s="1">
        <f t="shared" si="188"/>
        <v>0</v>
      </c>
      <c r="K337" s="1">
        <f t="shared" si="189"/>
        <v>0</v>
      </c>
      <c r="L337" s="1" t="str">
        <f t="shared" si="190"/>
        <v>0</v>
      </c>
      <c r="M337" s="10">
        <f t="shared" si="191"/>
        <v>0</v>
      </c>
      <c r="N337" s="1">
        <f t="shared" si="238"/>
        <v>35</v>
      </c>
      <c r="O337" s="1">
        <f t="shared" si="229"/>
        <v>0</v>
      </c>
      <c r="P337" s="1">
        <f t="shared" si="192"/>
        <v>169</v>
      </c>
      <c r="Q337" s="3" t="str">
        <f t="shared" si="228"/>
        <v xml:space="preserve"> When WDR Mode, Value to be applied to TH2 Area corresponding to interlocking point 1 (Apply to TH2[Bright Area])(Range : 0x0 ~ 0xff) </v>
      </c>
      <c r="R337" s="11">
        <f t="shared" si="193"/>
        <v>626</v>
      </c>
      <c r="T337" s="13" t="str">
        <f t="shared" si="230"/>
        <v>272</v>
      </c>
      <c r="U337" s="14" t="str">
        <f t="shared" si="224"/>
        <v>UpACE_WDR_TH2_VAL_PT1</v>
      </c>
      <c r="V337" s="13" t="str">
        <f t="shared" si="225"/>
        <v>1</v>
      </c>
      <c r="W337" s="13">
        <f t="shared" si="226"/>
        <v>0</v>
      </c>
      <c r="X337" s="14" t="str">
        <f t="shared" si="227"/>
        <v xml:space="preserve"> When WDR Mode, Value to be applied to TH2 Area corresponding to interlocking point 1 (Apply to TH2[Bright Area])(Range : 0x0 ~ 0xff) </v>
      </c>
    </row>
    <row r="338" spans="1:24" x14ac:dyDescent="0.3">
      <c r="A338" s="15" t="s">
        <v>351</v>
      </c>
      <c r="B338" s="1">
        <f t="shared" si="231"/>
        <v>8</v>
      </c>
      <c r="C338" s="1">
        <f t="shared" si="232"/>
        <v>9</v>
      </c>
      <c r="D338" s="10" t="str">
        <f t="shared" si="233"/>
        <v>1</v>
      </c>
      <c r="E338" s="1">
        <f t="shared" si="234"/>
        <v>11</v>
      </c>
      <c r="F338" s="1">
        <f t="shared" si="235"/>
        <v>49</v>
      </c>
      <c r="G338" s="1">
        <f t="shared" si="236"/>
        <v>32</v>
      </c>
      <c r="H338" s="1">
        <f t="shared" si="187"/>
        <v>32</v>
      </c>
      <c r="I338" s="10" t="str">
        <f t="shared" si="237"/>
        <v>UpACE_WDR_TH2_VAL_PT2</v>
      </c>
      <c r="J338" s="1">
        <f t="shared" si="188"/>
        <v>0</v>
      </c>
      <c r="K338" s="1">
        <f t="shared" si="189"/>
        <v>0</v>
      </c>
      <c r="L338" s="1" t="str">
        <f t="shared" si="190"/>
        <v>0</v>
      </c>
      <c r="M338" s="10">
        <f t="shared" si="191"/>
        <v>0</v>
      </c>
      <c r="N338" s="1">
        <f t="shared" si="238"/>
        <v>35</v>
      </c>
      <c r="O338" s="1">
        <f t="shared" si="229"/>
        <v>0</v>
      </c>
      <c r="P338" s="1">
        <f t="shared" si="192"/>
        <v>169</v>
      </c>
      <c r="Q338" s="3" t="str">
        <f t="shared" si="228"/>
        <v xml:space="preserve"> When WDR Mode, Value to be applied to TH2 Area corresponding to interlocking point 2 (Apply to TH2[Bright Area])(Range : 0x0 ~ 0xff) </v>
      </c>
      <c r="R338" s="11">
        <f t="shared" si="193"/>
        <v>627</v>
      </c>
      <c r="T338" s="13" t="str">
        <f t="shared" si="230"/>
        <v>273</v>
      </c>
      <c r="U338" s="14" t="str">
        <f t="shared" si="224"/>
        <v>UpACE_WDR_TH2_VAL_PT2</v>
      </c>
      <c r="V338" s="13" t="str">
        <f t="shared" si="225"/>
        <v>1</v>
      </c>
      <c r="W338" s="13">
        <f t="shared" si="226"/>
        <v>0</v>
      </c>
      <c r="X338" s="14" t="str">
        <f t="shared" si="227"/>
        <v xml:space="preserve"> When WDR Mode, Value to be applied to TH2 Area corresponding to interlocking point 2 (Apply to TH2[Bright Area])(Range : 0x0 ~ 0xff) </v>
      </c>
    </row>
    <row r="339" spans="1:24" x14ac:dyDescent="0.3">
      <c r="A339" s="15" t="s">
        <v>176</v>
      </c>
      <c r="B339" s="1">
        <f t="shared" si="231"/>
        <v>0</v>
      </c>
      <c r="C339" s="1">
        <f t="shared" si="232"/>
        <v>0</v>
      </c>
      <c r="D339" s="10">
        <f t="shared" si="233"/>
        <v>0</v>
      </c>
      <c r="E339" s="1">
        <f t="shared" si="234"/>
        <v>0</v>
      </c>
      <c r="F339" s="1">
        <f t="shared" si="235"/>
        <v>0</v>
      </c>
      <c r="G339" s="1">
        <f t="shared" si="236"/>
        <v>0</v>
      </c>
      <c r="H339" s="1">
        <f t="shared" si="187"/>
        <v>0</v>
      </c>
      <c r="I339" s="10">
        <f t="shared" si="237"/>
        <v>0</v>
      </c>
      <c r="J339" s="1">
        <f t="shared" si="188"/>
        <v>0</v>
      </c>
      <c r="K339" s="1">
        <f t="shared" si="189"/>
        <v>0</v>
      </c>
      <c r="L339" s="1" t="str">
        <f t="shared" si="190"/>
        <v>0</v>
      </c>
      <c r="M339" s="10">
        <f t="shared" si="191"/>
        <v>0</v>
      </c>
      <c r="N339" s="1">
        <f t="shared" si="238"/>
        <v>3</v>
      </c>
      <c r="O339" s="1">
        <f t="shared" si="229"/>
        <v>1</v>
      </c>
      <c r="P339" s="1">
        <f t="shared" si="192"/>
        <v>16</v>
      </c>
      <c r="Q339" s="3" t="str">
        <f t="shared" si="228"/>
        <v>ACE_WDR_GMGN</v>
      </c>
      <c r="R339" s="11">
        <f t="shared" si="193"/>
        <v>628</v>
      </c>
      <c r="T339" s="13" t="str">
        <f t="shared" ref="T339:T402" si="239">IF(A339="",IF(A338="","",$T$1),IF(O339=1,"#",IF(B339=0,"*",DEC2HEX(R339))))</f>
        <v>#</v>
      </c>
      <c r="U339" s="14" t="str">
        <f t="shared" ref="U339:U402" si="240">IF(A339="",IF(A338="","",$U$1),  IF(B339=0,Q339,I339)  )</f>
        <v>ACE_WDR_GMGN</v>
      </c>
      <c r="V339" s="13">
        <f t="shared" ref="V339:V402" si="241">IF(U339=$U$1,"",IF(A339="",IF(A338="","",1),  IF(B339=0,1,D339)  ))</f>
        <v>1</v>
      </c>
      <c r="W339" s="13">
        <f t="shared" ref="W339:W402" si="242">IF(U339=$U$1,"",IF(A339="",IF(A338="","",0),  IF(C339=0,0,0)  ))</f>
        <v>0</v>
      </c>
      <c r="X339" s="14" t="str">
        <f t="shared" ref="X339:X402" si="243">IF(U339=$U$1,"",IF(U339="","",IF(B339&gt;0,IF(Q339&lt;&gt;"",Q339,"No description"),"-")))</f>
        <v>-</v>
      </c>
    </row>
    <row r="340" spans="1:24" x14ac:dyDescent="0.3">
      <c r="A340" s="15" t="s">
        <v>352</v>
      </c>
      <c r="B340" s="1">
        <f t="shared" si="231"/>
        <v>8</v>
      </c>
      <c r="C340" s="1">
        <f t="shared" si="232"/>
        <v>9</v>
      </c>
      <c r="D340" s="10" t="str">
        <f t="shared" si="233"/>
        <v>1</v>
      </c>
      <c r="E340" s="1">
        <f t="shared" si="234"/>
        <v>11</v>
      </c>
      <c r="F340" s="1">
        <f t="shared" si="235"/>
        <v>50</v>
      </c>
      <c r="G340" s="1">
        <f t="shared" si="236"/>
        <v>33</v>
      </c>
      <c r="H340" s="1">
        <f t="shared" si="187"/>
        <v>33</v>
      </c>
      <c r="I340" s="10" t="str">
        <f t="shared" si="237"/>
        <v>UpACE_WDR_GMGN_VAL_PT0</v>
      </c>
      <c r="J340" s="1">
        <f t="shared" si="188"/>
        <v>0</v>
      </c>
      <c r="K340" s="1">
        <f t="shared" si="189"/>
        <v>0</v>
      </c>
      <c r="L340" s="1" t="str">
        <f t="shared" si="190"/>
        <v>0</v>
      </c>
      <c r="M340" s="10">
        <f t="shared" si="191"/>
        <v>0</v>
      </c>
      <c r="N340" s="1">
        <f t="shared" si="238"/>
        <v>36</v>
      </c>
      <c r="O340" s="1">
        <f t="shared" si="229"/>
        <v>0</v>
      </c>
      <c r="P340" s="1">
        <f t="shared" si="192"/>
        <v>96</v>
      </c>
      <c r="Q340" s="3" t="str">
        <f t="shared" si="228"/>
        <v xml:space="preserve"> When WDR Mode, Gamma corresponding to interlocking point 0 </v>
      </c>
      <c r="R340" s="11">
        <f t="shared" si="193"/>
        <v>628</v>
      </c>
      <c r="T340" s="13" t="str">
        <f t="shared" si="239"/>
        <v>274</v>
      </c>
      <c r="U340" s="14" t="str">
        <f t="shared" si="240"/>
        <v>UpACE_WDR_GMGN_VAL_PT0</v>
      </c>
      <c r="V340" s="13" t="str">
        <f t="shared" si="241"/>
        <v>1</v>
      </c>
      <c r="W340" s="13">
        <f t="shared" si="242"/>
        <v>0</v>
      </c>
      <c r="X340" s="14" t="str">
        <f t="shared" si="243"/>
        <v xml:space="preserve"> When WDR Mode, Gamma corresponding to interlocking point 0 </v>
      </c>
    </row>
    <row r="341" spans="1:24" x14ac:dyDescent="0.3">
      <c r="A341" s="15" t="s">
        <v>353</v>
      </c>
      <c r="B341" s="1">
        <f t="shared" si="231"/>
        <v>8</v>
      </c>
      <c r="C341" s="1">
        <f t="shared" si="232"/>
        <v>9</v>
      </c>
      <c r="D341" s="10" t="str">
        <f t="shared" si="233"/>
        <v>1</v>
      </c>
      <c r="E341" s="1">
        <f t="shared" si="234"/>
        <v>11</v>
      </c>
      <c r="F341" s="1">
        <f t="shared" si="235"/>
        <v>50</v>
      </c>
      <c r="G341" s="1">
        <f t="shared" si="236"/>
        <v>33</v>
      </c>
      <c r="H341" s="1">
        <f t="shared" si="187"/>
        <v>33</v>
      </c>
      <c r="I341" s="10" t="str">
        <f t="shared" si="237"/>
        <v>UpACE_WDR_GMGN_VAL_PT1</v>
      </c>
      <c r="J341" s="1">
        <f t="shared" si="188"/>
        <v>0</v>
      </c>
      <c r="K341" s="1">
        <f t="shared" si="189"/>
        <v>0</v>
      </c>
      <c r="L341" s="1" t="str">
        <f t="shared" si="190"/>
        <v>0</v>
      </c>
      <c r="M341" s="10">
        <f t="shared" si="191"/>
        <v>0</v>
      </c>
      <c r="N341" s="1">
        <f t="shared" si="238"/>
        <v>36</v>
      </c>
      <c r="O341" s="1">
        <f t="shared" si="229"/>
        <v>0</v>
      </c>
      <c r="P341" s="1">
        <f t="shared" si="192"/>
        <v>96</v>
      </c>
      <c r="Q341" s="3" t="str">
        <f t="shared" si="228"/>
        <v xml:space="preserve"> When WDR Mode, Gamma corresponding to interlocking point 1 </v>
      </c>
      <c r="R341" s="11">
        <f t="shared" si="193"/>
        <v>629</v>
      </c>
      <c r="T341" s="13" t="str">
        <f t="shared" si="239"/>
        <v>275</v>
      </c>
      <c r="U341" s="14" t="str">
        <f t="shared" si="240"/>
        <v>UpACE_WDR_GMGN_VAL_PT1</v>
      </c>
      <c r="V341" s="13" t="str">
        <f t="shared" si="241"/>
        <v>1</v>
      </c>
      <c r="W341" s="13">
        <f t="shared" si="242"/>
        <v>0</v>
      </c>
      <c r="X341" s="14" t="str">
        <f t="shared" si="243"/>
        <v xml:space="preserve"> When WDR Mode, Gamma corresponding to interlocking point 1 </v>
      </c>
    </row>
    <row r="342" spans="1:24" x14ac:dyDescent="0.3">
      <c r="A342" s="15" t="s">
        <v>354</v>
      </c>
      <c r="B342" s="1">
        <f t="shared" si="231"/>
        <v>8</v>
      </c>
      <c r="C342" s="1">
        <f t="shared" si="232"/>
        <v>9</v>
      </c>
      <c r="D342" s="10" t="str">
        <f t="shared" si="233"/>
        <v>1</v>
      </c>
      <c r="E342" s="1">
        <f t="shared" si="234"/>
        <v>11</v>
      </c>
      <c r="F342" s="1">
        <f t="shared" si="235"/>
        <v>50</v>
      </c>
      <c r="G342" s="1">
        <f t="shared" si="236"/>
        <v>33</v>
      </c>
      <c r="H342" s="1">
        <f t="shared" si="187"/>
        <v>33</v>
      </c>
      <c r="I342" s="10" t="str">
        <f t="shared" si="237"/>
        <v>UpACE_WDR_GMGN_VAL_PT2</v>
      </c>
      <c r="J342" s="1">
        <f t="shared" si="188"/>
        <v>0</v>
      </c>
      <c r="K342" s="1">
        <f t="shared" si="189"/>
        <v>0</v>
      </c>
      <c r="L342" s="1" t="str">
        <f t="shared" si="190"/>
        <v>0</v>
      </c>
      <c r="M342" s="10">
        <f t="shared" si="191"/>
        <v>0</v>
      </c>
      <c r="N342" s="1">
        <f t="shared" si="238"/>
        <v>36</v>
      </c>
      <c r="O342" s="1">
        <f t="shared" si="229"/>
        <v>0</v>
      </c>
      <c r="P342" s="1">
        <f t="shared" si="192"/>
        <v>96</v>
      </c>
      <c r="Q342" s="3" t="str">
        <f t="shared" si="228"/>
        <v xml:space="preserve"> When WDR Mode, Gamma corresponding to interlocking point 2 </v>
      </c>
      <c r="R342" s="11">
        <f t="shared" si="193"/>
        <v>630</v>
      </c>
      <c r="T342" s="13" t="str">
        <f t="shared" si="239"/>
        <v>276</v>
      </c>
      <c r="U342" s="14" t="str">
        <f t="shared" si="240"/>
        <v>UpACE_WDR_GMGN_VAL_PT2</v>
      </c>
      <c r="V342" s="13" t="str">
        <f t="shared" si="241"/>
        <v>1</v>
      </c>
      <c r="W342" s="13">
        <f t="shared" si="242"/>
        <v>0</v>
      </c>
      <c r="X342" s="14" t="str">
        <f t="shared" si="243"/>
        <v xml:space="preserve"> When WDR Mode, Gamma corresponding to interlocking point 2 </v>
      </c>
    </row>
    <row r="343" spans="1:24" x14ac:dyDescent="0.3">
      <c r="A343" s="15" t="s">
        <v>119</v>
      </c>
      <c r="B343" s="1">
        <f t="shared" si="231"/>
        <v>0</v>
      </c>
      <c r="C343" s="1">
        <f t="shared" si="232"/>
        <v>0</v>
      </c>
      <c r="D343" s="10">
        <f t="shared" si="233"/>
        <v>0</v>
      </c>
      <c r="E343" s="1">
        <f t="shared" si="234"/>
        <v>0</v>
      </c>
      <c r="F343" s="1">
        <f t="shared" si="235"/>
        <v>0</v>
      </c>
      <c r="G343" s="1">
        <f t="shared" si="236"/>
        <v>0</v>
      </c>
      <c r="H343" s="1">
        <f t="shared" si="187"/>
        <v>0</v>
      </c>
      <c r="I343" s="10">
        <f t="shared" si="237"/>
        <v>0</v>
      </c>
      <c r="J343" s="1">
        <f t="shared" si="188"/>
        <v>0</v>
      </c>
      <c r="K343" s="1">
        <f t="shared" si="189"/>
        <v>0</v>
      </c>
      <c r="L343" s="1" t="str">
        <f t="shared" si="190"/>
        <v>0</v>
      </c>
      <c r="M343" s="10">
        <f t="shared" si="191"/>
        <v>0</v>
      </c>
      <c r="N343" s="1">
        <f t="shared" si="238"/>
        <v>3</v>
      </c>
      <c r="O343" s="1">
        <f t="shared" si="229"/>
        <v>0</v>
      </c>
      <c r="P343" s="1">
        <f t="shared" si="192"/>
        <v>50</v>
      </c>
      <c r="Q343" s="3" t="str">
        <f t="shared" si="228"/>
        <v>---------------　HIGH　LIGHT　MASK　---------------</v>
      </c>
      <c r="R343" s="11">
        <f t="shared" si="193"/>
        <v>631</v>
      </c>
      <c r="T343" s="13" t="str">
        <f t="shared" si="239"/>
        <v>*</v>
      </c>
      <c r="U343" s="14" t="str">
        <f t="shared" si="240"/>
        <v>---------------　HIGH　LIGHT　MASK　---------------</v>
      </c>
      <c r="V343" s="13">
        <f t="shared" si="241"/>
        <v>1</v>
      </c>
      <c r="W343" s="13">
        <f t="shared" si="242"/>
        <v>0</v>
      </c>
      <c r="X343" s="14" t="str">
        <f t="shared" si="243"/>
        <v>-</v>
      </c>
    </row>
    <row r="344" spans="1:24" x14ac:dyDescent="0.3">
      <c r="A344" s="15" t="s">
        <v>510</v>
      </c>
      <c r="B344" s="1">
        <f t="shared" si="231"/>
        <v>8</v>
      </c>
      <c r="C344" s="1">
        <f t="shared" si="232"/>
        <v>9</v>
      </c>
      <c r="D344" s="10" t="str">
        <f t="shared" si="233"/>
        <v>1</v>
      </c>
      <c r="E344" s="1">
        <f t="shared" si="234"/>
        <v>11</v>
      </c>
      <c r="F344" s="1">
        <f t="shared" si="235"/>
        <v>29</v>
      </c>
      <c r="G344" s="1">
        <f t="shared" si="236"/>
        <v>34</v>
      </c>
      <c r="H344" s="1">
        <f t="shared" si="187"/>
        <v>29</v>
      </c>
      <c r="I344" s="10" t="str">
        <f t="shared" si="237"/>
        <v>UpHLMASK_THRS_STEP</v>
      </c>
      <c r="J344" s="1">
        <f t="shared" si="188"/>
        <v>31</v>
      </c>
      <c r="K344" s="1" t="str">
        <f t="shared" si="189"/>
        <v>640</v>
      </c>
      <c r="L344" s="1" t="str">
        <f t="shared" si="190"/>
        <v>280</v>
      </c>
      <c r="M344" s="10">
        <f t="shared" si="191"/>
        <v>640</v>
      </c>
      <c r="N344" s="1">
        <f t="shared" si="238"/>
        <v>37</v>
      </c>
      <c r="O344" s="1">
        <f t="shared" si="229"/>
        <v>0</v>
      </c>
      <c r="P344" s="1">
        <f t="shared" si="192"/>
        <v>86</v>
      </c>
      <c r="Q344" s="3" t="str">
        <f t="shared" si="228"/>
        <v xml:space="preserve"> Menu Step of High Light masking level (0 ~ 0xA) </v>
      </c>
      <c r="R344" s="11">
        <f t="shared" si="193"/>
        <v>640</v>
      </c>
      <c r="T344" s="13" t="str">
        <f t="shared" si="239"/>
        <v>280</v>
      </c>
      <c r="U344" s="14" t="str">
        <f t="shared" si="240"/>
        <v>UpHLMASK_THRS_STEP</v>
      </c>
      <c r="V344" s="13" t="str">
        <f t="shared" si="241"/>
        <v>1</v>
      </c>
      <c r="W344" s="13">
        <f t="shared" si="242"/>
        <v>0</v>
      </c>
      <c r="X344" s="14" t="str">
        <f t="shared" si="243"/>
        <v xml:space="preserve"> Menu Step of High Light masking level (0 ~ 0xA) </v>
      </c>
    </row>
    <row r="345" spans="1:24" x14ac:dyDescent="0.3">
      <c r="A345" s="15" t="s">
        <v>62</v>
      </c>
      <c r="B345" s="1">
        <f t="shared" si="231"/>
        <v>8</v>
      </c>
      <c r="C345" s="1">
        <f t="shared" si="232"/>
        <v>9</v>
      </c>
      <c r="D345" s="10" t="str">
        <f t="shared" si="233"/>
        <v>1</v>
      </c>
      <c r="E345" s="1">
        <f t="shared" si="234"/>
        <v>11</v>
      </c>
      <c r="F345" s="1">
        <f t="shared" si="235"/>
        <v>0</v>
      </c>
      <c r="G345" s="1">
        <f t="shared" si="236"/>
        <v>22</v>
      </c>
      <c r="H345" s="1">
        <f t="shared" si="187"/>
        <v>22</v>
      </c>
      <c r="I345" s="10" t="str">
        <f t="shared" si="237"/>
        <v>UpHLMASK_CY</v>
      </c>
      <c r="J345" s="1">
        <f t="shared" si="188"/>
        <v>0</v>
      </c>
      <c r="K345" s="1">
        <f t="shared" si="189"/>
        <v>0</v>
      </c>
      <c r="L345" s="1" t="str">
        <f t="shared" si="190"/>
        <v>0</v>
      </c>
      <c r="M345" s="10">
        <f t="shared" si="191"/>
        <v>0</v>
      </c>
      <c r="N345" s="1">
        <f t="shared" si="238"/>
        <v>25</v>
      </c>
      <c r="O345" s="1">
        <f t="shared" si="229"/>
        <v>0</v>
      </c>
      <c r="P345" s="1">
        <f t="shared" si="192"/>
        <v>81</v>
      </c>
      <c r="Q345" s="3" t="str">
        <f t="shared" si="228"/>
        <v xml:space="preserve"> HLMASK CY of Color for Customize Color Menu (0 ~ 0xFF) </v>
      </c>
      <c r="R345" s="11">
        <f t="shared" si="193"/>
        <v>641</v>
      </c>
      <c r="T345" s="13" t="str">
        <f t="shared" si="239"/>
        <v>281</v>
      </c>
      <c r="U345" s="14" t="str">
        <f t="shared" si="240"/>
        <v>UpHLMASK_CY</v>
      </c>
      <c r="V345" s="13" t="str">
        <f t="shared" si="241"/>
        <v>1</v>
      </c>
      <c r="W345" s="13">
        <f t="shared" si="242"/>
        <v>0</v>
      </c>
      <c r="X345" s="14" t="str">
        <f t="shared" si="243"/>
        <v xml:space="preserve"> HLMASK CY of Color for Customize Color Menu (0 ~ 0xFF) </v>
      </c>
    </row>
    <row r="346" spans="1:24" x14ac:dyDescent="0.3">
      <c r="A346" s="15" t="s">
        <v>63</v>
      </c>
      <c r="B346" s="1">
        <f t="shared" si="231"/>
        <v>8</v>
      </c>
      <c r="C346" s="1">
        <f t="shared" si="232"/>
        <v>9</v>
      </c>
      <c r="D346" s="10" t="str">
        <f t="shared" si="233"/>
        <v>1</v>
      </c>
      <c r="E346" s="1">
        <f t="shared" si="234"/>
        <v>11</v>
      </c>
      <c r="F346" s="1">
        <f t="shared" si="235"/>
        <v>0</v>
      </c>
      <c r="G346" s="1">
        <f t="shared" si="236"/>
        <v>22</v>
      </c>
      <c r="H346" s="1">
        <f t="shared" si="187"/>
        <v>22</v>
      </c>
      <c r="I346" s="10" t="str">
        <f t="shared" si="237"/>
        <v>UpHLMASK_CB</v>
      </c>
      <c r="J346" s="1">
        <f t="shared" si="188"/>
        <v>0</v>
      </c>
      <c r="K346" s="1">
        <f t="shared" si="189"/>
        <v>0</v>
      </c>
      <c r="L346" s="1" t="str">
        <f t="shared" si="190"/>
        <v>0</v>
      </c>
      <c r="M346" s="10">
        <f t="shared" si="191"/>
        <v>0</v>
      </c>
      <c r="N346" s="1">
        <f t="shared" si="238"/>
        <v>25</v>
      </c>
      <c r="O346" s="1">
        <f t="shared" si="229"/>
        <v>0</v>
      </c>
      <c r="P346" s="1">
        <f t="shared" si="192"/>
        <v>81</v>
      </c>
      <c r="Q346" s="3" t="str">
        <f t="shared" si="228"/>
        <v xml:space="preserve"> HLMASK CB of Color for Customize Color Menu (0 ~ 0xFF) </v>
      </c>
      <c r="R346" s="11">
        <f t="shared" si="193"/>
        <v>642</v>
      </c>
      <c r="T346" s="13" t="str">
        <f t="shared" si="239"/>
        <v>282</v>
      </c>
      <c r="U346" s="14" t="str">
        <f t="shared" si="240"/>
        <v>UpHLMASK_CB</v>
      </c>
      <c r="V346" s="13" t="str">
        <f t="shared" si="241"/>
        <v>1</v>
      </c>
      <c r="W346" s="13">
        <f t="shared" si="242"/>
        <v>0</v>
      </c>
      <c r="X346" s="14" t="str">
        <f t="shared" si="243"/>
        <v xml:space="preserve"> HLMASK CB of Color for Customize Color Menu (0 ~ 0xFF) </v>
      </c>
    </row>
    <row r="347" spans="1:24" x14ac:dyDescent="0.3">
      <c r="A347" s="15" t="s">
        <v>64</v>
      </c>
      <c r="B347" s="1">
        <f t="shared" si="231"/>
        <v>8</v>
      </c>
      <c r="C347" s="1">
        <f t="shared" si="232"/>
        <v>9</v>
      </c>
      <c r="D347" s="10" t="str">
        <f t="shared" si="233"/>
        <v>1</v>
      </c>
      <c r="E347" s="1">
        <f t="shared" si="234"/>
        <v>11</v>
      </c>
      <c r="F347" s="1">
        <f t="shared" si="235"/>
        <v>0</v>
      </c>
      <c r="G347" s="1">
        <f t="shared" si="236"/>
        <v>22</v>
      </c>
      <c r="H347" s="1">
        <f t="shared" si="187"/>
        <v>22</v>
      </c>
      <c r="I347" s="10" t="str">
        <f t="shared" si="237"/>
        <v>UpHLMASK_CR</v>
      </c>
      <c r="J347" s="1">
        <f t="shared" si="188"/>
        <v>0</v>
      </c>
      <c r="K347" s="1">
        <f t="shared" si="189"/>
        <v>0</v>
      </c>
      <c r="L347" s="1" t="str">
        <f t="shared" si="190"/>
        <v>0</v>
      </c>
      <c r="M347" s="10">
        <f t="shared" si="191"/>
        <v>0</v>
      </c>
      <c r="N347" s="1">
        <f t="shared" si="238"/>
        <v>25</v>
      </c>
      <c r="O347" s="1">
        <f t="shared" si="229"/>
        <v>0</v>
      </c>
      <c r="P347" s="1">
        <f t="shared" si="192"/>
        <v>81</v>
      </c>
      <c r="Q347" s="3" t="str">
        <f t="shared" si="228"/>
        <v xml:space="preserve"> HLMASK CR of Color for Customize Color Menu (0 ~ 0xFF) </v>
      </c>
      <c r="R347" s="11">
        <f t="shared" si="193"/>
        <v>643</v>
      </c>
      <c r="T347" s="13" t="str">
        <f t="shared" si="239"/>
        <v>283</v>
      </c>
      <c r="U347" s="14" t="str">
        <f t="shared" si="240"/>
        <v>UpHLMASK_CR</v>
      </c>
      <c r="V347" s="13" t="str">
        <f t="shared" si="241"/>
        <v>1</v>
      </c>
      <c r="W347" s="13">
        <f t="shared" si="242"/>
        <v>0</v>
      </c>
      <c r="X347" s="14" t="str">
        <f t="shared" si="243"/>
        <v xml:space="preserve"> HLMASK CR of Color for Customize Color Menu (0 ~ 0xFF) </v>
      </c>
    </row>
    <row r="348" spans="1:24" x14ac:dyDescent="0.3">
      <c r="A348" s="15" t="s">
        <v>120</v>
      </c>
      <c r="B348" s="1">
        <f t="shared" si="231"/>
        <v>0</v>
      </c>
      <c r="C348" s="1">
        <f t="shared" si="232"/>
        <v>0</v>
      </c>
      <c r="D348" s="10">
        <f t="shared" si="233"/>
        <v>0</v>
      </c>
      <c r="E348" s="1">
        <f t="shared" si="234"/>
        <v>0</v>
      </c>
      <c r="F348" s="1">
        <f t="shared" si="235"/>
        <v>0</v>
      </c>
      <c r="G348" s="1">
        <f t="shared" si="236"/>
        <v>0</v>
      </c>
      <c r="H348" s="1">
        <f t="shared" si="187"/>
        <v>0</v>
      </c>
      <c r="I348" s="10">
        <f t="shared" si="237"/>
        <v>0</v>
      </c>
      <c r="J348" s="1">
        <f t="shared" si="188"/>
        <v>0</v>
      </c>
      <c r="K348" s="1">
        <f t="shared" si="189"/>
        <v>0</v>
      </c>
      <c r="L348" s="1" t="str">
        <f t="shared" si="190"/>
        <v>0</v>
      </c>
      <c r="M348" s="10">
        <f t="shared" si="191"/>
        <v>0</v>
      </c>
      <c r="N348" s="1">
        <f t="shared" si="238"/>
        <v>3</v>
      </c>
      <c r="O348" s="1">
        <f t="shared" si="229"/>
        <v>0</v>
      </c>
      <c r="P348" s="1">
        <f t="shared" si="192"/>
        <v>41</v>
      </c>
      <c r="Q348" s="3" t="str">
        <f t="shared" si="228"/>
        <v>---------------　DEFECT　---------------</v>
      </c>
      <c r="R348" s="11">
        <f t="shared" si="193"/>
        <v>644</v>
      </c>
      <c r="T348" s="13" t="str">
        <f t="shared" si="239"/>
        <v>*</v>
      </c>
      <c r="U348" s="14" t="str">
        <f t="shared" si="240"/>
        <v>---------------　DEFECT　---------------</v>
      </c>
      <c r="V348" s="13">
        <f t="shared" si="241"/>
        <v>1</v>
      </c>
      <c r="W348" s="13">
        <f t="shared" si="242"/>
        <v>0</v>
      </c>
      <c r="X348" s="14" t="str">
        <f t="shared" si="243"/>
        <v>-</v>
      </c>
    </row>
    <row r="349" spans="1:24" x14ac:dyDescent="0.3">
      <c r="A349" s="15" t="s">
        <v>511</v>
      </c>
      <c r="B349" s="1">
        <f t="shared" si="231"/>
        <v>8</v>
      </c>
      <c r="C349" s="1">
        <f t="shared" si="232"/>
        <v>9</v>
      </c>
      <c r="D349" s="10" t="str">
        <f t="shared" si="233"/>
        <v>2</v>
      </c>
      <c r="E349" s="1">
        <f t="shared" si="234"/>
        <v>11</v>
      </c>
      <c r="F349" s="1">
        <f t="shared" si="235"/>
        <v>27</v>
      </c>
      <c r="G349" s="1">
        <f t="shared" si="236"/>
        <v>32</v>
      </c>
      <c r="H349" s="1">
        <f t="shared" si="187"/>
        <v>27</v>
      </c>
      <c r="I349" s="10" t="str">
        <f t="shared" si="237"/>
        <v>UpDEFECT_AGC_PT0</v>
      </c>
      <c r="J349" s="1">
        <f t="shared" si="188"/>
        <v>29</v>
      </c>
      <c r="K349" s="1" t="str">
        <f t="shared" si="189"/>
        <v>650</v>
      </c>
      <c r="L349" s="1" t="str">
        <f t="shared" si="190"/>
        <v>28A</v>
      </c>
      <c r="M349" s="10">
        <f t="shared" si="191"/>
        <v>650</v>
      </c>
      <c r="N349" s="1">
        <f t="shared" si="238"/>
        <v>35</v>
      </c>
      <c r="O349" s="1">
        <f t="shared" si="229"/>
        <v>0</v>
      </c>
      <c r="P349" s="1">
        <f t="shared" si="192"/>
        <v>103</v>
      </c>
      <c r="Q349" s="3" t="str">
        <f t="shared" si="228"/>
        <v xml:space="preserve"> AGC value of Rather dark for control defect. (0 ~ 0x1F4 AGC value) </v>
      </c>
      <c r="R349" s="11">
        <f t="shared" si="193"/>
        <v>650</v>
      </c>
      <c r="T349" s="13" t="str">
        <f t="shared" si="239"/>
        <v>28A</v>
      </c>
      <c r="U349" s="14" t="str">
        <f t="shared" si="240"/>
        <v>UpDEFECT_AGC_PT0</v>
      </c>
      <c r="V349" s="13" t="str">
        <f t="shared" si="241"/>
        <v>2</v>
      </c>
      <c r="W349" s="13">
        <f t="shared" si="242"/>
        <v>0</v>
      </c>
      <c r="X349" s="14" t="str">
        <f t="shared" si="243"/>
        <v xml:space="preserve"> AGC value of Rather dark for control defect. (0 ~ 0x1F4 AGC value) </v>
      </c>
    </row>
    <row r="350" spans="1:24" x14ac:dyDescent="0.3">
      <c r="A350" s="15" t="s">
        <v>121</v>
      </c>
      <c r="B350" s="1">
        <f t="shared" si="231"/>
        <v>8</v>
      </c>
      <c r="C350" s="1">
        <f t="shared" si="232"/>
        <v>9</v>
      </c>
      <c r="D350" s="10" t="str">
        <f t="shared" si="233"/>
        <v>2</v>
      </c>
      <c r="E350" s="1">
        <f t="shared" si="234"/>
        <v>11</v>
      </c>
      <c r="F350" s="1">
        <f t="shared" si="235"/>
        <v>0</v>
      </c>
      <c r="G350" s="1">
        <f t="shared" si="236"/>
        <v>27</v>
      </c>
      <c r="H350" s="1">
        <f t="shared" si="187"/>
        <v>27</v>
      </c>
      <c r="I350" s="10" t="str">
        <f t="shared" si="237"/>
        <v>UpDEFECT_AGC_PT1</v>
      </c>
      <c r="J350" s="1">
        <f t="shared" si="188"/>
        <v>0</v>
      </c>
      <c r="K350" s="1">
        <f t="shared" si="189"/>
        <v>0</v>
      </c>
      <c r="L350" s="1" t="str">
        <f t="shared" si="190"/>
        <v>0</v>
      </c>
      <c r="M350" s="10">
        <f t="shared" si="191"/>
        <v>0</v>
      </c>
      <c r="N350" s="1">
        <f t="shared" si="238"/>
        <v>30</v>
      </c>
      <c r="O350" s="1">
        <f t="shared" si="229"/>
        <v>0</v>
      </c>
      <c r="P350" s="1">
        <f t="shared" si="192"/>
        <v>93</v>
      </c>
      <c r="Q350" s="3" t="str">
        <f t="shared" si="228"/>
        <v xml:space="preserve"> AGC value of Dark for control defect. (MIN ~ 0x1F4 AGC value) </v>
      </c>
      <c r="R350" s="11">
        <f t="shared" si="193"/>
        <v>652</v>
      </c>
      <c r="T350" s="13" t="str">
        <f t="shared" si="239"/>
        <v>28C</v>
      </c>
      <c r="U350" s="14" t="str">
        <f t="shared" si="240"/>
        <v>UpDEFECT_AGC_PT1</v>
      </c>
      <c r="V350" s="13" t="str">
        <f t="shared" si="241"/>
        <v>2</v>
      </c>
      <c r="W350" s="13">
        <f t="shared" si="242"/>
        <v>0</v>
      </c>
      <c r="X350" s="14" t="str">
        <f t="shared" si="243"/>
        <v xml:space="preserve"> AGC value of Dark for control defect. (MIN ~ 0x1F4 AGC value) </v>
      </c>
    </row>
    <row r="351" spans="1:24" x14ac:dyDescent="0.3">
      <c r="A351" s="15" t="s">
        <v>122</v>
      </c>
      <c r="B351" s="1">
        <f t="shared" si="231"/>
        <v>8</v>
      </c>
      <c r="C351" s="1">
        <f t="shared" si="232"/>
        <v>9</v>
      </c>
      <c r="D351" s="10" t="str">
        <f t="shared" si="233"/>
        <v>2</v>
      </c>
      <c r="E351" s="1">
        <f t="shared" si="234"/>
        <v>11</v>
      </c>
      <c r="F351" s="1">
        <f t="shared" si="235"/>
        <v>0</v>
      </c>
      <c r="G351" s="1">
        <f t="shared" si="236"/>
        <v>27</v>
      </c>
      <c r="H351" s="1">
        <f t="shared" si="187"/>
        <v>27</v>
      </c>
      <c r="I351" s="10" t="str">
        <f t="shared" si="237"/>
        <v>UpDEFECT_AGC_PT2</v>
      </c>
      <c r="J351" s="1">
        <f t="shared" si="188"/>
        <v>0</v>
      </c>
      <c r="K351" s="1">
        <f t="shared" si="189"/>
        <v>0</v>
      </c>
      <c r="L351" s="1" t="str">
        <f t="shared" si="190"/>
        <v>0</v>
      </c>
      <c r="M351" s="10">
        <f t="shared" si="191"/>
        <v>0</v>
      </c>
      <c r="N351" s="1">
        <f t="shared" si="238"/>
        <v>30</v>
      </c>
      <c r="O351" s="1">
        <f t="shared" si="229"/>
        <v>0</v>
      </c>
      <c r="P351" s="1">
        <f t="shared" si="192"/>
        <v>101</v>
      </c>
      <c r="Q351" s="3" t="str">
        <f t="shared" si="228"/>
        <v xml:space="preserve"> AGC value of Very dark for control defect. (MIDDLE ~ 0x1F4 AGC value) </v>
      </c>
      <c r="R351" s="11">
        <f t="shared" si="193"/>
        <v>654</v>
      </c>
      <c r="T351" s="13" t="str">
        <f t="shared" si="239"/>
        <v>28E</v>
      </c>
      <c r="U351" s="14" t="str">
        <f t="shared" si="240"/>
        <v>UpDEFECT_AGC_PT2</v>
      </c>
      <c r="V351" s="13" t="str">
        <f t="shared" si="241"/>
        <v>2</v>
      </c>
      <c r="W351" s="13">
        <f t="shared" si="242"/>
        <v>0</v>
      </c>
      <c r="X351" s="14" t="str">
        <f t="shared" si="243"/>
        <v xml:space="preserve"> AGC value of Very dark for control defect. (MIDDLE ~ 0x1F4 AGC value) </v>
      </c>
    </row>
    <row r="352" spans="1:24" x14ac:dyDescent="0.3">
      <c r="A352" s="15" t="s">
        <v>65</v>
      </c>
      <c r="B352" s="1">
        <f t="shared" si="231"/>
        <v>8</v>
      </c>
      <c r="C352" s="1">
        <f t="shared" si="232"/>
        <v>9</v>
      </c>
      <c r="D352" s="10" t="str">
        <f t="shared" si="233"/>
        <v>1</v>
      </c>
      <c r="E352" s="1">
        <f t="shared" si="234"/>
        <v>11</v>
      </c>
      <c r="F352" s="1">
        <f t="shared" si="235"/>
        <v>44</v>
      </c>
      <c r="G352" s="1">
        <f t="shared" si="236"/>
        <v>22</v>
      </c>
      <c r="H352" s="1">
        <f t="shared" si="187"/>
        <v>22</v>
      </c>
      <c r="I352" s="10" t="str">
        <f t="shared" si="237"/>
        <v>UpDEFECT_GA</v>
      </c>
      <c r="J352" s="1">
        <f t="shared" si="188"/>
        <v>0</v>
      </c>
      <c r="K352" s="1">
        <f t="shared" si="189"/>
        <v>0</v>
      </c>
      <c r="L352" s="1" t="str">
        <f t="shared" si="190"/>
        <v>0</v>
      </c>
      <c r="M352" s="10">
        <f t="shared" si="191"/>
        <v>0</v>
      </c>
      <c r="N352" s="1">
        <f t="shared" si="238"/>
        <v>25</v>
      </c>
      <c r="O352" s="1">
        <f t="shared" si="229"/>
        <v>0</v>
      </c>
      <c r="P352" s="1">
        <f t="shared" si="192"/>
        <v>195</v>
      </c>
      <c r="Q352" s="3" t="str">
        <f t="shared" si="228"/>
        <v xml:space="preserve"> Within the pattern, this parameter uses to detect directional defect. Difference gain for isolated point determination. (0x40 = x0.5, 0x80 = x1, 0xC0 = x1.5, 0xff = x2) </v>
      </c>
      <c r="R352" s="11">
        <f t="shared" si="193"/>
        <v>656</v>
      </c>
      <c r="T352" s="13" t="str">
        <f t="shared" si="239"/>
        <v>290</v>
      </c>
      <c r="U352" s="14" t="str">
        <f t="shared" si="240"/>
        <v>UpDEFECT_GA</v>
      </c>
      <c r="V352" s="13" t="str">
        <f t="shared" si="241"/>
        <v>1</v>
      </c>
      <c r="W352" s="13">
        <f t="shared" si="242"/>
        <v>0</v>
      </c>
      <c r="X352" s="14" t="str">
        <f t="shared" si="243"/>
        <v xml:space="preserve"> Within the pattern, this parameter uses to detect directional defect. Difference gain for isolated point determination. (0x40 = x0.5, 0x80 = x1, 0xC0 = x1.5, 0xff = x2) </v>
      </c>
    </row>
    <row r="353" spans="1:24" x14ac:dyDescent="0.3">
      <c r="A353" s="15" t="s">
        <v>66</v>
      </c>
      <c r="B353" s="1">
        <f t="shared" si="231"/>
        <v>8</v>
      </c>
      <c r="C353" s="1">
        <f t="shared" si="232"/>
        <v>9</v>
      </c>
      <c r="D353" s="10" t="str">
        <f t="shared" si="233"/>
        <v>1</v>
      </c>
      <c r="E353" s="1">
        <f t="shared" si="234"/>
        <v>11</v>
      </c>
      <c r="F353" s="1">
        <f t="shared" si="235"/>
        <v>67</v>
      </c>
      <c r="G353" s="1">
        <f t="shared" si="236"/>
        <v>27</v>
      </c>
      <c r="H353" s="1">
        <f t="shared" si="187"/>
        <v>27</v>
      </c>
      <c r="I353" s="10" t="str">
        <f t="shared" si="237"/>
        <v>UpDEFECT_SPOT_GA</v>
      </c>
      <c r="J353" s="1">
        <f t="shared" si="188"/>
        <v>0</v>
      </c>
      <c r="K353" s="1">
        <f t="shared" si="189"/>
        <v>0</v>
      </c>
      <c r="L353" s="1" t="str">
        <f t="shared" si="190"/>
        <v>0</v>
      </c>
      <c r="M353" s="10">
        <f t="shared" si="191"/>
        <v>0</v>
      </c>
      <c r="N353" s="1">
        <f t="shared" si="238"/>
        <v>30</v>
      </c>
      <c r="O353" s="1">
        <f t="shared" si="229"/>
        <v>0</v>
      </c>
      <c r="P353" s="1">
        <f t="shared" si="192"/>
        <v>104</v>
      </c>
      <c r="Q353" s="3" t="str">
        <f t="shared" si="228"/>
        <v xml:space="preserve"> Spot pattern area gain. (0x40 = x0.5, 0x80 = x1, 0xC0 = x1.5, 0xff = x2) </v>
      </c>
      <c r="R353" s="11">
        <f t="shared" si="193"/>
        <v>657</v>
      </c>
      <c r="T353" s="13" t="str">
        <f t="shared" si="239"/>
        <v>291</v>
      </c>
      <c r="U353" s="14" t="str">
        <f t="shared" si="240"/>
        <v>UpDEFECT_SPOT_GA</v>
      </c>
      <c r="V353" s="13" t="str">
        <f t="shared" si="241"/>
        <v>1</v>
      </c>
      <c r="W353" s="13">
        <f t="shared" si="242"/>
        <v>0</v>
      </c>
      <c r="X353" s="14" t="str">
        <f t="shared" si="243"/>
        <v xml:space="preserve"> Spot pattern area gain. (0x40 = x0.5, 0x80 = x1, 0xC0 = x1.5, 0xff = x2) </v>
      </c>
    </row>
    <row r="354" spans="1:24" x14ac:dyDescent="0.3">
      <c r="A354" s="15" t="s">
        <v>67</v>
      </c>
      <c r="B354" s="1">
        <f t="shared" si="231"/>
        <v>8</v>
      </c>
      <c r="C354" s="1">
        <f t="shared" si="232"/>
        <v>9</v>
      </c>
      <c r="D354" s="10" t="str">
        <f t="shared" si="233"/>
        <v>1</v>
      </c>
      <c r="E354" s="1">
        <f t="shared" si="234"/>
        <v>11</v>
      </c>
      <c r="F354" s="1">
        <f t="shared" si="235"/>
        <v>0</v>
      </c>
      <c r="G354" s="1">
        <f t="shared" si="236"/>
        <v>24</v>
      </c>
      <c r="H354" s="1">
        <f t="shared" si="187"/>
        <v>24</v>
      </c>
      <c r="I354" s="10" t="str">
        <f t="shared" si="237"/>
        <v>UpDEFECT_TSEL</v>
      </c>
      <c r="J354" s="1">
        <f t="shared" si="188"/>
        <v>0</v>
      </c>
      <c r="K354" s="1">
        <f t="shared" si="189"/>
        <v>0</v>
      </c>
      <c r="L354" s="1" t="str">
        <f t="shared" si="190"/>
        <v>0</v>
      </c>
      <c r="M354" s="10">
        <f t="shared" si="191"/>
        <v>0</v>
      </c>
      <c r="N354" s="1">
        <f t="shared" si="238"/>
        <v>27</v>
      </c>
      <c r="O354" s="1">
        <f t="shared" si="229"/>
        <v>0</v>
      </c>
      <c r="P354" s="1">
        <f t="shared" si="192"/>
        <v>308</v>
      </c>
      <c r="Q354" s="3" t="str">
        <f t="shared" si="228"/>
        <v xml:space="preserve"> Select test image in core for directional defect correction. (VLOCKI)  "0" : Normal operation  "1" : Difference values for isolated points  "2" : Image before correction  "3" : Complete correction image (100% correction image except weight).  "4" : Defect pattern detection value </v>
      </c>
      <c r="R354" s="11">
        <f t="shared" si="193"/>
        <v>658</v>
      </c>
      <c r="T354" s="13" t="str">
        <f t="shared" si="239"/>
        <v>292</v>
      </c>
      <c r="U354" s="14" t="str">
        <f t="shared" si="240"/>
        <v>UpDEFECT_TSEL</v>
      </c>
      <c r="V354" s="13" t="str">
        <f t="shared" si="241"/>
        <v>1</v>
      </c>
      <c r="W354" s="13">
        <f t="shared" si="242"/>
        <v>0</v>
      </c>
      <c r="X354" s="14" t="str">
        <f t="shared" si="243"/>
        <v xml:space="preserve"> Select test image in core for directional defect correction. (VLOCKI)  "0" : Normal operation  "1" : Difference values for isolated points  "2" : Image before correction  "3" : Complete correction image (100% correction image except weight).  "4" : Defect pattern detection value </v>
      </c>
    </row>
    <row r="355" spans="1:24" x14ac:dyDescent="0.3">
      <c r="A355" s="15" t="s">
        <v>162</v>
      </c>
      <c r="B355" s="1">
        <f t="shared" si="231"/>
        <v>0</v>
      </c>
      <c r="C355" s="1">
        <f t="shared" si="232"/>
        <v>0</v>
      </c>
      <c r="D355" s="10">
        <f t="shared" si="233"/>
        <v>0</v>
      </c>
      <c r="E355" s="1">
        <f t="shared" si="234"/>
        <v>0</v>
      </c>
      <c r="F355" s="1">
        <f t="shared" si="235"/>
        <v>0</v>
      </c>
      <c r="G355" s="1">
        <f t="shared" si="236"/>
        <v>0</v>
      </c>
      <c r="H355" s="1">
        <f t="shared" si="187"/>
        <v>0</v>
      </c>
      <c r="I355" s="10">
        <f t="shared" si="237"/>
        <v>0</v>
      </c>
      <c r="J355" s="1">
        <f t="shared" si="188"/>
        <v>0</v>
      </c>
      <c r="K355" s="1">
        <f t="shared" si="189"/>
        <v>0</v>
      </c>
      <c r="L355" s="1" t="str">
        <f t="shared" si="190"/>
        <v>0</v>
      </c>
      <c r="M355" s="10">
        <f t="shared" si="191"/>
        <v>0</v>
      </c>
      <c r="N355" s="1">
        <f t="shared" si="238"/>
        <v>3</v>
      </c>
      <c r="O355" s="1">
        <f t="shared" si="229"/>
        <v>0</v>
      </c>
      <c r="P355" s="1">
        <f t="shared" si="192"/>
        <v>42</v>
      </c>
      <c r="Q355" s="3" t="str">
        <f t="shared" si="228"/>
        <v>---------------　ENCODER　---------------</v>
      </c>
      <c r="R355" s="11">
        <f t="shared" si="193"/>
        <v>659</v>
      </c>
      <c r="T355" s="13" t="str">
        <f t="shared" si="239"/>
        <v>*</v>
      </c>
      <c r="U355" s="14" t="str">
        <f t="shared" si="240"/>
        <v>---------------　ENCODER　---------------</v>
      </c>
      <c r="V355" s="13">
        <f t="shared" si="241"/>
        <v>1</v>
      </c>
      <c r="W355" s="13">
        <f t="shared" si="242"/>
        <v>0</v>
      </c>
      <c r="X355" s="14" t="str">
        <f t="shared" si="243"/>
        <v>-</v>
      </c>
    </row>
    <row r="356" spans="1:24" x14ac:dyDescent="0.3">
      <c r="A356" s="15" t="s">
        <v>501</v>
      </c>
      <c r="B356" s="1">
        <f t="shared" si="231"/>
        <v>8</v>
      </c>
      <c r="C356" s="1">
        <f t="shared" si="232"/>
        <v>9</v>
      </c>
      <c r="D356" s="10" t="str">
        <f t="shared" si="233"/>
        <v>1</v>
      </c>
      <c r="E356" s="1">
        <f t="shared" si="234"/>
        <v>11</v>
      </c>
      <c r="F356" s="1">
        <f t="shared" si="235"/>
        <v>21</v>
      </c>
      <c r="G356" s="1">
        <f t="shared" si="236"/>
        <v>26</v>
      </c>
      <c r="H356" s="1">
        <f t="shared" si="187"/>
        <v>21</v>
      </c>
      <c r="I356" s="10" t="str">
        <f t="shared" si="237"/>
        <v>UpENC_CSTM</v>
      </c>
      <c r="J356" s="1">
        <f t="shared" si="188"/>
        <v>23</v>
      </c>
      <c r="K356" s="1" t="str">
        <f t="shared" si="189"/>
        <v>680</v>
      </c>
      <c r="L356" s="1" t="str">
        <f t="shared" si="190"/>
        <v>2A8</v>
      </c>
      <c r="M356" s="10">
        <f t="shared" si="191"/>
        <v>680</v>
      </c>
      <c r="N356" s="1">
        <f t="shared" si="238"/>
        <v>29</v>
      </c>
      <c r="O356" s="1">
        <f t="shared" si="229"/>
        <v>0</v>
      </c>
      <c r="P356" s="1">
        <f t="shared" si="192"/>
        <v>67</v>
      </c>
      <c r="Q356" s="3" t="str">
        <f t="shared" si="228"/>
        <v xml:space="preserve"> 0 : Default table, 1 : Cstm parameter</v>
      </c>
      <c r="R356" s="11">
        <f t="shared" si="193"/>
        <v>680</v>
      </c>
      <c r="T356" s="13" t="str">
        <f t="shared" si="239"/>
        <v>2A8</v>
      </c>
      <c r="U356" s="14" t="str">
        <f t="shared" si="240"/>
        <v>UpENC_CSTM</v>
      </c>
      <c r="V356" s="13" t="str">
        <f t="shared" si="241"/>
        <v>1</v>
      </c>
      <c r="W356" s="13">
        <f t="shared" si="242"/>
        <v>0</v>
      </c>
      <c r="X356" s="14" t="str">
        <f t="shared" si="243"/>
        <v xml:space="preserve"> 0 : Default table, 1 : Cstm parameter</v>
      </c>
    </row>
    <row r="357" spans="1:24" x14ac:dyDescent="0.3">
      <c r="A357" s="15" t="s">
        <v>150</v>
      </c>
      <c r="B357" s="1">
        <f t="shared" si="231"/>
        <v>0</v>
      </c>
      <c r="C357" s="1">
        <f t="shared" si="232"/>
        <v>0</v>
      </c>
      <c r="D357" s="10">
        <f t="shared" si="233"/>
        <v>0</v>
      </c>
      <c r="E357" s="1">
        <f t="shared" si="234"/>
        <v>0</v>
      </c>
      <c r="F357" s="1">
        <f t="shared" si="235"/>
        <v>0</v>
      </c>
      <c r="G357" s="1">
        <f t="shared" si="236"/>
        <v>0</v>
      </c>
      <c r="H357" s="1">
        <f t="shared" si="187"/>
        <v>0</v>
      </c>
      <c r="I357" s="10">
        <f t="shared" si="237"/>
        <v>0</v>
      </c>
      <c r="J357" s="1">
        <f t="shared" si="188"/>
        <v>0</v>
      </c>
      <c r="K357" s="1">
        <f t="shared" si="189"/>
        <v>0</v>
      </c>
      <c r="L357" s="1" t="str">
        <f t="shared" si="190"/>
        <v>0</v>
      </c>
      <c r="M357" s="10">
        <f t="shared" si="191"/>
        <v>0</v>
      </c>
      <c r="N357" s="1">
        <f t="shared" si="238"/>
        <v>3</v>
      </c>
      <c r="O357" s="1">
        <f t="shared" si="229"/>
        <v>1</v>
      </c>
      <c r="P357" s="1">
        <f t="shared" si="192"/>
        <v>10</v>
      </c>
      <c r="Q357" s="3" t="str">
        <f t="shared" si="228"/>
        <v>MODE_T</v>
      </c>
      <c r="R357" s="11">
        <f t="shared" si="193"/>
        <v>681</v>
      </c>
      <c r="T357" s="13" t="str">
        <f t="shared" si="239"/>
        <v>#</v>
      </c>
      <c r="U357" s="14" t="str">
        <f t="shared" si="240"/>
        <v>MODE_T</v>
      </c>
      <c r="V357" s="13">
        <f t="shared" si="241"/>
        <v>1</v>
      </c>
      <c r="W357" s="13">
        <f t="shared" si="242"/>
        <v>0</v>
      </c>
      <c r="X357" s="14" t="str">
        <f t="shared" si="243"/>
        <v>-</v>
      </c>
    </row>
    <row r="358" spans="1:24" x14ac:dyDescent="0.3">
      <c r="A358" s="15" t="s">
        <v>355</v>
      </c>
      <c r="B358" s="1">
        <f t="shared" si="231"/>
        <v>8</v>
      </c>
      <c r="C358" s="1">
        <f t="shared" si="232"/>
        <v>9</v>
      </c>
      <c r="D358" s="10" t="str">
        <f t="shared" si="233"/>
        <v>1</v>
      </c>
      <c r="E358" s="1">
        <f t="shared" si="234"/>
        <v>11</v>
      </c>
      <c r="F358" s="1">
        <f t="shared" si="235"/>
        <v>0</v>
      </c>
      <c r="G358" s="1">
        <f t="shared" si="236"/>
        <v>26</v>
      </c>
      <c r="H358" s="1">
        <f t="shared" si="187"/>
        <v>26</v>
      </c>
      <c r="I358" s="10" t="str">
        <f t="shared" si="237"/>
        <v>UpENC_RYGAINP_T</v>
      </c>
      <c r="J358" s="1">
        <f t="shared" si="188"/>
        <v>0</v>
      </c>
      <c r="K358" s="1">
        <f t="shared" si="189"/>
        <v>0</v>
      </c>
      <c r="L358" s="1" t="str">
        <f t="shared" si="190"/>
        <v>0</v>
      </c>
      <c r="M358" s="10">
        <f t="shared" si="191"/>
        <v>0</v>
      </c>
      <c r="N358" s="1">
        <f t="shared" si="238"/>
        <v>29</v>
      </c>
      <c r="O358" s="1">
        <f t="shared" si="229"/>
        <v>0</v>
      </c>
      <c r="P358" s="1">
        <f t="shared" si="192"/>
        <v>90</v>
      </c>
      <c r="Q358" s="3" t="str">
        <f t="shared" si="228"/>
        <v xml:space="preserve"> R-Y Positive Gain Control for HD-Analog (0 ~ 0xFF) &lt;MODE_T&gt; </v>
      </c>
      <c r="R358" s="11">
        <f t="shared" si="193"/>
        <v>681</v>
      </c>
      <c r="T358" s="13" t="str">
        <f t="shared" si="239"/>
        <v>2A9</v>
      </c>
      <c r="U358" s="14" t="str">
        <f t="shared" si="240"/>
        <v>UpENC_RYGAINP_T</v>
      </c>
      <c r="V358" s="13" t="str">
        <f t="shared" si="241"/>
        <v>1</v>
      </c>
      <c r="W358" s="13">
        <f t="shared" si="242"/>
        <v>0</v>
      </c>
      <c r="X358" s="14" t="str">
        <f t="shared" si="243"/>
        <v xml:space="preserve"> R-Y Positive Gain Control for HD-Analog (0 ~ 0xFF) &lt;MODE_T&gt; </v>
      </c>
    </row>
    <row r="359" spans="1:24" x14ac:dyDescent="0.3">
      <c r="A359" s="15" t="s">
        <v>356</v>
      </c>
      <c r="B359" s="1">
        <f t="shared" si="231"/>
        <v>8</v>
      </c>
      <c r="C359" s="1">
        <f t="shared" si="232"/>
        <v>9</v>
      </c>
      <c r="D359" s="10" t="str">
        <f t="shared" si="233"/>
        <v>1</v>
      </c>
      <c r="E359" s="1">
        <f t="shared" si="234"/>
        <v>11</v>
      </c>
      <c r="F359" s="1">
        <f t="shared" si="235"/>
        <v>0</v>
      </c>
      <c r="G359" s="1">
        <f t="shared" si="236"/>
        <v>26</v>
      </c>
      <c r="H359" s="1">
        <f t="shared" si="187"/>
        <v>26</v>
      </c>
      <c r="I359" s="10" t="str">
        <f t="shared" si="237"/>
        <v>UpENC_RYGAINN_T</v>
      </c>
      <c r="J359" s="1">
        <f t="shared" si="188"/>
        <v>0</v>
      </c>
      <c r="K359" s="1">
        <f t="shared" si="189"/>
        <v>0</v>
      </c>
      <c r="L359" s="1" t="str">
        <f t="shared" si="190"/>
        <v>0</v>
      </c>
      <c r="M359" s="10">
        <f t="shared" si="191"/>
        <v>0</v>
      </c>
      <c r="N359" s="1">
        <f t="shared" si="238"/>
        <v>29</v>
      </c>
      <c r="O359" s="1">
        <f t="shared" si="229"/>
        <v>0</v>
      </c>
      <c r="P359" s="1">
        <f t="shared" si="192"/>
        <v>90</v>
      </c>
      <c r="Q359" s="3" t="str">
        <f t="shared" si="228"/>
        <v xml:space="preserve"> R-Y Negative Gain Control for HD-Analog (0 ~ 0xFF) &lt;MODE_T&gt; </v>
      </c>
      <c r="R359" s="11">
        <f t="shared" si="193"/>
        <v>682</v>
      </c>
      <c r="T359" s="13" t="str">
        <f t="shared" si="239"/>
        <v>2AA</v>
      </c>
      <c r="U359" s="14" t="str">
        <f t="shared" si="240"/>
        <v>UpENC_RYGAINN_T</v>
      </c>
      <c r="V359" s="13" t="str">
        <f t="shared" si="241"/>
        <v>1</v>
      </c>
      <c r="W359" s="13">
        <f t="shared" si="242"/>
        <v>0</v>
      </c>
      <c r="X359" s="14" t="str">
        <f t="shared" si="243"/>
        <v xml:space="preserve"> R-Y Negative Gain Control for HD-Analog (0 ~ 0xFF) &lt;MODE_T&gt; </v>
      </c>
    </row>
    <row r="360" spans="1:24" x14ac:dyDescent="0.3">
      <c r="A360" s="15" t="s">
        <v>357</v>
      </c>
      <c r="B360" s="1">
        <f t="shared" si="231"/>
        <v>8</v>
      </c>
      <c r="C360" s="1">
        <f t="shared" si="232"/>
        <v>9</v>
      </c>
      <c r="D360" s="10" t="str">
        <f t="shared" si="233"/>
        <v>1</v>
      </c>
      <c r="E360" s="1">
        <f t="shared" si="234"/>
        <v>11</v>
      </c>
      <c r="F360" s="1">
        <f t="shared" si="235"/>
        <v>0</v>
      </c>
      <c r="G360" s="1">
        <f t="shared" si="236"/>
        <v>26</v>
      </c>
      <c r="H360" s="1">
        <f t="shared" si="187"/>
        <v>26</v>
      </c>
      <c r="I360" s="10" t="str">
        <f t="shared" si="237"/>
        <v>UpENC_BYGAINP_T</v>
      </c>
      <c r="J360" s="1">
        <f t="shared" si="188"/>
        <v>0</v>
      </c>
      <c r="K360" s="1">
        <f t="shared" si="189"/>
        <v>0</v>
      </c>
      <c r="L360" s="1" t="str">
        <f t="shared" si="190"/>
        <v>0</v>
      </c>
      <c r="M360" s="10">
        <f t="shared" si="191"/>
        <v>0</v>
      </c>
      <c r="N360" s="1">
        <f t="shared" si="238"/>
        <v>29</v>
      </c>
      <c r="O360" s="1">
        <f t="shared" si="229"/>
        <v>0</v>
      </c>
      <c r="P360" s="1">
        <f t="shared" si="192"/>
        <v>90</v>
      </c>
      <c r="Q360" s="3" t="str">
        <f t="shared" si="228"/>
        <v xml:space="preserve"> B-Y Positive Gain Control for HD-Analog (0 ~ 0xFF) &lt;MODE_T&gt; </v>
      </c>
      <c r="R360" s="11">
        <f t="shared" si="193"/>
        <v>683</v>
      </c>
      <c r="T360" s="13" t="str">
        <f t="shared" si="239"/>
        <v>2AB</v>
      </c>
      <c r="U360" s="14" t="str">
        <f t="shared" si="240"/>
        <v>UpENC_BYGAINP_T</v>
      </c>
      <c r="V360" s="13" t="str">
        <f t="shared" si="241"/>
        <v>1</v>
      </c>
      <c r="W360" s="13">
        <f t="shared" si="242"/>
        <v>0</v>
      </c>
      <c r="X360" s="14" t="str">
        <f t="shared" si="243"/>
        <v xml:space="preserve"> B-Y Positive Gain Control for HD-Analog (0 ~ 0xFF) &lt;MODE_T&gt; </v>
      </c>
    </row>
    <row r="361" spans="1:24" x14ac:dyDescent="0.3">
      <c r="A361" s="15" t="s">
        <v>358</v>
      </c>
      <c r="B361" s="1">
        <f t="shared" si="231"/>
        <v>8</v>
      </c>
      <c r="C361" s="1">
        <f t="shared" si="232"/>
        <v>9</v>
      </c>
      <c r="D361" s="10" t="str">
        <f t="shared" si="233"/>
        <v>1</v>
      </c>
      <c r="E361" s="1">
        <f t="shared" si="234"/>
        <v>11</v>
      </c>
      <c r="F361" s="1">
        <f t="shared" si="235"/>
        <v>0</v>
      </c>
      <c r="G361" s="1">
        <f t="shared" si="236"/>
        <v>26</v>
      </c>
      <c r="H361" s="1">
        <f t="shared" si="187"/>
        <v>26</v>
      </c>
      <c r="I361" s="10" t="str">
        <f t="shared" si="237"/>
        <v>UpENC_BYGAINN_T</v>
      </c>
      <c r="J361" s="1">
        <f t="shared" si="188"/>
        <v>0</v>
      </c>
      <c r="K361" s="1">
        <f t="shared" si="189"/>
        <v>0</v>
      </c>
      <c r="L361" s="1" t="str">
        <f t="shared" si="190"/>
        <v>0</v>
      </c>
      <c r="M361" s="10">
        <f t="shared" si="191"/>
        <v>0</v>
      </c>
      <c r="N361" s="1">
        <f t="shared" si="238"/>
        <v>29</v>
      </c>
      <c r="O361" s="1">
        <f t="shared" si="229"/>
        <v>0</v>
      </c>
      <c r="P361" s="1">
        <f t="shared" si="192"/>
        <v>90</v>
      </c>
      <c r="Q361" s="3" t="str">
        <f t="shared" si="228"/>
        <v xml:space="preserve"> B-Y Negative Gain Control for HD-Analog (0 ~ 0xFF) &lt;MODE_T&gt; </v>
      </c>
      <c r="R361" s="11">
        <f t="shared" si="193"/>
        <v>684</v>
      </c>
      <c r="T361" s="13" t="str">
        <f t="shared" si="239"/>
        <v>2AC</v>
      </c>
      <c r="U361" s="14" t="str">
        <f t="shared" si="240"/>
        <v>UpENC_BYGAINN_T</v>
      </c>
      <c r="V361" s="13" t="str">
        <f t="shared" si="241"/>
        <v>1</v>
      </c>
      <c r="W361" s="13">
        <f t="shared" si="242"/>
        <v>0</v>
      </c>
      <c r="X361" s="14" t="str">
        <f t="shared" si="243"/>
        <v xml:space="preserve"> B-Y Negative Gain Control for HD-Analog (0 ~ 0xFF) &lt;MODE_T&gt; </v>
      </c>
    </row>
    <row r="362" spans="1:24" x14ac:dyDescent="0.3">
      <c r="A362" s="15" t="s">
        <v>82</v>
      </c>
      <c r="B362" s="1">
        <f t="shared" si="231"/>
        <v>8</v>
      </c>
      <c r="C362" s="1">
        <f t="shared" si="232"/>
        <v>9</v>
      </c>
      <c r="D362" s="10" t="str">
        <f t="shared" si="233"/>
        <v>1</v>
      </c>
      <c r="E362" s="1">
        <f t="shared" si="234"/>
        <v>11</v>
      </c>
      <c r="F362" s="1">
        <f t="shared" si="235"/>
        <v>0</v>
      </c>
      <c r="G362" s="1">
        <f t="shared" si="236"/>
        <v>25</v>
      </c>
      <c r="H362" s="1">
        <f t="shared" si="187"/>
        <v>25</v>
      </c>
      <c r="I362" s="10" t="str">
        <f t="shared" si="237"/>
        <v>UpENC_RYHUEP_T</v>
      </c>
      <c r="J362" s="1">
        <f t="shared" si="188"/>
        <v>0</v>
      </c>
      <c r="K362" s="1">
        <f t="shared" si="189"/>
        <v>0</v>
      </c>
      <c r="L362" s="1" t="str">
        <f t="shared" si="190"/>
        <v>0</v>
      </c>
      <c r="M362" s="10">
        <f t="shared" si="191"/>
        <v>0</v>
      </c>
      <c r="N362" s="1">
        <f t="shared" si="238"/>
        <v>28</v>
      </c>
      <c r="O362" s="1">
        <f t="shared" si="229"/>
        <v>0</v>
      </c>
      <c r="P362" s="1">
        <f t="shared" si="192"/>
        <v>77</v>
      </c>
      <c r="Q362" s="3" t="str">
        <f t="shared" si="228"/>
        <v xml:space="preserve"> R-Y Positive Hue Control for HD-Analog &lt;MODE_T&gt; </v>
      </c>
      <c r="R362" s="11">
        <f t="shared" si="193"/>
        <v>685</v>
      </c>
      <c r="T362" s="13" t="str">
        <f t="shared" si="239"/>
        <v>2AD</v>
      </c>
      <c r="U362" s="14" t="str">
        <f t="shared" si="240"/>
        <v>UpENC_RYHUEP_T</v>
      </c>
      <c r="V362" s="13" t="str">
        <f t="shared" si="241"/>
        <v>1</v>
      </c>
      <c r="W362" s="13">
        <f t="shared" si="242"/>
        <v>0</v>
      </c>
      <c r="X362" s="14" t="str">
        <f t="shared" si="243"/>
        <v xml:space="preserve"> R-Y Positive Hue Control for HD-Analog &lt;MODE_T&gt; </v>
      </c>
    </row>
    <row r="363" spans="1:24" x14ac:dyDescent="0.3">
      <c r="A363" s="15" t="s">
        <v>83</v>
      </c>
      <c r="B363" s="1">
        <f t="shared" si="231"/>
        <v>8</v>
      </c>
      <c r="C363" s="1">
        <f t="shared" si="232"/>
        <v>9</v>
      </c>
      <c r="D363" s="10" t="str">
        <f t="shared" si="233"/>
        <v>1</v>
      </c>
      <c r="E363" s="1">
        <f t="shared" si="234"/>
        <v>11</v>
      </c>
      <c r="F363" s="1">
        <f t="shared" si="235"/>
        <v>0</v>
      </c>
      <c r="G363" s="1">
        <f t="shared" si="236"/>
        <v>25</v>
      </c>
      <c r="H363" s="1">
        <f t="shared" si="187"/>
        <v>25</v>
      </c>
      <c r="I363" s="10" t="str">
        <f t="shared" si="237"/>
        <v>UpENC_RYHUEN_T</v>
      </c>
      <c r="J363" s="1">
        <f t="shared" si="188"/>
        <v>0</v>
      </c>
      <c r="K363" s="1">
        <f t="shared" si="189"/>
        <v>0</v>
      </c>
      <c r="L363" s="1" t="str">
        <f t="shared" si="190"/>
        <v>0</v>
      </c>
      <c r="M363" s="10">
        <f t="shared" si="191"/>
        <v>0</v>
      </c>
      <c r="N363" s="1">
        <f t="shared" si="238"/>
        <v>28</v>
      </c>
      <c r="O363" s="1">
        <f t="shared" si="229"/>
        <v>0</v>
      </c>
      <c r="P363" s="1">
        <f t="shared" si="192"/>
        <v>77</v>
      </c>
      <c r="Q363" s="3" t="str">
        <f t="shared" si="228"/>
        <v xml:space="preserve"> R-Y Negative Hue Control for HD-Analog &lt;MODE_T&gt; </v>
      </c>
      <c r="R363" s="11">
        <f t="shared" si="193"/>
        <v>686</v>
      </c>
      <c r="T363" s="13" t="str">
        <f t="shared" si="239"/>
        <v>2AE</v>
      </c>
      <c r="U363" s="14" t="str">
        <f t="shared" si="240"/>
        <v>UpENC_RYHUEN_T</v>
      </c>
      <c r="V363" s="13" t="str">
        <f t="shared" si="241"/>
        <v>1</v>
      </c>
      <c r="W363" s="13">
        <f t="shared" si="242"/>
        <v>0</v>
      </c>
      <c r="X363" s="14" t="str">
        <f t="shared" si="243"/>
        <v xml:space="preserve"> R-Y Negative Hue Control for HD-Analog &lt;MODE_T&gt; </v>
      </c>
    </row>
    <row r="364" spans="1:24" x14ac:dyDescent="0.3">
      <c r="A364" s="15" t="s">
        <v>84</v>
      </c>
      <c r="B364" s="1">
        <f t="shared" si="231"/>
        <v>8</v>
      </c>
      <c r="C364" s="1">
        <f t="shared" si="232"/>
        <v>9</v>
      </c>
      <c r="D364" s="10" t="str">
        <f t="shared" si="233"/>
        <v>1</v>
      </c>
      <c r="E364" s="1">
        <f t="shared" si="234"/>
        <v>11</v>
      </c>
      <c r="F364" s="1">
        <f t="shared" si="235"/>
        <v>0</v>
      </c>
      <c r="G364" s="1">
        <f t="shared" si="236"/>
        <v>25</v>
      </c>
      <c r="H364" s="1">
        <f t="shared" ref="H364:H427" si="244">IF(AND(F364&gt;0,F364&lt;G364),F364,G364)</f>
        <v>25</v>
      </c>
      <c r="I364" s="10" t="str">
        <f t="shared" si="237"/>
        <v>UpENC_BYHUEP_T</v>
      </c>
      <c r="J364" s="1">
        <f t="shared" ref="J364:J427" si="245">IF(AND(F364&gt;0,F364&lt;G364),FIND("=",A364,F364)+1,0)</f>
        <v>0</v>
      </c>
      <c r="K364" s="1">
        <f t="shared" ref="K364:K427" si="246">IF(J364&gt;0,MID(A364,J364,G364-J364),0)</f>
        <v>0</v>
      </c>
      <c r="L364" s="1" t="str">
        <f t="shared" ref="L364:L427" si="247">IFERROR(RIGHT(K364,LEN(K364)-FIND("0x",K364)-1),DEC2HEX(K364))</f>
        <v>0</v>
      </c>
      <c r="M364" s="10">
        <f t="shared" ref="M364:M427" si="248">HEX2DEC(L364)</f>
        <v>0</v>
      </c>
      <c r="N364" s="1">
        <f t="shared" si="238"/>
        <v>28</v>
      </c>
      <c r="O364" s="1">
        <f t="shared" si="229"/>
        <v>0</v>
      </c>
      <c r="P364" s="1">
        <f t="shared" ref="P364:P427" si="249">IFERROR(FIND("*/",$A364,N364+1),0)</f>
        <v>77</v>
      </c>
      <c r="Q364" s="3" t="str">
        <f t="shared" si="228"/>
        <v xml:space="preserve"> B-Y Positive Hue Control for HD-Analog &lt;MODE_T&gt; </v>
      </c>
      <c r="R364" s="11">
        <f t="shared" ref="R364:R427" si="250">IF(M364&gt;0,M364,D363+R363)</f>
        <v>687</v>
      </c>
      <c r="T364" s="13" t="str">
        <f t="shared" si="239"/>
        <v>2AF</v>
      </c>
      <c r="U364" s="14" t="str">
        <f t="shared" si="240"/>
        <v>UpENC_BYHUEP_T</v>
      </c>
      <c r="V364" s="13" t="str">
        <f t="shared" si="241"/>
        <v>1</v>
      </c>
      <c r="W364" s="13">
        <f t="shared" si="242"/>
        <v>0</v>
      </c>
      <c r="X364" s="14" t="str">
        <f t="shared" si="243"/>
        <v xml:space="preserve"> B-Y Positive Hue Control for HD-Analog &lt;MODE_T&gt; </v>
      </c>
    </row>
    <row r="365" spans="1:24" x14ac:dyDescent="0.3">
      <c r="A365" s="15" t="s">
        <v>359</v>
      </c>
      <c r="B365" s="1">
        <f t="shared" si="231"/>
        <v>8</v>
      </c>
      <c r="C365" s="1">
        <f t="shared" si="232"/>
        <v>9</v>
      </c>
      <c r="D365" s="10" t="str">
        <f t="shared" si="233"/>
        <v>1</v>
      </c>
      <c r="E365" s="1">
        <f t="shared" si="234"/>
        <v>11</v>
      </c>
      <c r="F365" s="1">
        <f t="shared" si="235"/>
        <v>0</v>
      </c>
      <c r="G365" s="1">
        <f t="shared" si="236"/>
        <v>25</v>
      </c>
      <c r="H365" s="1">
        <f t="shared" si="244"/>
        <v>25</v>
      </c>
      <c r="I365" s="10" t="str">
        <f t="shared" si="237"/>
        <v>UpENC_BYHUEN_T</v>
      </c>
      <c r="J365" s="1">
        <f t="shared" si="245"/>
        <v>0</v>
      </c>
      <c r="K365" s="1">
        <f t="shared" si="246"/>
        <v>0</v>
      </c>
      <c r="L365" s="1" t="str">
        <f t="shared" si="247"/>
        <v>0</v>
      </c>
      <c r="M365" s="10">
        <f t="shared" si="248"/>
        <v>0</v>
      </c>
      <c r="N365" s="1">
        <f t="shared" si="238"/>
        <v>28</v>
      </c>
      <c r="O365" s="1">
        <f t="shared" si="229"/>
        <v>0</v>
      </c>
      <c r="P365" s="1">
        <f t="shared" si="249"/>
        <v>77</v>
      </c>
      <c r="Q365" s="3" t="str">
        <f t="shared" si="228"/>
        <v xml:space="preserve"> B-Y Negative Hue Control for HD-Analog &lt;MODE_T&gt; </v>
      </c>
      <c r="R365" s="11">
        <f t="shared" si="250"/>
        <v>688</v>
      </c>
      <c r="T365" s="13" t="str">
        <f t="shared" si="239"/>
        <v>2B0</v>
      </c>
      <c r="U365" s="14" t="str">
        <f t="shared" si="240"/>
        <v>UpENC_BYHUEN_T</v>
      </c>
      <c r="V365" s="13" t="str">
        <f t="shared" si="241"/>
        <v>1</v>
      </c>
      <c r="W365" s="13">
        <f t="shared" si="242"/>
        <v>0</v>
      </c>
      <c r="X365" s="14" t="str">
        <f t="shared" si="243"/>
        <v xml:space="preserve"> B-Y Negative Hue Control for HD-Analog &lt;MODE_T&gt; </v>
      </c>
    </row>
    <row r="366" spans="1:24" x14ac:dyDescent="0.3">
      <c r="A366" s="15" t="s">
        <v>85</v>
      </c>
      <c r="B366" s="1">
        <f t="shared" si="231"/>
        <v>8</v>
      </c>
      <c r="C366" s="1">
        <f t="shared" si="232"/>
        <v>9</v>
      </c>
      <c r="D366" s="10" t="str">
        <f t="shared" si="233"/>
        <v>2</v>
      </c>
      <c r="E366" s="1">
        <f t="shared" si="234"/>
        <v>11</v>
      </c>
      <c r="F366" s="1">
        <f t="shared" si="235"/>
        <v>0</v>
      </c>
      <c r="G366" s="1">
        <f t="shared" si="236"/>
        <v>23</v>
      </c>
      <c r="H366" s="1">
        <f t="shared" si="244"/>
        <v>23</v>
      </c>
      <c r="I366" s="10" t="str">
        <f t="shared" si="237"/>
        <v>UpWHITE_LV_T</v>
      </c>
      <c r="J366" s="1">
        <f t="shared" si="245"/>
        <v>0</v>
      </c>
      <c r="K366" s="1">
        <f t="shared" si="246"/>
        <v>0</v>
      </c>
      <c r="L366" s="1" t="str">
        <f t="shared" si="247"/>
        <v>0</v>
      </c>
      <c r="M366" s="10">
        <f t="shared" si="248"/>
        <v>0</v>
      </c>
      <c r="N366" s="1">
        <f t="shared" si="238"/>
        <v>26</v>
      </c>
      <c r="O366" s="1">
        <f t="shared" si="229"/>
        <v>0</v>
      </c>
      <c r="P366" s="1">
        <f t="shared" si="249"/>
        <v>66</v>
      </c>
      <c r="Q366" s="3" t="str">
        <f t="shared" si="228"/>
        <v xml:space="preserve"> White level control parameter &lt;MODE_T&gt; </v>
      </c>
      <c r="R366" s="11">
        <f t="shared" si="250"/>
        <v>689</v>
      </c>
      <c r="T366" s="13" t="str">
        <f t="shared" si="239"/>
        <v>2B1</v>
      </c>
      <c r="U366" s="14" t="str">
        <f t="shared" si="240"/>
        <v>UpWHITE_LV_T</v>
      </c>
      <c r="V366" s="13" t="str">
        <f t="shared" si="241"/>
        <v>2</v>
      </c>
      <c r="W366" s="13">
        <f t="shared" si="242"/>
        <v>0</v>
      </c>
      <c r="X366" s="14" t="str">
        <f t="shared" si="243"/>
        <v xml:space="preserve"> White level control parameter &lt;MODE_T&gt; </v>
      </c>
    </row>
    <row r="367" spans="1:24" x14ac:dyDescent="0.3">
      <c r="A367" s="15" t="s">
        <v>86</v>
      </c>
      <c r="B367" s="1">
        <f t="shared" si="231"/>
        <v>8</v>
      </c>
      <c r="C367" s="1">
        <f t="shared" si="232"/>
        <v>9</v>
      </c>
      <c r="D367" s="10" t="str">
        <f t="shared" si="233"/>
        <v>2</v>
      </c>
      <c r="E367" s="1">
        <f t="shared" si="234"/>
        <v>11</v>
      </c>
      <c r="F367" s="1">
        <f t="shared" si="235"/>
        <v>0</v>
      </c>
      <c r="G367" s="1">
        <f t="shared" si="236"/>
        <v>23</v>
      </c>
      <c r="H367" s="1">
        <f t="shared" si="244"/>
        <v>23</v>
      </c>
      <c r="I367" s="10" t="str">
        <f t="shared" si="237"/>
        <v>UpBLANK_LV_T</v>
      </c>
      <c r="J367" s="1">
        <f t="shared" si="245"/>
        <v>0</v>
      </c>
      <c r="K367" s="1">
        <f t="shared" si="246"/>
        <v>0</v>
      </c>
      <c r="L367" s="1" t="str">
        <f t="shared" si="247"/>
        <v>0</v>
      </c>
      <c r="M367" s="10">
        <f t="shared" si="248"/>
        <v>0</v>
      </c>
      <c r="N367" s="1">
        <f t="shared" si="238"/>
        <v>26</v>
      </c>
      <c r="O367" s="1">
        <f t="shared" si="229"/>
        <v>0</v>
      </c>
      <c r="P367" s="1">
        <f t="shared" si="249"/>
        <v>66</v>
      </c>
      <c r="Q367" s="3" t="str">
        <f t="shared" si="228"/>
        <v xml:space="preserve"> Blank level control parameter &lt;MODE_T&gt; </v>
      </c>
      <c r="R367" s="11">
        <f t="shared" si="250"/>
        <v>691</v>
      </c>
      <c r="T367" s="13" t="str">
        <f t="shared" si="239"/>
        <v>2B3</v>
      </c>
      <c r="U367" s="14" t="str">
        <f t="shared" si="240"/>
        <v>UpBLANK_LV_T</v>
      </c>
      <c r="V367" s="13" t="str">
        <f t="shared" si="241"/>
        <v>2</v>
      </c>
      <c r="W367" s="13">
        <f t="shared" si="242"/>
        <v>0</v>
      </c>
      <c r="X367" s="14" t="str">
        <f t="shared" si="243"/>
        <v xml:space="preserve"> Blank level control parameter &lt;MODE_T&gt; </v>
      </c>
    </row>
    <row r="368" spans="1:24" x14ac:dyDescent="0.3">
      <c r="A368" s="15" t="s">
        <v>123</v>
      </c>
      <c r="B368" s="1">
        <f t="shared" si="231"/>
        <v>8</v>
      </c>
      <c r="C368" s="1">
        <f t="shared" si="232"/>
        <v>9</v>
      </c>
      <c r="D368" s="10" t="str">
        <f t="shared" si="233"/>
        <v>2</v>
      </c>
      <c r="E368" s="1">
        <f t="shared" si="234"/>
        <v>11</v>
      </c>
      <c r="F368" s="1">
        <f t="shared" si="235"/>
        <v>0</v>
      </c>
      <c r="G368" s="1">
        <f t="shared" si="236"/>
        <v>26</v>
      </c>
      <c r="H368" s="1">
        <f t="shared" si="244"/>
        <v>26</v>
      </c>
      <c r="I368" s="10" t="str">
        <f t="shared" si="237"/>
        <v>UpPEDESTAL_LV_T</v>
      </c>
      <c r="J368" s="1">
        <f t="shared" si="245"/>
        <v>0</v>
      </c>
      <c r="K368" s="1">
        <f t="shared" si="246"/>
        <v>0</v>
      </c>
      <c r="L368" s="1" t="str">
        <f t="shared" si="247"/>
        <v>0</v>
      </c>
      <c r="M368" s="10">
        <f t="shared" si="248"/>
        <v>0</v>
      </c>
      <c r="N368" s="1">
        <f t="shared" si="238"/>
        <v>29</v>
      </c>
      <c r="O368" s="1">
        <f t="shared" si="229"/>
        <v>0</v>
      </c>
      <c r="P368" s="1">
        <f t="shared" si="249"/>
        <v>72</v>
      </c>
      <c r="Q368" s="3" t="str">
        <f t="shared" si="228"/>
        <v xml:space="preserve"> Pedestal level control parameter &lt;MODE_T&gt; </v>
      </c>
      <c r="R368" s="11">
        <f t="shared" si="250"/>
        <v>693</v>
      </c>
      <c r="T368" s="13" t="str">
        <f t="shared" si="239"/>
        <v>2B5</v>
      </c>
      <c r="U368" s="14" t="str">
        <f t="shared" si="240"/>
        <v>UpPEDESTAL_LV_T</v>
      </c>
      <c r="V368" s="13" t="str">
        <f t="shared" si="241"/>
        <v>2</v>
      </c>
      <c r="W368" s="13">
        <f t="shared" si="242"/>
        <v>0</v>
      </c>
      <c r="X368" s="14" t="str">
        <f t="shared" si="243"/>
        <v xml:space="preserve"> Pedestal level control parameter &lt;MODE_T&gt; </v>
      </c>
    </row>
    <row r="369" spans="1:24" x14ac:dyDescent="0.3">
      <c r="A369" s="15" t="s">
        <v>360</v>
      </c>
      <c r="B369" s="1">
        <f t="shared" si="231"/>
        <v>8</v>
      </c>
      <c r="C369" s="1">
        <f t="shared" si="232"/>
        <v>9</v>
      </c>
      <c r="D369" s="10" t="str">
        <f t="shared" si="233"/>
        <v>4</v>
      </c>
      <c r="E369" s="1">
        <f t="shared" si="234"/>
        <v>11</v>
      </c>
      <c r="F369" s="1">
        <f t="shared" si="235"/>
        <v>0</v>
      </c>
      <c r="G369" s="1">
        <f t="shared" si="236"/>
        <v>22</v>
      </c>
      <c r="H369" s="1">
        <f t="shared" si="244"/>
        <v>22</v>
      </c>
      <c r="I369" s="10" t="str">
        <f t="shared" si="237"/>
        <v>UpFSC_TGT_T</v>
      </c>
      <c r="J369" s="1">
        <f t="shared" si="245"/>
        <v>0</v>
      </c>
      <c r="K369" s="1">
        <f t="shared" si="246"/>
        <v>0</v>
      </c>
      <c r="L369" s="1" t="str">
        <f t="shared" si="247"/>
        <v>0</v>
      </c>
      <c r="M369" s="10">
        <f t="shared" si="248"/>
        <v>0</v>
      </c>
      <c r="N369" s="1">
        <f t="shared" si="238"/>
        <v>25</v>
      </c>
      <c r="O369" s="1">
        <f t="shared" si="229"/>
        <v>0</v>
      </c>
      <c r="P369" s="1">
        <f t="shared" si="249"/>
        <v>76</v>
      </c>
      <c r="Q369" s="3" t="str">
        <f t="shared" si="228"/>
        <v xml:space="preserve"> Deciding Target for SubCarrier Frequency &lt;MODE_T&gt; </v>
      </c>
      <c r="R369" s="11">
        <f t="shared" si="250"/>
        <v>695</v>
      </c>
      <c r="T369" s="13" t="str">
        <f t="shared" si="239"/>
        <v>2B7</v>
      </c>
      <c r="U369" s="14" t="str">
        <f t="shared" si="240"/>
        <v>UpFSC_TGT_T</v>
      </c>
      <c r="V369" s="13" t="str">
        <f t="shared" si="241"/>
        <v>4</v>
      </c>
      <c r="W369" s="13">
        <f t="shared" si="242"/>
        <v>0</v>
      </c>
      <c r="X369" s="14" t="str">
        <f t="shared" si="243"/>
        <v xml:space="preserve"> Deciding Target for SubCarrier Frequency &lt;MODE_T&gt; </v>
      </c>
    </row>
    <row r="370" spans="1:24" x14ac:dyDescent="0.3">
      <c r="A370" s="15" t="s">
        <v>361</v>
      </c>
      <c r="B370" s="1">
        <f t="shared" si="231"/>
        <v>8</v>
      </c>
      <c r="C370" s="1">
        <f t="shared" si="232"/>
        <v>9</v>
      </c>
      <c r="D370" s="10" t="str">
        <f t="shared" si="233"/>
        <v>2</v>
      </c>
      <c r="E370" s="1">
        <f t="shared" si="234"/>
        <v>11</v>
      </c>
      <c r="F370" s="1">
        <f t="shared" si="235"/>
        <v>0</v>
      </c>
      <c r="G370" s="1">
        <f t="shared" si="236"/>
        <v>22</v>
      </c>
      <c r="H370" s="1">
        <f t="shared" si="244"/>
        <v>22</v>
      </c>
      <c r="I370" s="10" t="str">
        <f t="shared" si="237"/>
        <v>UpY_MGAIN_T</v>
      </c>
      <c r="J370" s="1">
        <f t="shared" si="245"/>
        <v>0</v>
      </c>
      <c r="K370" s="1">
        <f t="shared" si="246"/>
        <v>0</v>
      </c>
      <c r="L370" s="1" t="str">
        <f t="shared" si="247"/>
        <v>0</v>
      </c>
      <c r="M370" s="10">
        <f t="shared" si="248"/>
        <v>0</v>
      </c>
      <c r="N370" s="1">
        <f t="shared" si="238"/>
        <v>25</v>
      </c>
      <c r="O370" s="1">
        <f t="shared" si="229"/>
        <v>0</v>
      </c>
      <c r="P370" s="1">
        <f t="shared" si="249"/>
        <v>75</v>
      </c>
      <c r="Q370" s="3" t="str">
        <f t="shared" si="228"/>
        <v xml:space="preserve"> Gain to be Multiplied to Y Output Value &lt;MODE_T&gt; </v>
      </c>
      <c r="R370" s="11">
        <f t="shared" si="250"/>
        <v>699</v>
      </c>
      <c r="T370" s="13" t="str">
        <f t="shared" si="239"/>
        <v>2BB</v>
      </c>
      <c r="U370" s="14" t="str">
        <f t="shared" si="240"/>
        <v>UpY_MGAIN_T</v>
      </c>
      <c r="V370" s="13" t="str">
        <f t="shared" si="241"/>
        <v>2</v>
      </c>
      <c r="W370" s="13">
        <f t="shared" si="242"/>
        <v>0</v>
      </c>
      <c r="X370" s="14" t="str">
        <f t="shared" si="243"/>
        <v xml:space="preserve"> Gain to be Multiplied to Y Output Value &lt;MODE_T&gt; </v>
      </c>
    </row>
    <row r="371" spans="1:24" x14ac:dyDescent="0.3">
      <c r="A371" s="15" t="s">
        <v>362</v>
      </c>
      <c r="B371" s="1">
        <f t="shared" si="231"/>
        <v>8</v>
      </c>
      <c r="C371" s="1">
        <f t="shared" si="232"/>
        <v>9</v>
      </c>
      <c r="D371" s="10" t="str">
        <f t="shared" si="233"/>
        <v>2</v>
      </c>
      <c r="E371" s="1">
        <f t="shared" si="234"/>
        <v>11</v>
      </c>
      <c r="F371" s="1">
        <f t="shared" si="235"/>
        <v>0</v>
      </c>
      <c r="G371" s="1">
        <f t="shared" si="236"/>
        <v>23</v>
      </c>
      <c r="H371" s="1">
        <f t="shared" si="244"/>
        <v>23</v>
      </c>
      <c r="I371" s="10" t="str">
        <f t="shared" si="237"/>
        <v>UpCB_MGAIN_T</v>
      </c>
      <c r="J371" s="1">
        <f t="shared" si="245"/>
        <v>0</v>
      </c>
      <c r="K371" s="1">
        <f t="shared" si="246"/>
        <v>0</v>
      </c>
      <c r="L371" s="1" t="str">
        <f t="shared" si="247"/>
        <v>0</v>
      </c>
      <c r="M371" s="10">
        <f t="shared" si="248"/>
        <v>0</v>
      </c>
      <c r="N371" s="1">
        <f t="shared" si="238"/>
        <v>26</v>
      </c>
      <c r="O371" s="1">
        <f t="shared" si="229"/>
        <v>0</v>
      </c>
      <c r="P371" s="1">
        <f t="shared" si="249"/>
        <v>70</v>
      </c>
      <c r="Q371" s="3" t="str">
        <f t="shared" si="228"/>
        <v xml:space="preserve"> Gain to be Multiplied to Cb Value &lt;MODE_T&gt; </v>
      </c>
      <c r="R371" s="11">
        <f t="shared" si="250"/>
        <v>701</v>
      </c>
      <c r="T371" s="13" t="str">
        <f t="shared" si="239"/>
        <v>2BD</v>
      </c>
      <c r="U371" s="14" t="str">
        <f t="shared" si="240"/>
        <v>UpCB_MGAIN_T</v>
      </c>
      <c r="V371" s="13" t="str">
        <f t="shared" si="241"/>
        <v>2</v>
      </c>
      <c r="W371" s="13">
        <f t="shared" si="242"/>
        <v>0</v>
      </c>
      <c r="X371" s="14" t="str">
        <f t="shared" si="243"/>
        <v xml:space="preserve"> Gain to be Multiplied to Cb Value &lt;MODE_T&gt; </v>
      </c>
    </row>
    <row r="372" spans="1:24" x14ac:dyDescent="0.3">
      <c r="A372" s="15" t="s">
        <v>363</v>
      </c>
      <c r="B372" s="1">
        <f t="shared" si="231"/>
        <v>8</v>
      </c>
      <c r="C372" s="1">
        <f t="shared" si="232"/>
        <v>9</v>
      </c>
      <c r="D372" s="10" t="str">
        <f t="shared" si="233"/>
        <v>2</v>
      </c>
      <c r="E372" s="1">
        <f t="shared" si="234"/>
        <v>11</v>
      </c>
      <c r="F372" s="1">
        <f t="shared" si="235"/>
        <v>0</v>
      </c>
      <c r="G372" s="1">
        <f t="shared" si="236"/>
        <v>23</v>
      </c>
      <c r="H372" s="1">
        <f t="shared" si="244"/>
        <v>23</v>
      </c>
      <c r="I372" s="10" t="str">
        <f t="shared" si="237"/>
        <v>UpCR_MGAIN_T</v>
      </c>
      <c r="J372" s="1">
        <f t="shared" si="245"/>
        <v>0</v>
      </c>
      <c r="K372" s="1">
        <f t="shared" si="246"/>
        <v>0</v>
      </c>
      <c r="L372" s="1" t="str">
        <f t="shared" si="247"/>
        <v>0</v>
      </c>
      <c r="M372" s="10">
        <f t="shared" si="248"/>
        <v>0</v>
      </c>
      <c r="N372" s="1">
        <f t="shared" si="238"/>
        <v>26</v>
      </c>
      <c r="O372" s="1">
        <f t="shared" si="229"/>
        <v>0</v>
      </c>
      <c r="P372" s="1">
        <f t="shared" si="249"/>
        <v>70</v>
      </c>
      <c r="Q372" s="3" t="str">
        <f t="shared" si="228"/>
        <v xml:space="preserve"> Gain to be Multiplied to Cr Value &lt;MODE_T&gt; </v>
      </c>
      <c r="R372" s="11">
        <f t="shared" si="250"/>
        <v>703</v>
      </c>
      <c r="T372" s="13" t="str">
        <f t="shared" si="239"/>
        <v>2BF</v>
      </c>
      <c r="U372" s="14" t="str">
        <f t="shared" si="240"/>
        <v>UpCR_MGAIN_T</v>
      </c>
      <c r="V372" s="13" t="str">
        <f t="shared" si="241"/>
        <v>2</v>
      </c>
      <c r="W372" s="13">
        <f t="shared" si="242"/>
        <v>0</v>
      </c>
      <c r="X372" s="14" t="str">
        <f t="shared" si="243"/>
        <v xml:space="preserve"> Gain to be Multiplied to Cr Value &lt;MODE_T&gt; </v>
      </c>
    </row>
    <row r="373" spans="1:24" x14ac:dyDescent="0.3">
      <c r="A373" s="15" t="s">
        <v>87</v>
      </c>
      <c r="B373" s="1">
        <f t="shared" si="231"/>
        <v>8</v>
      </c>
      <c r="C373" s="1">
        <f t="shared" si="232"/>
        <v>9</v>
      </c>
      <c r="D373" s="10" t="str">
        <f t="shared" si="233"/>
        <v>2</v>
      </c>
      <c r="E373" s="1">
        <f t="shared" si="234"/>
        <v>11</v>
      </c>
      <c r="F373" s="1">
        <f t="shared" si="235"/>
        <v>0</v>
      </c>
      <c r="G373" s="1">
        <f t="shared" si="236"/>
        <v>21</v>
      </c>
      <c r="H373" s="1">
        <f t="shared" si="244"/>
        <v>21</v>
      </c>
      <c r="I373" s="10" t="str">
        <f t="shared" si="237"/>
        <v>UpCB_BST_T</v>
      </c>
      <c r="J373" s="1">
        <f t="shared" si="245"/>
        <v>0</v>
      </c>
      <c r="K373" s="1">
        <f t="shared" si="246"/>
        <v>0</v>
      </c>
      <c r="L373" s="1" t="str">
        <f t="shared" si="247"/>
        <v>0</v>
      </c>
      <c r="M373" s="10">
        <f t="shared" si="248"/>
        <v>0</v>
      </c>
      <c r="N373" s="1">
        <f t="shared" si="238"/>
        <v>24</v>
      </c>
      <c r="O373" s="1">
        <f t="shared" si="229"/>
        <v>0</v>
      </c>
      <c r="P373" s="1">
        <f t="shared" si="249"/>
        <v>79</v>
      </c>
      <c r="Q373" s="3" t="str">
        <f t="shared" si="228"/>
        <v xml:space="preserve"> Burst amplitude &amp; phase select parameter(Cr) &lt;MODE_T&gt; </v>
      </c>
      <c r="R373" s="11">
        <f t="shared" si="250"/>
        <v>705</v>
      </c>
      <c r="T373" s="13" t="str">
        <f t="shared" si="239"/>
        <v>2C1</v>
      </c>
      <c r="U373" s="14" t="str">
        <f t="shared" si="240"/>
        <v>UpCB_BST_T</v>
      </c>
      <c r="V373" s="13" t="str">
        <f t="shared" si="241"/>
        <v>2</v>
      </c>
      <c r="W373" s="13">
        <f t="shared" si="242"/>
        <v>0</v>
      </c>
      <c r="X373" s="14" t="str">
        <f t="shared" si="243"/>
        <v xml:space="preserve"> Burst amplitude &amp; phase select parameter(Cr) &lt;MODE_T&gt; </v>
      </c>
    </row>
    <row r="374" spans="1:24" x14ac:dyDescent="0.3">
      <c r="A374" s="15" t="s">
        <v>364</v>
      </c>
      <c r="B374" s="1">
        <f t="shared" si="231"/>
        <v>8</v>
      </c>
      <c r="C374" s="1">
        <f t="shared" si="232"/>
        <v>9</v>
      </c>
      <c r="D374" s="10" t="str">
        <f t="shared" si="233"/>
        <v>2</v>
      </c>
      <c r="E374" s="1">
        <f t="shared" si="234"/>
        <v>11</v>
      </c>
      <c r="F374" s="1">
        <f t="shared" si="235"/>
        <v>0</v>
      </c>
      <c r="G374" s="1">
        <f t="shared" si="236"/>
        <v>21</v>
      </c>
      <c r="H374" s="1">
        <f t="shared" si="244"/>
        <v>21</v>
      </c>
      <c r="I374" s="10" t="str">
        <f t="shared" si="237"/>
        <v>UpCR_BST_T</v>
      </c>
      <c r="J374" s="1">
        <f t="shared" si="245"/>
        <v>0</v>
      </c>
      <c r="K374" s="1">
        <f t="shared" si="246"/>
        <v>0</v>
      </c>
      <c r="L374" s="1" t="str">
        <f t="shared" si="247"/>
        <v>0</v>
      </c>
      <c r="M374" s="10">
        <f t="shared" si="248"/>
        <v>0</v>
      </c>
      <c r="N374" s="1">
        <f t="shared" si="238"/>
        <v>24</v>
      </c>
      <c r="O374" s="1">
        <f t="shared" si="229"/>
        <v>0</v>
      </c>
      <c r="P374" s="1">
        <f t="shared" si="249"/>
        <v>79</v>
      </c>
      <c r="Q374" s="3" t="str">
        <f t="shared" si="228"/>
        <v xml:space="preserve"> Burst amplitude &amp; phase select parameter(Cb) &lt;MODE_T&gt; </v>
      </c>
      <c r="R374" s="11">
        <f t="shared" si="250"/>
        <v>707</v>
      </c>
      <c r="T374" s="13" t="str">
        <f t="shared" si="239"/>
        <v>2C3</v>
      </c>
      <c r="U374" s="14" t="str">
        <f t="shared" si="240"/>
        <v>UpCR_BST_T</v>
      </c>
      <c r="V374" s="13" t="str">
        <f t="shared" si="241"/>
        <v>2</v>
      </c>
      <c r="W374" s="13">
        <f t="shared" si="242"/>
        <v>0</v>
      </c>
      <c r="X374" s="14" t="str">
        <f t="shared" si="243"/>
        <v xml:space="preserve"> Burst amplitude &amp; phase select parameter(Cb) &lt;MODE_T&gt; </v>
      </c>
    </row>
    <row r="375" spans="1:24" x14ac:dyDescent="0.3">
      <c r="A375" s="15" t="s">
        <v>88</v>
      </c>
      <c r="B375" s="1">
        <f t="shared" si="231"/>
        <v>8</v>
      </c>
      <c r="C375" s="1">
        <f t="shared" si="232"/>
        <v>9</v>
      </c>
      <c r="D375" s="10" t="str">
        <f t="shared" si="233"/>
        <v>2</v>
      </c>
      <c r="E375" s="1">
        <f t="shared" si="234"/>
        <v>11</v>
      </c>
      <c r="F375" s="1">
        <f t="shared" si="235"/>
        <v>0</v>
      </c>
      <c r="G375" s="1">
        <f t="shared" si="236"/>
        <v>20</v>
      </c>
      <c r="H375" s="1">
        <f t="shared" si="244"/>
        <v>20</v>
      </c>
      <c r="I375" s="10" t="str">
        <f t="shared" si="237"/>
        <v>UpHSC_K_T</v>
      </c>
      <c r="J375" s="1">
        <f t="shared" si="245"/>
        <v>0</v>
      </c>
      <c r="K375" s="1">
        <f t="shared" si="246"/>
        <v>0</v>
      </c>
      <c r="L375" s="1" t="str">
        <f t="shared" si="247"/>
        <v>0</v>
      </c>
      <c r="M375" s="10">
        <f t="shared" si="248"/>
        <v>0</v>
      </c>
      <c r="N375" s="1">
        <f t="shared" si="238"/>
        <v>23</v>
      </c>
      <c r="O375" s="1">
        <f t="shared" si="229"/>
        <v>0</v>
      </c>
      <c r="P375" s="1">
        <f t="shared" si="249"/>
        <v>57</v>
      </c>
      <c r="Q375" s="3" t="str">
        <f t="shared" si="228"/>
        <v xml:space="preserve"> Horizontal Scaler Ratio &lt;MODE_T&gt; </v>
      </c>
      <c r="R375" s="11">
        <f t="shared" si="250"/>
        <v>709</v>
      </c>
      <c r="T375" s="13" t="str">
        <f t="shared" si="239"/>
        <v>2C5</v>
      </c>
      <c r="U375" s="14" t="str">
        <f t="shared" si="240"/>
        <v>UpHSC_K_T</v>
      </c>
      <c r="V375" s="13" t="str">
        <f t="shared" si="241"/>
        <v>2</v>
      </c>
      <c r="W375" s="13">
        <f t="shared" si="242"/>
        <v>0</v>
      </c>
      <c r="X375" s="14" t="str">
        <f t="shared" si="243"/>
        <v xml:space="preserve"> Horizontal Scaler Ratio &lt;MODE_T&gt; </v>
      </c>
    </row>
    <row r="376" spans="1:24" x14ac:dyDescent="0.3">
      <c r="A376" s="15" t="s">
        <v>89</v>
      </c>
      <c r="B376" s="1">
        <f t="shared" si="231"/>
        <v>8</v>
      </c>
      <c r="C376" s="1">
        <f t="shared" si="232"/>
        <v>9</v>
      </c>
      <c r="D376" s="10" t="str">
        <f t="shared" si="233"/>
        <v>2</v>
      </c>
      <c r="E376" s="1">
        <f t="shared" si="234"/>
        <v>11</v>
      </c>
      <c r="F376" s="1">
        <f t="shared" si="235"/>
        <v>0</v>
      </c>
      <c r="G376" s="1">
        <f t="shared" si="236"/>
        <v>24</v>
      </c>
      <c r="H376" s="1">
        <f t="shared" si="244"/>
        <v>24</v>
      </c>
      <c r="I376" s="10" t="str">
        <f t="shared" si="237"/>
        <v>UpHLOCK_CAT_T</v>
      </c>
      <c r="J376" s="1">
        <f t="shared" si="245"/>
        <v>0</v>
      </c>
      <c r="K376" s="1">
        <f t="shared" si="246"/>
        <v>0</v>
      </c>
      <c r="L376" s="1" t="str">
        <f t="shared" si="247"/>
        <v>0</v>
      </c>
      <c r="M376" s="10">
        <f t="shared" si="248"/>
        <v>0</v>
      </c>
      <c r="N376" s="1">
        <f t="shared" si="238"/>
        <v>27</v>
      </c>
      <c r="O376" s="1">
        <f t="shared" si="229"/>
        <v>0</v>
      </c>
      <c r="P376" s="1">
        <f t="shared" si="249"/>
        <v>105</v>
      </c>
      <c r="Q376" s="3" t="str">
        <f t="shared" si="228"/>
        <v xml:space="preserve"> Video Encoder internal H sync delay parameter based on input H sync &lt;MODE_T&gt; </v>
      </c>
      <c r="R376" s="11">
        <f t="shared" si="250"/>
        <v>711</v>
      </c>
      <c r="T376" s="13" t="str">
        <f t="shared" si="239"/>
        <v>2C7</v>
      </c>
      <c r="U376" s="14" t="str">
        <f t="shared" si="240"/>
        <v>UpHLOCK_CAT_T</v>
      </c>
      <c r="V376" s="13" t="str">
        <f t="shared" si="241"/>
        <v>2</v>
      </c>
      <c r="W376" s="13">
        <f t="shared" si="242"/>
        <v>0</v>
      </c>
      <c r="X376" s="14" t="str">
        <f t="shared" si="243"/>
        <v xml:space="preserve"> Video Encoder internal H sync delay parameter based on input H sync &lt;MODE_T&gt; </v>
      </c>
    </row>
    <row r="377" spans="1:24" x14ac:dyDescent="0.3">
      <c r="A377" s="15" t="s">
        <v>365</v>
      </c>
      <c r="B377" s="1">
        <f t="shared" si="231"/>
        <v>8</v>
      </c>
      <c r="C377" s="1">
        <f t="shared" si="232"/>
        <v>9</v>
      </c>
      <c r="D377" s="10" t="str">
        <f t="shared" si="233"/>
        <v>2</v>
      </c>
      <c r="E377" s="1">
        <f t="shared" si="234"/>
        <v>11</v>
      </c>
      <c r="F377" s="1">
        <f t="shared" si="235"/>
        <v>0</v>
      </c>
      <c r="G377" s="1">
        <f t="shared" si="236"/>
        <v>27</v>
      </c>
      <c r="H377" s="1">
        <f t="shared" si="244"/>
        <v>27</v>
      </c>
      <c r="I377" s="10" t="str">
        <f t="shared" si="237"/>
        <v>UpVLOCK_CAT_EV_T</v>
      </c>
      <c r="J377" s="1">
        <f t="shared" si="245"/>
        <v>0</v>
      </c>
      <c r="K377" s="1">
        <f t="shared" si="246"/>
        <v>0</v>
      </c>
      <c r="L377" s="1" t="str">
        <f t="shared" si="247"/>
        <v>0</v>
      </c>
      <c r="M377" s="10">
        <f t="shared" si="248"/>
        <v>0</v>
      </c>
      <c r="N377" s="1">
        <f t="shared" si="238"/>
        <v>30</v>
      </c>
      <c r="O377" s="1">
        <f t="shared" si="229"/>
        <v>0</v>
      </c>
      <c r="P377" s="1">
        <f t="shared" si="249"/>
        <v>92</v>
      </c>
      <c r="Q377" s="3" t="str">
        <f t="shared" si="228"/>
        <v xml:space="preserve"> Contolling Vertical Locking Catch Point(Even field) &lt;MODE_T&gt; </v>
      </c>
      <c r="R377" s="11">
        <f t="shared" si="250"/>
        <v>713</v>
      </c>
      <c r="T377" s="13" t="str">
        <f t="shared" si="239"/>
        <v>2C9</v>
      </c>
      <c r="U377" s="14" t="str">
        <f t="shared" si="240"/>
        <v>UpVLOCK_CAT_EV_T</v>
      </c>
      <c r="V377" s="13" t="str">
        <f t="shared" si="241"/>
        <v>2</v>
      </c>
      <c r="W377" s="13">
        <f t="shared" si="242"/>
        <v>0</v>
      </c>
      <c r="X377" s="14" t="str">
        <f t="shared" si="243"/>
        <v xml:space="preserve"> Contolling Vertical Locking Catch Point(Even field) &lt;MODE_T&gt; </v>
      </c>
    </row>
    <row r="378" spans="1:24" x14ac:dyDescent="0.3">
      <c r="A378" s="15" t="s">
        <v>366</v>
      </c>
      <c r="B378" s="1">
        <f t="shared" si="231"/>
        <v>8</v>
      </c>
      <c r="C378" s="1">
        <f t="shared" si="232"/>
        <v>9</v>
      </c>
      <c r="D378" s="10" t="str">
        <f t="shared" si="233"/>
        <v>2</v>
      </c>
      <c r="E378" s="1">
        <f t="shared" si="234"/>
        <v>11</v>
      </c>
      <c r="F378" s="1">
        <f t="shared" si="235"/>
        <v>0</v>
      </c>
      <c r="G378" s="1">
        <f t="shared" si="236"/>
        <v>27</v>
      </c>
      <c r="H378" s="1">
        <f t="shared" si="244"/>
        <v>27</v>
      </c>
      <c r="I378" s="10" t="str">
        <f t="shared" si="237"/>
        <v>UpVLOCK_CAT_OD_T</v>
      </c>
      <c r="J378" s="1">
        <f t="shared" si="245"/>
        <v>0</v>
      </c>
      <c r="K378" s="1">
        <f t="shared" si="246"/>
        <v>0</v>
      </c>
      <c r="L378" s="1" t="str">
        <f t="shared" si="247"/>
        <v>0</v>
      </c>
      <c r="M378" s="10">
        <f t="shared" si="248"/>
        <v>0</v>
      </c>
      <c r="N378" s="1">
        <f t="shared" si="238"/>
        <v>30</v>
      </c>
      <c r="O378" s="1">
        <f t="shared" si="229"/>
        <v>0</v>
      </c>
      <c r="P378" s="1">
        <f t="shared" si="249"/>
        <v>91</v>
      </c>
      <c r="Q378" s="3" t="str">
        <f t="shared" si="228"/>
        <v xml:space="preserve"> Contolling Vertical Locking Catch Point(Odd field) &lt;MODE_T&gt; </v>
      </c>
      <c r="R378" s="11">
        <f t="shared" si="250"/>
        <v>715</v>
      </c>
      <c r="T378" s="13" t="str">
        <f t="shared" si="239"/>
        <v>2CB</v>
      </c>
      <c r="U378" s="14" t="str">
        <f t="shared" si="240"/>
        <v>UpVLOCK_CAT_OD_T</v>
      </c>
      <c r="V378" s="13" t="str">
        <f t="shared" si="241"/>
        <v>2</v>
      </c>
      <c r="W378" s="13">
        <f t="shared" si="242"/>
        <v>0</v>
      </c>
      <c r="X378" s="14" t="str">
        <f t="shared" si="243"/>
        <v xml:space="preserve"> Contolling Vertical Locking Catch Point(Odd field) &lt;MODE_T&gt; </v>
      </c>
    </row>
    <row r="379" spans="1:24" x14ac:dyDescent="0.3">
      <c r="A379" s="15" t="s">
        <v>367</v>
      </c>
      <c r="B379" s="1">
        <f t="shared" si="231"/>
        <v>8</v>
      </c>
      <c r="C379" s="1">
        <f t="shared" si="232"/>
        <v>9</v>
      </c>
      <c r="D379" s="10" t="str">
        <f t="shared" si="233"/>
        <v>2</v>
      </c>
      <c r="E379" s="1">
        <f t="shared" si="234"/>
        <v>11</v>
      </c>
      <c r="F379" s="1">
        <f t="shared" si="235"/>
        <v>129</v>
      </c>
      <c r="G379" s="1">
        <f t="shared" si="236"/>
        <v>27</v>
      </c>
      <c r="H379" s="1">
        <f t="shared" si="244"/>
        <v>27</v>
      </c>
      <c r="I379" s="10" t="str">
        <f t="shared" si="237"/>
        <v>UpCRX_AUTO_CAT_T</v>
      </c>
      <c r="J379" s="1">
        <f t="shared" si="245"/>
        <v>0</v>
      </c>
      <c r="K379" s="1">
        <f t="shared" si="246"/>
        <v>0</v>
      </c>
      <c r="L379" s="1" t="str">
        <f t="shared" si="247"/>
        <v>0</v>
      </c>
      <c r="M379" s="10">
        <f t="shared" si="248"/>
        <v>0</v>
      </c>
      <c r="N379" s="1">
        <f t="shared" si="238"/>
        <v>30</v>
      </c>
      <c r="O379" s="1">
        <f t="shared" si="229"/>
        <v>0</v>
      </c>
      <c r="P379" s="1">
        <f t="shared" si="249"/>
        <v>261</v>
      </c>
      <c r="Q379" s="3" t="str">
        <f t="shared" si="228"/>
        <v xml:space="preserve"> Delays the UTC data catching point of the corresponding parameter value from the first high signal, and the following datas are catched of the period of BITRATE (proceeded in the range of [UpCRX_HPOSEVS ~ UpCRX_HPOSEVE]) &lt;MODE_T&gt; </v>
      </c>
      <c r="R379" s="11">
        <f t="shared" si="250"/>
        <v>717</v>
      </c>
      <c r="T379" s="13" t="str">
        <f t="shared" si="239"/>
        <v>2CD</v>
      </c>
      <c r="U379" s="14" t="str">
        <f t="shared" si="240"/>
        <v>UpCRX_AUTO_CAT_T</v>
      </c>
      <c r="V379" s="13" t="str">
        <f t="shared" si="241"/>
        <v>2</v>
      </c>
      <c r="W379" s="13">
        <f t="shared" si="242"/>
        <v>0</v>
      </c>
      <c r="X379" s="14" t="str">
        <f t="shared" si="243"/>
        <v xml:space="preserve"> Delays the UTC data catching point of the corresponding parameter value from the first high signal, and the following datas are catched of the period of BITRATE (proceeded in the range of [UpCRX_HPOSEVS ~ UpCRX_HPOSEVE]) &lt;MODE_T&gt; </v>
      </c>
    </row>
    <row r="380" spans="1:24" x14ac:dyDescent="0.3">
      <c r="A380" s="15" t="s">
        <v>368</v>
      </c>
      <c r="B380" s="1">
        <f t="shared" si="231"/>
        <v>8</v>
      </c>
      <c r="C380" s="1">
        <f t="shared" si="232"/>
        <v>9</v>
      </c>
      <c r="D380" s="10" t="str">
        <f t="shared" si="233"/>
        <v>2</v>
      </c>
      <c r="E380" s="1">
        <f t="shared" si="234"/>
        <v>11</v>
      </c>
      <c r="F380" s="1">
        <f t="shared" si="235"/>
        <v>52</v>
      </c>
      <c r="G380" s="1">
        <f t="shared" si="236"/>
        <v>26</v>
      </c>
      <c r="H380" s="1">
        <f t="shared" si="244"/>
        <v>26</v>
      </c>
      <c r="I380" s="10" t="str">
        <f t="shared" si="237"/>
        <v>UpCRX_HPOSEVS_T</v>
      </c>
      <c r="J380" s="1">
        <f t="shared" si="245"/>
        <v>0</v>
      </c>
      <c r="K380" s="1">
        <f t="shared" si="246"/>
        <v>0</v>
      </c>
      <c r="L380" s="1" t="str">
        <f t="shared" si="247"/>
        <v>0</v>
      </c>
      <c r="M380" s="10">
        <f t="shared" si="248"/>
        <v>0</v>
      </c>
      <c r="N380" s="1">
        <f t="shared" si="238"/>
        <v>29</v>
      </c>
      <c r="O380" s="1">
        <f t="shared" si="229"/>
        <v>0</v>
      </c>
      <c r="P380" s="1">
        <f t="shared" si="249"/>
        <v>101</v>
      </c>
      <c r="Q380" s="3" t="str">
        <f t="shared" si="228"/>
        <v xml:space="preserve"> When UTC Communication, Start Position of Data Catching Point &lt;MODE_T&gt; </v>
      </c>
      <c r="R380" s="11">
        <f t="shared" si="250"/>
        <v>719</v>
      </c>
      <c r="T380" s="13" t="str">
        <f t="shared" si="239"/>
        <v>2CF</v>
      </c>
      <c r="U380" s="14" t="str">
        <f t="shared" si="240"/>
        <v>UpCRX_HPOSEVS_T</v>
      </c>
      <c r="V380" s="13" t="str">
        <f t="shared" si="241"/>
        <v>2</v>
      </c>
      <c r="W380" s="13">
        <f t="shared" si="242"/>
        <v>0</v>
      </c>
      <c r="X380" s="14" t="str">
        <f t="shared" si="243"/>
        <v xml:space="preserve"> When UTC Communication, Start Position of Data Catching Point &lt;MODE_T&gt; </v>
      </c>
    </row>
    <row r="381" spans="1:24" x14ac:dyDescent="0.3">
      <c r="A381" s="15" t="s">
        <v>369</v>
      </c>
      <c r="B381" s="1">
        <f t="shared" si="231"/>
        <v>8</v>
      </c>
      <c r="C381" s="1">
        <f t="shared" si="232"/>
        <v>9</v>
      </c>
      <c r="D381" s="10" t="str">
        <f t="shared" si="233"/>
        <v>2</v>
      </c>
      <c r="E381" s="1">
        <f t="shared" si="234"/>
        <v>11</v>
      </c>
      <c r="F381" s="1">
        <f t="shared" si="235"/>
        <v>52</v>
      </c>
      <c r="G381" s="1">
        <f t="shared" si="236"/>
        <v>26</v>
      </c>
      <c r="H381" s="1">
        <f t="shared" si="244"/>
        <v>26</v>
      </c>
      <c r="I381" s="10" t="str">
        <f t="shared" si="237"/>
        <v>UpCRX_HPOSEVE_T</v>
      </c>
      <c r="J381" s="1">
        <f t="shared" si="245"/>
        <v>0</v>
      </c>
      <c r="K381" s="1">
        <f t="shared" si="246"/>
        <v>0</v>
      </c>
      <c r="L381" s="1" t="str">
        <f t="shared" si="247"/>
        <v>0</v>
      </c>
      <c r="M381" s="10">
        <f t="shared" si="248"/>
        <v>0</v>
      </c>
      <c r="N381" s="1">
        <f t="shared" si="238"/>
        <v>29</v>
      </c>
      <c r="O381" s="1">
        <f t="shared" si="229"/>
        <v>0</v>
      </c>
      <c r="P381" s="1">
        <f t="shared" si="249"/>
        <v>99</v>
      </c>
      <c r="Q381" s="3" t="str">
        <f t="shared" si="228"/>
        <v xml:space="preserve"> When UTC Communication, End Position of Data Catching Point &lt;MODE_T&gt; </v>
      </c>
      <c r="R381" s="11">
        <f t="shared" si="250"/>
        <v>721</v>
      </c>
      <c r="T381" s="13" t="str">
        <f t="shared" si="239"/>
        <v>2D1</v>
      </c>
      <c r="U381" s="14" t="str">
        <f t="shared" si="240"/>
        <v>UpCRX_HPOSEVE_T</v>
      </c>
      <c r="V381" s="13" t="str">
        <f t="shared" si="241"/>
        <v>2</v>
      </c>
      <c r="W381" s="13">
        <f t="shared" si="242"/>
        <v>0</v>
      </c>
      <c r="X381" s="14" t="str">
        <f t="shared" si="243"/>
        <v xml:space="preserve"> When UTC Communication, End Position of Data Catching Point &lt;MODE_T&gt; </v>
      </c>
    </row>
    <row r="382" spans="1:24" x14ac:dyDescent="0.3">
      <c r="A382" s="15" t="s">
        <v>370</v>
      </c>
      <c r="B382" s="1">
        <f t="shared" si="231"/>
        <v>8</v>
      </c>
      <c r="C382" s="1">
        <f t="shared" si="232"/>
        <v>9</v>
      </c>
      <c r="D382" s="10" t="str">
        <f t="shared" si="233"/>
        <v>2</v>
      </c>
      <c r="E382" s="1">
        <f t="shared" si="234"/>
        <v>11</v>
      </c>
      <c r="F382" s="1">
        <f t="shared" si="235"/>
        <v>0</v>
      </c>
      <c r="G382" s="1">
        <f t="shared" si="236"/>
        <v>26</v>
      </c>
      <c r="H382" s="1">
        <f t="shared" si="244"/>
        <v>26</v>
      </c>
      <c r="I382" s="10" t="str">
        <f t="shared" si="237"/>
        <v>UpCRX_BITRATE_T</v>
      </c>
      <c r="J382" s="1">
        <f t="shared" si="245"/>
        <v>0</v>
      </c>
      <c r="K382" s="1">
        <f t="shared" si="246"/>
        <v>0</v>
      </c>
      <c r="L382" s="1" t="str">
        <f t="shared" si="247"/>
        <v>0</v>
      </c>
      <c r="M382" s="10">
        <f t="shared" si="248"/>
        <v>0</v>
      </c>
      <c r="N382" s="1">
        <f t="shared" si="238"/>
        <v>29</v>
      </c>
      <c r="O382" s="1">
        <f t="shared" si="229"/>
        <v>0</v>
      </c>
      <c r="P382" s="1">
        <f t="shared" si="249"/>
        <v>79</v>
      </c>
      <c r="Q382" s="3" t="str">
        <f t="shared" si="228"/>
        <v xml:space="preserve"> Decides the Catching Period of UTC Data &lt;MODE_T&gt; </v>
      </c>
      <c r="R382" s="11">
        <f t="shared" si="250"/>
        <v>723</v>
      </c>
      <c r="T382" s="13" t="str">
        <f t="shared" si="239"/>
        <v>2D3</v>
      </c>
      <c r="U382" s="14" t="str">
        <f t="shared" si="240"/>
        <v>UpCRX_BITRATE_T</v>
      </c>
      <c r="V382" s="13" t="str">
        <f t="shared" si="241"/>
        <v>2</v>
      </c>
      <c r="W382" s="13">
        <f t="shared" si="242"/>
        <v>0</v>
      </c>
      <c r="X382" s="14" t="str">
        <f t="shared" si="243"/>
        <v xml:space="preserve"> Decides the Catching Period of UTC Data &lt;MODE_T&gt; </v>
      </c>
    </row>
    <row r="383" spans="1:24" x14ac:dyDescent="0.3">
      <c r="A383" s="15" t="s">
        <v>151</v>
      </c>
      <c r="B383" s="1">
        <f t="shared" si="231"/>
        <v>0</v>
      </c>
      <c r="C383" s="1">
        <f t="shared" si="232"/>
        <v>0</v>
      </c>
      <c r="D383" s="10">
        <f t="shared" si="233"/>
        <v>0</v>
      </c>
      <c r="E383" s="1">
        <f t="shared" si="234"/>
        <v>0</v>
      </c>
      <c r="F383" s="1">
        <f t="shared" si="235"/>
        <v>0</v>
      </c>
      <c r="G383" s="1">
        <f t="shared" si="236"/>
        <v>0</v>
      </c>
      <c r="H383" s="1">
        <f t="shared" si="244"/>
        <v>0</v>
      </c>
      <c r="I383" s="10">
        <f t="shared" si="237"/>
        <v>0</v>
      </c>
      <c r="J383" s="1">
        <f t="shared" si="245"/>
        <v>0</v>
      </c>
      <c r="K383" s="1">
        <f t="shared" si="246"/>
        <v>0</v>
      </c>
      <c r="L383" s="1" t="str">
        <f t="shared" si="247"/>
        <v>0</v>
      </c>
      <c r="M383" s="10">
        <f t="shared" si="248"/>
        <v>0</v>
      </c>
      <c r="N383" s="1">
        <f t="shared" si="238"/>
        <v>3</v>
      </c>
      <c r="O383" s="1">
        <f t="shared" si="229"/>
        <v>1</v>
      </c>
      <c r="P383" s="1">
        <f t="shared" si="249"/>
        <v>10</v>
      </c>
      <c r="Q383" s="3" t="str">
        <f t="shared" si="228"/>
        <v>MODE_C</v>
      </c>
      <c r="R383" s="11">
        <f t="shared" si="250"/>
        <v>725</v>
      </c>
      <c r="T383" s="13" t="str">
        <f t="shared" si="239"/>
        <v>#</v>
      </c>
      <c r="U383" s="14" t="str">
        <f t="shared" si="240"/>
        <v>MODE_C</v>
      </c>
      <c r="V383" s="13">
        <f t="shared" si="241"/>
        <v>1</v>
      </c>
      <c r="W383" s="13">
        <f t="shared" si="242"/>
        <v>0</v>
      </c>
      <c r="X383" s="14" t="str">
        <f t="shared" si="243"/>
        <v>-</v>
      </c>
    </row>
    <row r="384" spans="1:24" x14ac:dyDescent="0.3">
      <c r="A384" s="15" t="s">
        <v>152</v>
      </c>
      <c r="B384" s="1">
        <f t="shared" si="231"/>
        <v>8</v>
      </c>
      <c r="C384" s="1">
        <f t="shared" si="232"/>
        <v>9</v>
      </c>
      <c r="D384" s="10" t="str">
        <f t="shared" si="233"/>
        <v>1</v>
      </c>
      <c r="E384" s="1">
        <f t="shared" si="234"/>
        <v>11</v>
      </c>
      <c r="F384" s="1">
        <f t="shared" si="235"/>
        <v>0</v>
      </c>
      <c r="G384" s="1">
        <f t="shared" si="236"/>
        <v>26</v>
      </c>
      <c r="H384" s="1">
        <f t="shared" si="244"/>
        <v>26</v>
      </c>
      <c r="I384" s="10" t="str">
        <f t="shared" si="237"/>
        <v>UpENC_RYGAINP_C</v>
      </c>
      <c r="J384" s="1">
        <f t="shared" si="245"/>
        <v>0</v>
      </c>
      <c r="K384" s="1">
        <f t="shared" si="246"/>
        <v>0</v>
      </c>
      <c r="L384" s="1" t="str">
        <f t="shared" si="247"/>
        <v>0</v>
      </c>
      <c r="M384" s="10">
        <f t="shared" si="248"/>
        <v>0</v>
      </c>
      <c r="N384" s="1">
        <f t="shared" si="238"/>
        <v>29</v>
      </c>
      <c r="O384" s="1">
        <f t="shared" si="229"/>
        <v>0</v>
      </c>
      <c r="P384" s="1">
        <f t="shared" si="249"/>
        <v>89</v>
      </c>
      <c r="Q384" s="3" t="str">
        <f t="shared" si="228"/>
        <v xml:space="preserve"> R-Y Positive Gain Control for HD-Analog(0 ~ 0xFF) &lt;MODE_C&gt; </v>
      </c>
      <c r="R384" s="11">
        <f t="shared" si="250"/>
        <v>725</v>
      </c>
      <c r="T384" s="13" t="str">
        <f t="shared" si="239"/>
        <v>2D5</v>
      </c>
      <c r="U384" s="14" t="str">
        <f t="shared" si="240"/>
        <v>UpENC_RYGAINP_C</v>
      </c>
      <c r="V384" s="13" t="str">
        <f t="shared" si="241"/>
        <v>1</v>
      </c>
      <c r="W384" s="13">
        <f t="shared" si="242"/>
        <v>0</v>
      </c>
      <c r="X384" s="14" t="str">
        <f t="shared" si="243"/>
        <v xml:space="preserve"> R-Y Positive Gain Control for HD-Analog(0 ~ 0xFF) &lt;MODE_C&gt; </v>
      </c>
    </row>
    <row r="385" spans="1:24" x14ac:dyDescent="0.3">
      <c r="A385" s="15" t="s">
        <v>90</v>
      </c>
      <c r="B385" s="1">
        <f t="shared" si="231"/>
        <v>8</v>
      </c>
      <c r="C385" s="1">
        <f t="shared" si="232"/>
        <v>9</v>
      </c>
      <c r="D385" s="10" t="str">
        <f t="shared" si="233"/>
        <v>1</v>
      </c>
      <c r="E385" s="1">
        <f t="shared" si="234"/>
        <v>11</v>
      </c>
      <c r="F385" s="1">
        <f t="shared" si="235"/>
        <v>0</v>
      </c>
      <c r="G385" s="1">
        <f t="shared" si="236"/>
        <v>26</v>
      </c>
      <c r="H385" s="1">
        <f t="shared" si="244"/>
        <v>26</v>
      </c>
      <c r="I385" s="10" t="str">
        <f t="shared" si="237"/>
        <v>UpENC_RYGAINN_C</v>
      </c>
      <c r="J385" s="1">
        <f t="shared" si="245"/>
        <v>0</v>
      </c>
      <c r="K385" s="1">
        <f t="shared" si="246"/>
        <v>0</v>
      </c>
      <c r="L385" s="1" t="str">
        <f t="shared" si="247"/>
        <v>0</v>
      </c>
      <c r="M385" s="10">
        <f t="shared" si="248"/>
        <v>0</v>
      </c>
      <c r="N385" s="1">
        <f t="shared" si="238"/>
        <v>29</v>
      </c>
      <c r="O385" s="1">
        <f t="shared" si="229"/>
        <v>0</v>
      </c>
      <c r="P385" s="1">
        <f t="shared" si="249"/>
        <v>89</v>
      </c>
      <c r="Q385" s="3" t="str">
        <f t="shared" si="228"/>
        <v xml:space="preserve"> R-Y Negative Gain Control for HD-Analog(0 ~ 0xFF) &lt;MODE_C&gt; </v>
      </c>
      <c r="R385" s="11">
        <f t="shared" si="250"/>
        <v>726</v>
      </c>
      <c r="T385" s="13" t="str">
        <f t="shared" si="239"/>
        <v>2D6</v>
      </c>
      <c r="U385" s="14" t="str">
        <f t="shared" si="240"/>
        <v>UpENC_RYGAINN_C</v>
      </c>
      <c r="V385" s="13" t="str">
        <f t="shared" si="241"/>
        <v>1</v>
      </c>
      <c r="W385" s="13">
        <f t="shared" si="242"/>
        <v>0</v>
      </c>
      <c r="X385" s="14" t="str">
        <f t="shared" si="243"/>
        <v xml:space="preserve"> R-Y Negative Gain Control for HD-Analog(0 ~ 0xFF) &lt;MODE_C&gt; </v>
      </c>
    </row>
    <row r="386" spans="1:24" x14ac:dyDescent="0.3">
      <c r="A386" s="15" t="s">
        <v>91</v>
      </c>
      <c r="B386" s="1">
        <f t="shared" si="231"/>
        <v>8</v>
      </c>
      <c r="C386" s="1">
        <f t="shared" si="232"/>
        <v>9</v>
      </c>
      <c r="D386" s="10" t="str">
        <f t="shared" si="233"/>
        <v>1</v>
      </c>
      <c r="E386" s="1">
        <f t="shared" si="234"/>
        <v>11</v>
      </c>
      <c r="F386" s="1">
        <f t="shared" si="235"/>
        <v>0</v>
      </c>
      <c r="G386" s="1">
        <f t="shared" si="236"/>
        <v>26</v>
      </c>
      <c r="H386" s="1">
        <f t="shared" si="244"/>
        <v>26</v>
      </c>
      <c r="I386" s="10" t="str">
        <f t="shared" si="237"/>
        <v>UpENC_BYGAINP_C</v>
      </c>
      <c r="J386" s="1">
        <f t="shared" si="245"/>
        <v>0</v>
      </c>
      <c r="K386" s="1">
        <f t="shared" si="246"/>
        <v>0</v>
      </c>
      <c r="L386" s="1" t="str">
        <f t="shared" si="247"/>
        <v>0</v>
      </c>
      <c r="M386" s="10">
        <f t="shared" si="248"/>
        <v>0</v>
      </c>
      <c r="N386" s="1">
        <f t="shared" si="238"/>
        <v>29</v>
      </c>
      <c r="O386" s="1">
        <f t="shared" si="229"/>
        <v>0</v>
      </c>
      <c r="P386" s="1">
        <f t="shared" si="249"/>
        <v>89</v>
      </c>
      <c r="Q386" s="3" t="str">
        <f t="shared" si="228"/>
        <v xml:space="preserve"> B-Y Positive Gain Control for HD-Analog(0 ~ 0xFF) &lt;MODE_C&gt; </v>
      </c>
      <c r="R386" s="11">
        <f t="shared" si="250"/>
        <v>727</v>
      </c>
      <c r="T386" s="13" t="str">
        <f t="shared" si="239"/>
        <v>2D7</v>
      </c>
      <c r="U386" s="14" t="str">
        <f t="shared" si="240"/>
        <v>UpENC_BYGAINP_C</v>
      </c>
      <c r="V386" s="13" t="str">
        <f t="shared" si="241"/>
        <v>1</v>
      </c>
      <c r="W386" s="13">
        <f t="shared" si="242"/>
        <v>0</v>
      </c>
      <c r="X386" s="14" t="str">
        <f t="shared" si="243"/>
        <v xml:space="preserve"> B-Y Positive Gain Control for HD-Analog(0 ~ 0xFF) &lt;MODE_C&gt; </v>
      </c>
    </row>
    <row r="387" spans="1:24" x14ac:dyDescent="0.3">
      <c r="A387" s="15" t="s">
        <v>92</v>
      </c>
      <c r="B387" s="1">
        <f t="shared" si="231"/>
        <v>8</v>
      </c>
      <c r="C387" s="1">
        <f t="shared" si="232"/>
        <v>9</v>
      </c>
      <c r="D387" s="10" t="str">
        <f t="shared" si="233"/>
        <v>1</v>
      </c>
      <c r="E387" s="1">
        <f t="shared" si="234"/>
        <v>11</v>
      </c>
      <c r="F387" s="1">
        <f t="shared" si="235"/>
        <v>0</v>
      </c>
      <c r="G387" s="1">
        <f t="shared" si="236"/>
        <v>26</v>
      </c>
      <c r="H387" s="1">
        <f t="shared" si="244"/>
        <v>26</v>
      </c>
      <c r="I387" s="10" t="str">
        <f t="shared" si="237"/>
        <v>UpENC_BYGAINN_C</v>
      </c>
      <c r="J387" s="1">
        <f t="shared" si="245"/>
        <v>0</v>
      </c>
      <c r="K387" s="1">
        <f t="shared" si="246"/>
        <v>0</v>
      </c>
      <c r="L387" s="1" t="str">
        <f t="shared" si="247"/>
        <v>0</v>
      </c>
      <c r="M387" s="10">
        <f t="shared" si="248"/>
        <v>0</v>
      </c>
      <c r="N387" s="1">
        <f t="shared" si="238"/>
        <v>29</v>
      </c>
      <c r="O387" s="1">
        <f t="shared" si="229"/>
        <v>0</v>
      </c>
      <c r="P387" s="1">
        <f t="shared" si="249"/>
        <v>89</v>
      </c>
      <c r="Q387" s="3" t="str">
        <f t="shared" si="228"/>
        <v xml:space="preserve"> B-Y Negative Gain Control for HD-Analog(0 ~ 0xFF) &lt;MODE_C&gt; </v>
      </c>
      <c r="R387" s="11">
        <f t="shared" si="250"/>
        <v>728</v>
      </c>
      <c r="T387" s="13" t="str">
        <f t="shared" si="239"/>
        <v>2D8</v>
      </c>
      <c r="U387" s="14" t="str">
        <f t="shared" si="240"/>
        <v>UpENC_BYGAINN_C</v>
      </c>
      <c r="V387" s="13" t="str">
        <f t="shared" si="241"/>
        <v>1</v>
      </c>
      <c r="W387" s="13">
        <f t="shared" si="242"/>
        <v>0</v>
      </c>
      <c r="X387" s="14" t="str">
        <f t="shared" si="243"/>
        <v xml:space="preserve"> B-Y Negative Gain Control for HD-Analog(0 ~ 0xFF) &lt;MODE_C&gt; </v>
      </c>
    </row>
    <row r="388" spans="1:24" x14ac:dyDescent="0.3">
      <c r="A388" s="15" t="s">
        <v>93</v>
      </c>
      <c r="B388" s="1">
        <f t="shared" si="231"/>
        <v>8</v>
      </c>
      <c r="C388" s="1">
        <f t="shared" si="232"/>
        <v>9</v>
      </c>
      <c r="D388" s="10" t="str">
        <f t="shared" si="233"/>
        <v>1</v>
      </c>
      <c r="E388" s="1">
        <f t="shared" si="234"/>
        <v>11</v>
      </c>
      <c r="F388" s="1">
        <f t="shared" si="235"/>
        <v>0</v>
      </c>
      <c r="G388" s="1">
        <f t="shared" si="236"/>
        <v>25</v>
      </c>
      <c r="H388" s="1">
        <f t="shared" si="244"/>
        <v>25</v>
      </c>
      <c r="I388" s="10" t="str">
        <f t="shared" si="237"/>
        <v>UpENC_RYHUEP_C</v>
      </c>
      <c r="J388" s="1">
        <f t="shared" si="245"/>
        <v>0</v>
      </c>
      <c r="K388" s="1">
        <f t="shared" si="246"/>
        <v>0</v>
      </c>
      <c r="L388" s="1" t="str">
        <f t="shared" si="247"/>
        <v>0</v>
      </c>
      <c r="M388" s="10">
        <f t="shared" si="248"/>
        <v>0</v>
      </c>
      <c r="N388" s="1">
        <f t="shared" si="238"/>
        <v>28</v>
      </c>
      <c r="O388" s="1">
        <f t="shared" si="229"/>
        <v>0</v>
      </c>
      <c r="P388" s="1">
        <f t="shared" si="249"/>
        <v>77</v>
      </c>
      <c r="Q388" s="3" t="str">
        <f t="shared" ref="Q388:Q451" si="251">IF($N388&gt;0,MID($A388,($N388+$O388),$P388-($N388+$O388)),"")</f>
        <v xml:space="preserve"> R-Y Positive Hue Control for HD-Analog &lt;MODE_C&gt; </v>
      </c>
      <c r="R388" s="11">
        <f t="shared" si="250"/>
        <v>729</v>
      </c>
      <c r="T388" s="13" t="str">
        <f t="shared" si="239"/>
        <v>2D9</v>
      </c>
      <c r="U388" s="14" t="str">
        <f t="shared" si="240"/>
        <v>UpENC_RYHUEP_C</v>
      </c>
      <c r="V388" s="13" t="str">
        <f t="shared" si="241"/>
        <v>1</v>
      </c>
      <c r="W388" s="13">
        <f t="shared" si="242"/>
        <v>0</v>
      </c>
      <c r="X388" s="14" t="str">
        <f t="shared" si="243"/>
        <v xml:space="preserve"> R-Y Positive Hue Control for HD-Analog &lt;MODE_C&gt; </v>
      </c>
    </row>
    <row r="389" spans="1:24" x14ac:dyDescent="0.3">
      <c r="A389" s="15" t="s">
        <v>94</v>
      </c>
      <c r="B389" s="1">
        <f t="shared" si="231"/>
        <v>8</v>
      </c>
      <c r="C389" s="1">
        <f t="shared" si="232"/>
        <v>9</v>
      </c>
      <c r="D389" s="10" t="str">
        <f t="shared" si="233"/>
        <v>1</v>
      </c>
      <c r="E389" s="1">
        <f t="shared" si="234"/>
        <v>11</v>
      </c>
      <c r="F389" s="1">
        <f t="shared" si="235"/>
        <v>0</v>
      </c>
      <c r="G389" s="1">
        <f t="shared" si="236"/>
        <v>25</v>
      </c>
      <c r="H389" s="1">
        <f t="shared" si="244"/>
        <v>25</v>
      </c>
      <c r="I389" s="10" t="str">
        <f t="shared" si="237"/>
        <v>UpENC_RYHUEN_C</v>
      </c>
      <c r="J389" s="1">
        <f t="shared" si="245"/>
        <v>0</v>
      </c>
      <c r="K389" s="1">
        <f t="shared" si="246"/>
        <v>0</v>
      </c>
      <c r="L389" s="1" t="str">
        <f t="shared" si="247"/>
        <v>0</v>
      </c>
      <c r="M389" s="10">
        <f t="shared" si="248"/>
        <v>0</v>
      </c>
      <c r="N389" s="1">
        <f t="shared" si="238"/>
        <v>28</v>
      </c>
      <c r="O389" s="1">
        <f t="shared" ref="O389:O452" si="252">IFERROR(FIND("#",$A389)+1-N389,0)</f>
        <v>0</v>
      </c>
      <c r="P389" s="1">
        <f t="shared" si="249"/>
        <v>77</v>
      </c>
      <c r="Q389" s="3" t="str">
        <f t="shared" si="251"/>
        <v xml:space="preserve"> R-Y Negative Hue Control for HD-Analog &lt;MODE_C&gt; </v>
      </c>
      <c r="R389" s="11">
        <f t="shared" si="250"/>
        <v>730</v>
      </c>
      <c r="T389" s="13" t="str">
        <f t="shared" si="239"/>
        <v>2DA</v>
      </c>
      <c r="U389" s="14" t="str">
        <f t="shared" si="240"/>
        <v>UpENC_RYHUEN_C</v>
      </c>
      <c r="V389" s="13" t="str">
        <f t="shared" si="241"/>
        <v>1</v>
      </c>
      <c r="W389" s="13">
        <f t="shared" si="242"/>
        <v>0</v>
      </c>
      <c r="X389" s="14" t="str">
        <f t="shared" si="243"/>
        <v xml:space="preserve"> R-Y Negative Hue Control for HD-Analog &lt;MODE_C&gt; </v>
      </c>
    </row>
    <row r="390" spans="1:24" x14ac:dyDescent="0.3">
      <c r="A390" s="15" t="s">
        <v>95</v>
      </c>
      <c r="B390" s="1">
        <f t="shared" si="231"/>
        <v>8</v>
      </c>
      <c r="C390" s="1">
        <f t="shared" si="232"/>
        <v>9</v>
      </c>
      <c r="D390" s="10" t="str">
        <f t="shared" si="233"/>
        <v>1</v>
      </c>
      <c r="E390" s="1">
        <f t="shared" si="234"/>
        <v>11</v>
      </c>
      <c r="F390" s="1">
        <f t="shared" si="235"/>
        <v>0</v>
      </c>
      <c r="G390" s="1">
        <f t="shared" si="236"/>
        <v>25</v>
      </c>
      <c r="H390" s="1">
        <f t="shared" si="244"/>
        <v>25</v>
      </c>
      <c r="I390" s="10" t="str">
        <f t="shared" si="237"/>
        <v>UpENC_BYHUEP_C</v>
      </c>
      <c r="J390" s="1">
        <f t="shared" si="245"/>
        <v>0</v>
      </c>
      <c r="K390" s="1">
        <f t="shared" si="246"/>
        <v>0</v>
      </c>
      <c r="L390" s="1" t="str">
        <f t="shared" si="247"/>
        <v>0</v>
      </c>
      <c r="M390" s="10">
        <f t="shared" si="248"/>
        <v>0</v>
      </c>
      <c r="N390" s="1">
        <f t="shared" si="238"/>
        <v>28</v>
      </c>
      <c r="O390" s="1">
        <f t="shared" si="252"/>
        <v>0</v>
      </c>
      <c r="P390" s="1">
        <f t="shared" si="249"/>
        <v>77</v>
      </c>
      <c r="Q390" s="3" t="str">
        <f t="shared" si="251"/>
        <v xml:space="preserve"> B-Y Positive Hue Control for HD-Analog &lt;MODE_C&gt; </v>
      </c>
      <c r="R390" s="11">
        <f t="shared" si="250"/>
        <v>731</v>
      </c>
      <c r="T390" s="13" t="str">
        <f t="shared" si="239"/>
        <v>2DB</v>
      </c>
      <c r="U390" s="14" t="str">
        <f t="shared" si="240"/>
        <v>UpENC_BYHUEP_C</v>
      </c>
      <c r="V390" s="13" t="str">
        <f t="shared" si="241"/>
        <v>1</v>
      </c>
      <c r="W390" s="13">
        <f t="shared" si="242"/>
        <v>0</v>
      </c>
      <c r="X390" s="14" t="str">
        <f t="shared" si="243"/>
        <v xml:space="preserve"> B-Y Positive Hue Control for HD-Analog &lt;MODE_C&gt; </v>
      </c>
    </row>
    <row r="391" spans="1:24" x14ac:dyDescent="0.3">
      <c r="A391" s="15" t="s">
        <v>371</v>
      </c>
      <c r="B391" s="1">
        <f t="shared" ref="B391:B454" si="253">IFERROR(FIND("UP_SET(",$A391)+7,0)</f>
        <v>8</v>
      </c>
      <c r="C391" s="1">
        <f t="shared" ref="C391:C454" si="254">IF($B391&gt;0,FIND(",",$A391,$B391),0)</f>
        <v>9</v>
      </c>
      <c r="D391" s="10" t="str">
        <f t="shared" ref="D391:D454" si="255">IF($B391&gt;0,MID($A391,$B391,$C391-$B391),0)</f>
        <v>1</v>
      </c>
      <c r="E391" s="1">
        <f t="shared" ref="E391:E454" si="256">IF($B391&gt;0,FIND("Up",$A391,$C391),0)</f>
        <v>11</v>
      </c>
      <c r="F391" s="1">
        <f t="shared" ref="F391:F454" si="257">IF($B391&gt;0,IFERROR(FIND(",",$A391,$E391),0),0)</f>
        <v>0</v>
      </c>
      <c r="G391" s="1">
        <f t="shared" ref="G391:G454" si="258">IF($B391&gt;0,FIND(")",$A391,$B391),0)</f>
        <v>25</v>
      </c>
      <c r="H391" s="1">
        <f t="shared" si="244"/>
        <v>25</v>
      </c>
      <c r="I391" s="10" t="str">
        <f t="shared" ref="I391:I454" si="259">IF($B391&gt;0,MID($A391,$E391,$H391-$E391),0)</f>
        <v>UpENC_BYHUEN_C</v>
      </c>
      <c r="J391" s="1">
        <f t="shared" si="245"/>
        <v>0</v>
      </c>
      <c r="K391" s="1">
        <f t="shared" si="246"/>
        <v>0</v>
      </c>
      <c r="L391" s="1" t="str">
        <f t="shared" si="247"/>
        <v>0</v>
      </c>
      <c r="M391" s="10">
        <f t="shared" si="248"/>
        <v>0</v>
      </c>
      <c r="N391" s="1">
        <f t="shared" ref="N391:N454" si="260">IFERROR(FIND("/*",$A391)+2,0)</f>
        <v>28</v>
      </c>
      <c r="O391" s="1">
        <f t="shared" si="252"/>
        <v>0</v>
      </c>
      <c r="P391" s="1">
        <f t="shared" si="249"/>
        <v>77</v>
      </c>
      <c r="Q391" s="3" t="str">
        <f t="shared" si="251"/>
        <v xml:space="preserve"> B-Y Negative Hue Control for HD-Analog &lt;MODE_C&gt; </v>
      </c>
      <c r="R391" s="11">
        <f t="shared" si="250"/>
        <v>732</v>
      </c>
      <c r="T391" s="13" t="str">
        <f t="shared" si="239"/>
        <v>2DC</v>
      </c>
      <c r="U391" s="14" t="str">
        <f t="shared" si="240"/>
        <v>UpENC_BYHUEN_C</v>
      </c>
      <c r="V391" s="13" t="str">
        <f t="shared" si="241"/>
        <v>1</v>
      </c>
      <c r="W391" s="13">
        <f t="shared" si="242"/>
        <v>0</v>
      </c>
      <c r="X391" s="14" t="str">
        <f t="shared" si="243"/>
        <v xml:space="preserve"> B-Y Negative Hue Control for HD-Analog &lt;MODE_C&gt; </v>
      </c>
    </row>
    <row r="392" spans="1:24" x14ac:dyDescent="0.3">
      <c r="A392" s="15" t="s">
        <v>96</v>
      </c>
      <c r="B392" s="1">
        <f t="shared" si="253"/>
        <v>8</v>
      </c>
      <c r="C392" s="1">
        <f t="shared" si="254"/>
        <v>9</v>
      </c>
      <c r="D392" s="10" t="str">
        <f t="shared" si="255"/>
        <v>2</v>
      </c>
      <c r="E392" s="1">
        <f t="shared" si="256"/>
        <v>11</v>
      </c>
      <c r="F392" s="1">
        <f t="shared" si="257"/>
        <v>0</v>
      </c>
      <c r="G392" s="1">
        <f t="shared" si="258"/>
        <v>23</v>
      </c>
      <c r="H392" s="1">
        <f t="shared" si="244"/>
        <v>23</v>
      </c>
      <c r="I392" s="10" t="str">
        <f t="shared" si="259"/>
        <v>UpWHITE_LV_C</v>
      </c>
      <c r="J392" s="1">
        <f t="shared" si="245"/>
        <v>0</v>
      </c>
      <c r="K392" s="1">
        <f t="shared" si="246"/>
        <v>0</v>
      </c>
      <c r="L392" s="1" t="str">
        <f t="shared" si="247"/>
        <v>0</v>
      </c>
      <c r="M392" s="10">
        <f t="shared" si="248"/>
        <v>0</v>
      </c>
      <c r="N392" s="1">
        <f t="shared" si="260"/>
        <v>26</v>
      </c>
      <c r="O392" s="1">
        <f t="shared" si="252"/>
        <v>0</v>
      </c>
      <c r="P392" s="1">
        <f t="shared" si="249"/>
        <v>66</v>
      </c>
      <c r="Q392" s="3" t="str">
        <f t="shared" si="251"/>
        <v xml:space="preserve"> White level control parameter &lt;MODE_C&gt; </v>
      </c>
      <c r="R392" s="11">
        <f t="shared" si="250"/>
        <v>733</v>
      </c>
      <c r="T392" s="13" t="str">
        <f t="shared" si="239"/>
        <v>2DD</v>
      </c>
      <c r="U392" s="14" t="str">
        <f t="shared" si="240"/>
        <v>UpWHITE_LV_C</v>
      </c>
      <c r="V392" s="13" t="str">
        <f t="shared" si="241"/>
        <v>2</v>
      </c>
      <c r="W392" s="13">
        <f t="shared" si="242"/>
        <v>0</v>
      </c>
      <c r="X392" s="14" t="str">
        <f t="shared" si="243"/>
        <v xml:space="preserve"> White level control parameter &lt;MODE_C&gt; </v>
      </c>
    </row>
    <row r="393" spans="1:24" x14ac:dyDescent="0.3">
      <c r="A393" s="15" t="s">
        <v>97</v>
      </c>
      <c r="B393" s="1">
        <f t="shared" si="253"/>
        <v>8</v>
      </c>
      <c r="C393" s="1">
        <f t="shared" si="254"/>
        <v>9</v>
      </c>
      <c r="D393" s="10" t="str">
        <f t="shared" si="255"/>
        <v>2</v>
      </c>
      <c r="E393" s="1">
        <f t="shared" si="256"/>
        <v>11</v>
      </c>
      <c r="F393" s="1">
        <f t="shared" si="257"/>
        <v>0</v>
      </c>
      <c r="G393" s="1">
        <f t="shared" si="258"/>
        <v>23</v>
      </c>
      <c r="H393" s="1">
        <f t="shared" si="244"/>
        <v>23</v>
      </c>
      <c r="I393" s="10" t="str">
        <f t="shared" si="259"/>
        <v>UpBLANK_LV_C</v>
      </c>
      <c r="J393" s="1">
        <f t="shared" si="245"/>
        <v>0</v>
      </c>
      <c r="K393" s="1">
        <f t="shared" si="246"/>
        <v>0</v>
      </c>
      <c r="L393" s="1" t="str">
        <f t="shared" si="247"/>
        <v>0</v>
      </c>
      <c r="M393" s="10">
        <f t="shared" si="248"/>
        <v>0</v>
      </c>
      <c r="N393" s="1">
        <f t="shared" si="260"/>
        <v>26</v>
      </c>
      <c r="O393" s="1">
        <f t="shared" si="252"/>
        <v>0</v>
      </c>
      <c r="P393" s="1">
        <f t="shared" si="249"/>
        <v>66</v>
      </c>
      <c r="Q393" s="3" t="str">
        <f t="shared" si="251"/>
        <v xml:space="preserve"> Blank level control parameter &lt;MODE_C&gt; </v>
      </c>
      <c r="R393" s="11">
        <f t="shared" si="250"/>
        <v>735</v>
      </c>
      <c r="T393" s="13" t="str">
        <f t="shared" si="239"/>
        <v>2DF</v>
      </c>
      <c r="U393" s="14" t="str">
        <f t="shared" si="240"/>
        <v>UpBLANK_LV_C</v>
      </c>
      <c r="V393" s="13" t="str">
        <f t="shared" si="241"/>
        <v>2</v>
      </c>
      <c r="W393" s="13">
        <f t="shared" si="242"/>
        <v>0</v>
      </c>
      <c r="X393" s="14" t="str">
        <f t="shared" si="243"/>
        <v xml:space="preserve"> Blank level control parameter &lt;MODE_C&gt; </v>
      </c>
    </row>
    <row r="394" spans="1:24" x14ac:dyDescent="0.3">
      <c r="A394" s="15" t="s">
        <v>124</v>
      </c>
      <c r="B394" s="1">
        <f t="shared" si="253"/>
        <v>8</v>
      </c>
      <c r="C394" s="1">
        <f t="shared" si="254"/>
        <v>9</v>
      </c>
      <c r="D394" s="10" t="str">
        <f t="shared" si="255"/>
        <v>2</v>
      </c>
      <c r="E394" s="1">
        <f t="shared" si="256"/>
        <v>11</v>
      </c>
      <c r="F394" s="1">
        <f t="shared" si="257"/>
        <v>0</v>
      </c>
      <c r="G394" s="1">
        <f t="shared" si="258"/>
        <v>26</v>
      </c>
      <c r="H394" s="1">
        <f t="shared" si="244"/>
        <v>26</v>
      </c>
      <c r="I394" s="10" t="str">
        <f t="shared" si="259"/>
        <v>UpPEDESTAL_LV_C</v>
      </c>
      <c r="J394" s="1">
        <f t="shared" si="245"/>
        <v>0</v>
      </c>
      <c r="K394" s="1">
        <f t="shared" si="246"/>
        <v>0</v>
      </c>
      <c r="L394" s="1" t="str">
        <f t="shared" si="247"/>
        <v>0</v>
      </c>
      <c r="M394" s="10">
        <f t="shared" si="248"/>
        <v>0</v>
      </c>
      <c r="N394" s="1">
        <f t="shared" si="260"/>
        <v>29</v>
      </c>
      <c r="O394" s="1">
        <f t="shared" si="252"/>
        <v>0</v>
      </c>
      <c r="P394" s="1">
        <f t="shared" si="249"/>
        <v>72</v>
      </c>
      <c r="Q394" s="3" t="str">
        <f t="shared" si="251"/>
        <v xml:space="preserve"> Pedestal level control parameter &lt;MODE_C&gt; </v>
      </c>
      <c r="R394" s="11">
        <f t="shared" si="250"/>
        <v>737</v>
      </c>
      <c r="T394" s="13" t="str">
        <f t="shared" si="239"/>
        <v>2E1</v>
      </c>
      <c r="U394" s="14" t="str">
        <f t="shared" si="240"/>
        <v>UpPEDESTAL_LV_C</v>
      </c>
      <c r="V394" s="13" t="str">
        <f t="shared" si="241"/>
        <v>2</v>
      </c>
      <c r="W394" s="13">
        <f t="shared" si="242"/>
        <v>0</v>
      </c>
      <c r="X394" s="14" t="str">
        <f t="shared" si="243"/>
        <v xml:space="preserve"> Pedestal level control parameter &lt;MODE_C&gt; </v>
      </c>
    </row>
    <row r="395" spans="1:24" x14ac:dyDescent="0.3">
      <c r="A395" s="15" t="s">
        <v>372</v>
      </c>
      <c r="B395" s="1">
        <f t="shared" si="253"/>
        <v>8</v>
      </c>
      <c r="C395" s="1">
        <f t="shared" si="254"/>
        <v>9</v>
      </c>
      <c r="D395" s="10" t="str">
        <f t="shared" si="255"/>
        <v>4</v>
      </c>
      <c r="E395" s="1">
        <f t="shared" si="256"/>
        <v>11</v>
      </c>
      <c r="F395" s="1">
        <f t="shared" si="257"/>
        <v>0</v>
      </c>
      <c r="G395" s="1">
        <f t="shared" si="258"/>
        <v>22</v>
      </c>
      <c r="H395" s="1">
        <f t="shared" si="244"/>
        <v>22</v>
      </c>
      <c r="I395" s="10" t="str">
        <f t="shared" si="259"/>
        <v>UpFSC_TGT_C</v>
      </c>
      <c r="J395" s="1">
        <f t="shared" si="245"/>
        <v>0</v>
      </c>
      <c r="K395" s="1">
        <f t="shared" si="246"/>
        <v>0</v>
      </c>
      <c r="L395" s="1" t="str">
        <f t="shared" si="247"/>
        <v>0</v>
      </c>
      <c r="M395" s="10">
        <f t="shared" si="248"/>
        <v>0</v>
      </c>
      <c r="N395" s="1">
        <f t="shared" si="260"/>
        <v>25</v>
      </c>
      <c r="O395" s="1">
        <f t="shared" si="252"/>
        <v>0</v>
      </c>
      <c r="P395" s="1">
        <f t="shared" si="249"/>
        <v>76</v>
      </c>
      <c r="Q395" s="3" t="str">
        <f t="shared" si="251"/>
        <v xml:space="preserve"> Deciding Target for SubCarrier Frequency &lt;MODE_C&gt; </v>
      </c>
      <c r="R395" s="11">
        <f t="shared" si="250"/>
        <v>739</v>
      </c>
      <c r="T395" s="13" t="str">
        <f t="shared" si="239"/>
        <v>2E3</v>
      </c>
      <c r="U395" s="14" t="str">
        <f t="shared" si="240"/>
        <v>UpFSC_TGT_C</v>
      </c>
      <c r="V395" s="13" t="str">
        <f t="shared" si="241"/>
        <v>4</v>
      </c>
      <c r="W395" s="13">
        <f t="shared" si="242"/>
        <v>0</v>
      </c>
      <c r="X395" s="14" t="str">
        <f t="shared" si="243"/>
        <v xml:space="preserve"> Deciding Target for SubCarrier Frequency &lt;MODE_C&gt; </v>
      </c>
    </row>
    <row r="396" spans="1:24" x14ac:dyDescent="0.3">
      <c r="A396" s="15" t="s">
        <v>373</v>
      </c>
      <c r="B396" s="1">
        <f t="shared" si="253"/>
        <v>8</v>
      </c>
      <c r="C396" s="1">
        <f t="shared" si="254"/>
        <v>9</v>
      </c>
      <c r="D396" s="10" t="str">
        <f t="shared" si="255"/>
        <v>2</v>
      </c>
      <c r="E396" s="1">
        <f t="shared" si="256"/>
        <v>11</v>
      </c>
      <c r="F396" s="1">
        <f t="shared" si="257"/>
        <v>0</v>
      </c>
      <c r="G396" s="1">
        <f t="shared" si="258"/>
        <v>22</v>
      </c>
      <c r="H396" s="1">
        <f t="shared" si="244"/>
        <v>22</v>
      </c>
      <c r="I396" s="10" t="str">
        <f t="shared" si="259"/>
        <v>UpY_MGAIN_C</v>
      </c>
      <c r="J396" s="1">
        <f t="shared" si="245"/>
        <v>0</v>
      </c>
      <c r="K396" s="1">
        <f t="shared" si="246"/>
        <v>0</v>
      </c>
      <c r="L396" s="1" t="str">
        <f t="shared" si="247"/>
        <v>0</v>
      </c>
      <c r="M396" s="10">
        <f t="shared" si="248"/>
        <v>0</v>
      </c>
      <c r="N396" s="1">
        <f t="shared" si="260"/>
        <v>25</v>
      </c>
      <c r="O396" s="1">
        <f t="shared" si="252"/>
        <v>0</v>
      </c>
      <c r="P396" s="1">
        <f t="shared" si="249"/>
        <v>75</v>
      </c>
      <c r="Q396" s="3" t="str">
        <f t="shared" si="251"/>
        <v xml:space="preserve"> Gain to be Multiplied to Y Output Value &lt;MODE_C&gt; </v>
      </c>
      <c r="R396" s="11">
        <f t="shared" si="250"/>
        <v>743</v>
      </c>
      <c r="T396" s="13" t="str">
        <f t="shared" si="239"/>
        <v>2E7</v>
      </c>
      <c r="U396" s="14" t="str">
        <f t="shared" si="240"/>
        <v>UpY_MGAIN_C</v>
      </c>
      <c r="V396" s="13" t="str">
        <f t="shared" si="241"/>
        <v>2</v>
      </c>
      <c r="W396" s="13">
        <f t="shared" si="242"/>
        <v>0</v>
      </c>
      <c r="X396" s="14" t="str">
        <f t="shared" si="243"/>
        <v xml:space="preserve"> Gain to be Multiplied to Y Output Value &lt;MODE_C&gt; </v>
      </c>
    </row>
    <row r="397" spans="1:24" x14ac:dyDescent="0.3">
      <c r="A397" s="15" t="s">
        <v>374</v>
      </c>
      <c r="B397" s="1">
        <f t="shared" si="253"/>
        <v>8</v>
      </c>
      <c r="C397" s="1">
        <f t="shared" si="254"/>
        <v>9</v>
      </c>
      <c r="D397" s="10" t="str">
        <f t="shared" si="255"/>
        <v>2</v>
      </c>
      <c r="E397" s="1">
        <f t="shared" si="256"/>
        <v>11</v>
      </c>
      <c r="F397" s="1">
        <f t="shared" si="257"/>
        <v>0</v>
      </c>
      <c r="G397" s="1">
        <f t="shared" si="258"/>
        <v>23</v>
      </c>
      <c r="H397" s="1">
        <f t="shared" si="244"/>
        <v>23</v>
      </c>
      <c r="I397" s="10" t="str">
        <f t="shared" si="259"/>
        <v>UpCB_MGAIN_C</v>
      </c>
      <c r="J397" s="1">
        <f t="shared" si="245"/>
        <v>0</v>
      </c>
      <c r="K397" s="1">
        <f t="shared" si="246"/>
        <v>0</v>
      </c>
      <c r="L397" s="1" t="str">
        <f t="shared" si="247"/>
        <v>0</v>
      </c>
      <c r="M397" s="10">
        <f t="shared" si="248"/>
        <v>0</v>
      </c>
      <c r="N397" s="1">
        <f t="shared" si="260"/>
        <v>26</v>
      </c>
      <c r="O397" s="1">
        <f t="shared" si="252"/>
        <v>0</v>
      </c>
      <c r="P397" s="1">
        <f t="shared" si="249"/>
        <v>70</v>
      </c>
      <c r="Q397" s="3" t="str">
        <f t="shared" si="251"/>
        <v xml:space="preserve"> Gain to be Multiplied to Cb Value &lt;MODE_C&gt; </v>
      </c>
      <c r="R397" s="11">
        <f t="shared" si="250"/>
        <v>745</v>
      </c>
      <c r="T397" s="13" t="str">
        <f t="shared" si="239"/>
        <v>2E9</v>
      </c>
      <c r="U397" s="14" t="str">
        <f t="shared" si="240"/>
        <v>UpCB_MGAIN_C</v>
      </c>
      <c r="V397" s="13" t="str">
        <f t="shared" si="241"/>
        <v>2</v>
      </c>
      <c r="W397" s="13">
        <f t="shared" si="242"/>
        <v>0</v>
      </c>
      <c r="X397" s="14" t="str">
        <f t="shared" si="243"/>
        <v xml:space="preserve"> Gain to be Multiplied to Cb Value &lt;MODE_C&gt; </v>
      </c>
    </row>
    <row r="398" spans="1:24" x14ac:dyDescent="0.3">
      <c r="A398" s="15" t="s">
        <v>375</v>
      </c>
      <c r="B398" s="1">
        <f t="shared" si="253"/>
        <v>8</v>
      </c>
      <c r="C398" s="1">
        <f t="shared" si="254"/>
        <v>9</v>
      </c>
      <c r="D398" s="10" t="str">
        <f t="shared" si="255"/>
        <v>2</v>
      </c>
      <c r="E398" s="1">
        <f t="shared" si="256"/>
        <v>11</v>
      </c>
      <c r="F398" s="1">
        <f t="shared" si="257"/>
        <v>0</v>
      </c>
      <c r="G398" s="1">
        <f t="shared" si="258"/>
        <v>23</v>
      </c>
      <c r="H398" s="1">
        <f t="shared" si="244"/>
        <v>23</v>
      </c>
      <c r="I398" s="10" t="str">
        <f t="shared" si="259"/>
        <v>UpCR_MGAIN_C</v>
      </c>
      <c r="J398" s="1">
        <f t="shared" si="245"/>
        <v>0</v>
      </c>
      <c r="K398" s="1">
        <f t="shared" si="246"/>
        <v>0</v>
      </c>
      <c r="L398" s="1" t="str">
        <f t="shared" si="247"/>
        <v>0</v>
      </c>
      <c r="M398" s="10">
        <f t="shared" si="248"/>
        <v>0</v>
      </c>
      <c r="N398" s="1">
        <f t="shared" si="260"/>
        <v>26</v>
      </c>
      <c r="O398" s="1">
        <f t="shared" si="252"/>
        <v>0</v>
      </c>
      <c r="P398" s="1">
        <f t="shared" si="249"/>
        <v>70</v>
      </c>
      <c r="Q398" s="3" t="str">
        <f t="shared" si="251"/>
        <v xml:space="preserve"> Gain to be Multiplied to Cr Value &lt;MODE_C&gt; </v>
      </c>
      <c r="R398" s="11">
        <f t="shared" si="250"/>
        <v>747</v>
      </c>
      <c r="T398" s="13" t="str">
        <f t="shared" si="239"/>
        <v>2EB</v>
      </c>
      <c r="U398" s="14" t="str">
        <f t="shared" si="240"/>
        <v>UpCR_MGAIN_C</v>
      </c>
      <c r="V398" s="13" t="str">
        <f t="shared" si="241"/>
        <v>2</v>
      </c>
      <c r="W398" s="13">
        <f t="shared" si="242"/>
        <v>0</v>
      </c>
      <c r="X398" s="14" t="str">
        <f t="shared" si="243"/>
        <v xml:space="preserve"> Gain to be Multiplied to Cr Value &lt;MODE_C&gt; </v>
      </c>
    </row>
    <row r="399" spans="1:24" x14ac:dyDescent="0.3">
      <c r="A399" s="15" t="s">
        <v>98</v>
      </c>
      <c r="B399" s="1">
        <f t="shared" si="253"/>
        <v>8</v>
      </c>
      <c r="C399" s="1">
        <f t="shared" si="254"/>
        <v>9</v>
      </c>
      <c r="D399" s="10" t="str">
        <f t="shared" si="255"/>
        <v>2</v>
      </c>
      <c r="E399" s="1">
        <f t="shared" si="256"/>
        <v>11</v>
      </c>
      <c r="F399" s="1">
        <f t="shared" si="257"/>
        <v>0</v>
      </c>
      <c r="G399" s="1">
        <f t="shared" si="258"/>
        <v>21</v>
      </c>
      <c r="H399" s="1">
        <f t="shared" si="244"/>
        <v>21</v>
      </c>
      <c r="I399" s="10" t="str">
        <f t="shared" si="259"/>
        <v>UpCB_BST_C</v>
      </c>
      <c r="J399" s="1">
        <f t="shared" si="245"/>
        <v>0</v>
      </c>
      <c r="K399" s="1">
        <f t="shared" si="246"/>
        <v>0</v>
      </c>
      <c r="L399" s="1" t="str">
        <f t="shared" si="247"/>
        <v>0</v>
      </c>
      <c r="M399" s="10">
        <f t="shared" si="248"/>
        <v>0</v>
      </c>
      <c r="N399" s="1">
        <f t="shared" si="260"/>
        <v>24</v>
      </c>
      <c r="O399" s="1">
        <f t="shared" si="252"/>
        <v>0</v>
      </c>
      <c r="P399" s="1">
        <f t="shared" si="249"/>
        <v>79</v>
      </c>
      <c r="Q399" s="3" t="str">
        <f t="shared" si="251"/>
        <v xml:space="preserve"> Burst amplitude &amp; phase select parameter(Cr) &lt;MODE_C&gt; </v>
      </c>
      <c r="R399" s="11">
        <f t="shared" si="250"/>
        <v>749</v>
      </c>
      <c r="T399" s="13" t="str">
        <f t="shared" si="239"/>
        <v>2ED</v>
      </c>
      <c r="U399" s="14" t="str">
        <f t="shared" si="240"/>
        <v>UpCB_BST_C</v>
      </c>
      <c r="V399" s="13" t="str">
        <f t="shared" si="241"/>
        <v>2</v>
      </c>
      <c r="W399" s="13">
        <f t="shared" si="242"/>
        <v>0</v>
      </c>
      <c r="X399" s="14" t="str">
        <f t="shared" si="243"/>
        <v xml:space="preserve"> Burst amplitude &amp; phase select parameter(Cr) &lt;MODE_C&gt; </v>
      </c>
    </row>
    <row r="400" spans="1:24" x14ac:dyDescent="0.3">
      <c r="A400" s="15" t="s">
        <v>376</v>
      </c>
      <c r="B400" s="1">
        <f t="shared" si="253"/>
        <v>8</v>
      </c>
      <c r="C400" s="1">
        <f t="shared" si="254"/>
        <v>9</v>
      </c>
      <c r="D400" s="10" t="str">
        <f t="shared" si="255"/>
        <v>2</v>
      </c>
      <c r="E400" s="1">
        <f t="shared" si="256"/>
        <v>11</v>
      </c>
      <c r="F400" s="1">
        <f t="shared" si="257"/>
        <v>0</v>
      </c>
      <c r="G400" s="1">
        <f t="shared" si="258"/>
        <v>21</v>
      </c>
      <c r="H400" s="1">
        <f t="shared" si="244"/>
        <v>21</v>
      </c>
      <c r="I400" s="10" t="str">
        <f t="shared" si="259"/>
        <v>UpCR_BST_C</v>
      </c>
      <c r="J400" s="1">
        <f t="shared" si="245"/>
        <v>0</v>
      </c>
      <c r="K400" s="1">
        <f t="shared" si="246"/>
        <v>0</v>
      </c>
      <c r="L400" s="1" t="str">
        <f t="shared" si="247"/>
        <v>0</v>
      </c>
      <c r="M400" s="10">
        <f t="shared" si="248"/>
        <v>0</v>
      </c>
      <c r="N400" s="1">
        <f t="shared" si="260"/>
        <v>24</v>
      </c>
      <c r="O400" s="1">
        <f t="shared" si="252"/>
        <v>0</v>
      </c>
      <c r="P400" s="1">
        <f t="shared" si="249"/>
        <v>79</v>
      </c>
      <c r="Q400" s="3" t="str">
        <f t="shared" si="251"/>
        <v xml:space="preserve"> Burst amplitude &amp; phase select parameter(Cb) &lt;MODE_C&gt; </v>
      </c>
      <c r="R400" s="11">
        <f t="shared" si="250"/>
        <v>751</v>
      </c>
      <c r="T400" s="13" t="str">
        <f t="shared" si="239"/>
        <v>2EF</v>
      </c>
      <c r="U400" s="14" t="str">
        <f t="shared" si="240"/>
        <v>UpCR_BST_C</v>
      </c>
      <c r="V400" s="13" t="str">
        <f t="shared" si="241"/>
        <v>2</v>
      </c>
      <c r="W400" s="13">
        <f t="shared" si="242"/>
        <v>0</v>
      </c>
      <c r="X400" s="14" t="str">
        <f t="shared" si="243"/>
        <v xml:space="preserve"> Burst amplitude &amp; phase select parameter(Cb) &lt;MODE_C&gt; </v>
      </c>
    </row>
    <row r="401" spans="1:24" x14ac:dyDescent="0.3">
      <c r="A401" s="15" t="s">
        <v>99</v>
      </c>
      <c r="B401" s="1">
        <f t="shared" si="253"/>
        <v>8</v>
      </c>
      <c r="C401" s="1">
        <f t="shared" si="254"/>
        <v>9</v>
      </c>
      <c r="D401" s="10" t="str">
        <f t="shared" si="255"/>
        <v>2</v>
      </c>
      <c r="E401" s="1">
        <f t="shared" si="256"/>
        <v>11</v>
      </c>
      <c r="F401" s="1">
        <f t="shared" si="257"/>
        <v>0</v>
      </c>
      <c r="G401" s="1">
        <f t="shared" si="258"/>
        <v>20</v>
      </c>
      <c r="H401" s="1">
        <f t="shared" si="244"/>
        <v>20</v>
      </c>
      <c r="I401" s="10" t="str">
        <f t="shared" si="259"/>
        <v>UpHSC_K_C</v>
      </c>
      <c r="J401" s="1">
        <f t="shared" si="245"/>
        <v>0</v>
      </c>
      <c r="K401" s="1">
        <f t="shared" si="246"/>
        <v>0</v>
      </c>
      <c r="L401" s="1" t="str">
        <f t="shared" si="247"/>
        <v>0</v>
      </c>
      <c r="M401" s="10">
        <f t="shared" si="248"/>
        <v>0</v>
      </c>
      <c r="N401" s="1">
        <f t="shared" si="260"/>
        <v>23</v>
      </c>
      <c r="O401" s="1">
        <f t="shared" si="252"/>
        <v>0</v>
      </c>
      <c r="P401" s="1">
        <f t="shared" si="249"/>
        <v>57</v>
      </c>
      <c r="Q401" s="3" t="str">
        <f t="shared" si="251"/>
        <v xml:space="preserve"> Horizontal Scaler Ratio &lt;MODE_C&gt; </v>
      </c>
      <c r="R401" s="11">
        <f t="shared" si="250"/>
        <v>753</v>
      </c>
      <c r="T401" s="13" t="str">
        <f t="shared" si="239"/>
        <v>2F1</v>
      </c>
      <c r="U401" s="14" t="str">
        <f t="shared" si="240"/>
        <v>UpHSC_K_C</v>
      </c>
      <c r="V401" s="13" t="str">
        <f t="shared" si="241"/>
        <v>2</v>
      </c>
      <c r="W401" s="13">
        <f t="shared" si="242"/>
        <v>0</v>
      </c>
      <c r="X401" s="14" t="str">
        <f t="shared" si="243"/>
        <v xml:space="preserve"> Horizontal Scaler Ratio &lt;MODE_C&gt; </v>
      </c>
    </row>
    <row r="402" spans="1:24" x14ac:dyDescent="0.3">
      <c r="A402" s="15" t="s">
        <v>100</v>
      </c>
      <c r="B402" s="1">
        <f t="shared" si="253"/>
        <v>8</v>
      </c>
      <c r="C402" s="1">
        <f t="shared" si="254"/>
        <v>9</v>
      </c>
      <c r="D402" s="10" t="str">
        <f t="shared" si="255"/>
        <v>2</v>
      </c>
      <c r="E402" s="1">
        <f t="shared" si="256"/>
        <v>11</v>
      </c>
      <c r="F402" s="1">
        <f t="shared" si="257"/>
        <v>0</v>
      </c>
      <c r="G402" s="1">
        <f t="shared" si="258"/>
        <v>24</v>
      </c>
      <c r="H402" s="1">
        <f t="shared" si="244"/>
        <v>24</v>
      </c>
      <c r="I402" s="10" t="str">
        <f t="shared" si="259"/>
        <v>UpHLOCK_CAT_C</v>
      </c>
      <c r="J402" s="1">
        <f t="shared" si="245"/>
        <v>0</v>
      </c>
      <c r="K402" s="1">
        <f t="shared" si="246"/>
        <v>0</v>
      </c>
      <c r="L402" s="1" t="str">
        <f t="shared" si="247"/>
        <v>0</v>
      </c>
      <c r="M402" s="10">
        <f t="shared" si="248"/>
        <v>0</v>
      </c>
      <c r="N402" s="1">
        <f t="shared" si="260"/>
        <v>27</v>
      </c>
      <c r="O402" s="1">
        <f t="shared" si="252"/>
        <v>0</v>
      </c>
      <c r="P402" s="1">
        <f t="shared" si="249"/>
        <v>105</v>
      </c>
      <c r="Q402" s="3" t="str">
        <f t="shared" si="251"/>
        <v xml:space="preserve"> Video Encoder internal H sync delay parameter based on input H sync &lt;MODE_C&gt; </v>
      </c>
      <c r="R402" s="11">
        <f t="shared" si="250"/>
        <v>755</v>
      </c>
      <c r="T402" s="13" t="str">
        <f t="shared" si="239"/>
        <v>2F3</v>
      </c>
      <c r="U402" s="14" t="str">
        <f t="shared" si="240"/>
        <v>UpHLOCK_CAT_C</v>
      </c>
      <c r="V402" s="13" t="str">
        <f t="shared" si="241"/>
        <v>2</v>
      </c>
      <c r="W402" s="13">
        <f t="shared" si="242"/>
        <v>0</v>
      </c>
      <c r="X402" s="14" t="str">
        <f t="shared" si="243"/>
        <v xml:space="preserve"> Video Encoder internal H sync delay parameter based on input H sync &lt;MODE_C&gt; </v>
      </c>
    </row>
    <row r="403" spans="1:24" x14ac:dyDescent="0.3">
      <c r="A403" s="15" t="s">
        <v>377</v>
      </c>
      <c r="B403" s="1">
        <f t="shared" si="253"/>
        <v>8</v>
      </c>
      <c r="C403" s="1">
        <f t="shared" si="254"/>
        <v>9</v>
      </c>
      <c r="D403" s="10" t="str">
        <f t="shared" si="255"/>
        <v>2</v>
      </c>
      <c r="E403" s="1">
        <f t="shared" si="256"/>
        <v>11</v>
      </c>
      <c r="F403" s="1">
        <f t="shared" si="257"/>
        <v>0</v>
      </c>
      <c r="G403" s="1">
        <f t="shared" si="258"/>
        <v>27</v>
      </c>
      <c r="H403" s="1">
        <f t="shared" si="244"/>
        <v>27</v>
      </c>
      <c r="I403" s="10" t="str">
        <f t="shared" si="259"/>
        <v>UpVLOCK_CAT_EV_C</v>
      </c>
      <c r="J403" s="1">
        <f t="shared" si="245"/>
        <v>0</v>
      </c>
      <c r="K403" s="1">
        <f t="shared" si="246"/>
        <v>0</v>
      </c>
      <c r="L403" s="1" t="str">
        <f t="shared" si="247"/>
        <v>0</v>
      </c>
      <c r="M403" s="10">
        <f t="shared" si="248"/>
        <v>0</v>
      </c>
      <c r="N403" s="1">
        <f t="shared" si="260"/>
        <v>30</v>
      </c>
      <c r="O403" s="1">
        <f t="shared" si="252"/>
        <v>0</v>
      </c>
      <c r="P403" s="1">
        <f t="shared" si="249"/>
        <v>92</v>
      </c>
      <c r="Q403" s="3" t="str">
        <f t="shared" si="251"/>
        <v xml:space="preserve"> Contolling Vertical Locking Catch Point(Even field) &lt;MODE_C&gt; </v>
      </c>
      <c r="R403" s="11">
        <f t="shared" si="250"/>
        <v>757</v>
      </c>
      <c r="T403" s="13" t="str">
        <f t="shared" ref="T403:T466" si="261">IF(A403="",IF(A402="","",$T$1),IF(O403=1,"#",IF(B403=0,"*",DEC2HEX(R403))))</f>
        <v>2F5</v>
      </c>
      <c r="U403" s="14" t="str">
        <f t="shared" ref="U403:U466" si="262">IF(A403="",IF(A402="","",$U$1),  IF(B403=0,Q403,I403)  )</f>
        <v>UpVLOCK_CAT_EV_C</v>
      </c>
      <c r="V403" s="13" t="str">
        <f t="shared" ref="V403:V466" si="263">IF(U403=$U$1,"",IF(A403="",IF(A402="","",1),  IF(B403=0,1,D403)  ))</f>
        <v>2</v>
      </c>
      <c r="W403" s="13">
        <f t="shared" ref="W403:W466" si="264">IF(U403=$U$1,"",IF(A403="",IF(A402="","",0),  IF(C403=0,0,0)  ))</f>
        <v>0</v>
      </c>
      <c r="X403" s="14" t="str">
        <f t="shared" ref="X403:X466" si="265">IF(U403=$U$1,"",IF(U403="","",IF(B403&gt;0,IF(Q403&lt;&gt;"",Q403,"No description"),"-")))</f>
        <v xml:space="preserve"> Contolling Vertical Locking Catch Point(Even field) &lt;MODE_C&gt; </v>
      </c>
    </row>
    <row r="404" spans="1:24" x14ac:dyDescent="0.3">
      <c r="A404" s="15" t="s">
        <v>378</v>
      </c>
      <c r="B404" s="1">
        <f t="shared" si="253"/>
        <v>8</v>
      </c>
      <c r="C404" s="1">
        <f t="shared" si="254"/>
        <v>9</v>
      </c>
      <c r="D404" s="10" t="str">
        <f t="shared" si="255"/>
        <v>2</v>
      </c>
      <c r="E404" s="1">
        <f t="shared" si="256"/>
        <v>11</v>
      </c>
      <c r="F404" s="1">
        <f t="shared" si="257"/>
        <v>0</v>
      </c>
      <c r="G404" s="1">
        <f t="shared" si="258"/>
        <v>27</v>
      </c>
      <c r="H404" s="1">
        <f t="shared" si="244"/>
        <v>27</v>
      </c>
      <c r="I404" s="10" t="str">
        <f t="shared" si="259"/>
        <v>UpVLOCK_CAT_OD_C</v>
      </c>
      <c r="J404" s="1">
        <f t="shared" si="245"/>
        <v>0</v>
      </c>
      <c r="K404" s="1">
        <f t="shared" si="246"/>
        <v>0</v>
      </c>
      <c r="L404" s="1" t="str">
        <f t="shared" si="247"/>
        <v>0</v>
      </c>
      <c r="M404" s="10">
        <f t="shared" si="248"/>
        <v>0</v>
      </c>
      <c r="N404" s="1">
        <f t="shared" si="260"/>
        <v>30</v>
      </c>
      <c r="O404" s="1">
        <f t="shared" si="252"/>
        <v>0</v>
      </c>
      <c r="P404" s="1">
        <f t="shared" si="249"/>
        <v>91</v>
      </c>
      <c r="Q404" s="3" t="str">
        <f t="shared" si="251"/>
        <v xml:space="preserve"> Contolling Vertical Locking Catch Point(Odd field) &lt;MODE_C&gt; </v>
      </c>
      <c r="R404" s="11">
        <f t="shared" si="250"/>
        <v>759</v>
      </c>
      <c r="T404" s="13" t="str">
        <f t="shared" si="261"/>
        <v>2F7</v>
      </c>
      <c r="U404" s="14" t="str">
        <f t="shared" si="262"/>
        <v>UpVLOCK_CAT_OD_C</v>
      </c>
      <c r="V404" s="13" t="str">
        <f t="shared" si="263"/>
        <v>2</v>
      </c>
      <c r="W404" s="13">
        <f t="shared" si="264"/>
        <v>0</v>
      </c>
      <c r="X404" s="14" t="str">
        <f t="shared" si="265"/>
        <v xml:space="preserve"> Contolling Vertical Locking Catch Point(Odd field) &lt;MODE_C&gt; </v>
      </c>
    </row>
    <row r="405" spans="1:24" x14ac:dyDescent="0.3">
      <c r="A405" s="15" t="s">
        <v>379</v>
      </c>
      <c r="B405" s="1">
        <f t="shared" si="253"/>
        <v>8</v>
      </c>
      <c r="C405" s="1">
        <f t="shared" si="254"/>
        <v>9</v>
      </c>
      <c r="D405" s="10" t="str">
        <f t="shared" si="255"/>
        <v>2</v>
      </c>
      <c r="E405" s="1">
        <f t="shared" si="256"/>
        <v>11</v>
      </c>
      <c r="F405" s="1">
        <f t="shared" si="257"/>
        <v>129</v>
      </c>
      <c r="G405" s="1">
        <f t="shared" si="258"/>
        <v>27</v>
      </c>
      <c r="H405" s="1">
        <f t="shared" si="244"/>
        <v>27</v>
      </c>
      <c r="I405" s="10" t="str">
        <f t="shared" si="259"/>
        <v>UpCRX_AUTO_CAT_C</v>
      </c>
      <c r="J405" s="1">
        <f t="shared" si="245"/>
        <v>0</v>
      </c>
      <c r="K405" s="1">
        <f t="shared" si="246"/>
        <v>0</v>
      </c>
      <c r="L405" s="1" t="str">
        <f t="shared" si="247"/>
        <v>0</v>
      </c>
      <c r="M405" s="10">
        <f t="shared" si="248"/>
        <v>0</v>
      </c>
      <c r="N405" s="1">
        <f t="shared" si="260"/>
        <v>30</v>
      </c>
      <c r="O405" s="1">
        <f t="shared" si="252"/>
        <v>0</v>
      </c>
      <c r="P405" s="1">
        <f t="shared" si="249"/>
        <v>261</v>
      </c>
      <c r="Q405" s="3" t="str">
        <f t="shared" si="251"/>
        <v xml:space="preserve"> Delays the UTC data catching point of the corresponding parameter value from the first high signal, and the following datas are catched of the period of BITRATE (proceeded in the range of [UpCRX_HPOSEVS ~ UpCRX_HPOSEVE]) &lt;MODE_C&gt; </v>
      </c>
      <c r="R405" s="11">
        <f t="shared" si="250"/>
        <v>761</v>
      </c>
      <c r="T405" s="13" t="str">
        <f t="shared" si="261"/>
        <v>2F9</v>
      </c>
      <c r="U405" s="14" t="str">
        <f t="shared" si="262"/>
        <v>UpCRX_AUTO_CAT_C</v>
      </c>
      <c r="V405" s="13" t="str">
        <f t="shared" si="263"/>
        <v>2</v>
      </c>
      <c r="W405" s="13">
        <f t="shared" si="264"/>
        <v>0</v>
      </c>
      <c r="X405" s="14" t="str">
        <f t="shared" si="265"/>
        <v xml:space="preserve"> Delays the UTC data catching point of the corresponding parameter value from the first high signal, and the following datas are catched of the period of BITRATE (proceeded in the range of [UpCRX_HPOSEVS ~ UpCRX_HPOSEVE]) &lt;MODE_C&gt; </v>
      </c>
    </row>
    <row r="406" spans="1:24" x14ac:dyDescent="0.3">
      <c r="A406" s="15" t="s">
        <v>380</v>
      </c>
      <c r="B406" s="1">
        <f t="shared" si="253"/>
        <v>8</v>
      </c>
      <c r="C406" s="1">
        <f t="shared" si="254"/>
        <v>9</v>
      </c>
      <c r="D406" s="10" t="str">
        <f t="shared" si="255"/>
        <v>2</v>
      </c>
      <c r="E406" s="1">
        <f t="shared" si="256"/>
        <v>11</v>
      </c>
      <c r="F406" s="1">
        <f t="shared" si="257"/>
        <v>52</v>
      </c>
      <c r="G406" s="1">
        <f t="shared" si="258"/>
        <v>26</v>
      </c>
      <c r="H406" s="1">
        <f t="shared" si="244"/>
        <v>26</v>
      </c>
      <c r="I406" s="10" t="str">
        <f t="shared" si="259"/>
        <v>UpCRX_HPOSEVS_C</v>
      </c>
      <c r="J406" s="1">
        <f t="shared" si="245"/>
        <v>0</v>
      </c>
      <c r="K406" s="1">
        <f t="shared" si="246"/>
        <v>0</v>
      </c>
      <c r="L406" s="1" t="str">
        <f t="shared" si="247"/>
        <v>0</v>
      </c>
      <c r="M406" s="10">
        <f t="shared" si="248"/>
        <v>0</v>
      </c>
      <c r="N406" s="1">
        <f t="shared" si="260"/>
        <v>29</v>
      </c>
      <c r="O406" s="1">
        <f t="shared" si="252"/>
        <v>0</v>
      </c>
      <c r="P406" s="1">
        <f t="shared" si="249"/>
        <v>101</v>
      </c>
      <c r="Q406" s="3" t="str">
        <f t="shared" si="251"/>
        <v xml:space="preserve"> When UTC Communication, Start Position of Data Catching Point &lt;MODE_C&gt; </v>
      </c>
      <c r="R406" s="11">
        <f t="shared" si="250"/>
        <v>763</v>
      </c>
      <c r="T406" s="13" t="str">
        <f t="shared" si="261"/>
        <v>2FB</v>
      </c>
      <c r="U406" s="14" t="str">
        <f t="shared" si="262"/>
        <v>UpCRX_HPOSEVS_C</v>
      </c>
      <c r="V406" s="13" t="str">
        <f t="shared" si="263"/>
        <v>2</v>
      </c>
      <c r="W406" s="13">
        <f t="shared" si="264"/>
        <v>0</v>
      </c>
      <c r="X406" s="14" t="str">
        <f t="shared" si="265"/>
        <v xml:space="preserve"> When UTC Communication, Start Position of Data Catching Point &lt;MODE_C&gt; </v>
      </c>
    </row>
    <row r="407" spans="1:24" x14ac:dyDescent="0.3">
      <c r="A407" s="15" t="s">
        <v>381</v>
      </c>
      <c r="B407" s="1">
        <f t="shared" si="253"/>
        <v>8</v>
      </c>
      <c r="C407" s="1">
        <f t="shared" si="254"/>
        <v>9</v>
      </c>
      <c r="D407" s="10" t="str">
        <f t="shared" si="255"/>
        <v>2</v>
      </c>
      <c r="E407" s="1">
        <f t="shared" si="256"/>
        <v>11</v>
      </c>
      <c r="F407" s="1">
        <f t="shared" si="257"/>
        <v>52</v>
      </c>
      <c r="G407" s="1">
        <f t="shared" si="258"/>
        <v>26</v>
      </c>
      <c r="H407" s="1">
        <f t="shared" si="244"/>
        <v>26</v>
      </c>
      <c r="I407" s="10" t="str">
        <f t="shared" si="259"/>
        <v>UpCRX_HPOSEVE_C</v>
      </c>
      <c r="J407" s="1">
        <f t="shared" si="245"/>
        <v>0</v>
      </c>
      <c r="K407" s="1">
        <f t="shared" si="246"/>
        <v>0</v>
      </c>
      <c r="L407" s="1" t="str">
        <f t="shared" si="247"/>
        <v>0</v>
      </c>
      <c r="M407" s="10">
        <f t="shared" si="248"/>
        <v>0</v>
      </c>
      <c r="N407" s="1">
        <f t="shared" si="260"/>
        <v>29</v>
      </c>
      <c r="O407" s="1">
        <f t="shared" si="252"/>
        <v>0</v>
      </c>
      <c r="P407" s="1">
        <f t="shared" si="249"/>
        <v>99</v>
      </c>
      <c r="Q407" s="3" t="str">
        <f t="shared" si="251"/>
        <v xml:space="preserve"> When UTC Communication, End Position of Data Catching Point &lt;MODE_C&gt; </v>
      </c>
      <c r="R407" s="11">
        <f t="shared" si="250"/>
        <v>765</v>
      </c>
      <c r="T407" s="13" t="str">
        <f t="shared" si="261"/>
        <v>2FD</v>
      </c>
      <c r="U407" s="14" t="str">
        <f t="shared" si="262"/>
        <v>UpCRX_HPOSEVE_C</v>
      </c>
      <c r="V407" s="13" t="str">
        <f t="shared" si="263"/>
        <v>2</v>
      </c>
      <c r="W407" s="13">
        <f t="shared" si="264"/>
        <v>0</v>
      </c>
      <c r="X407" s="14" t="str">
        <f t="shared" si="265"/>
        <v xml:space="preserve"> When UTC Communication, End Position of Data Catching Point &lt;MODE_C&gt; </v>
      </c>
    </row>
    <row r="408" spans="1:24" x14ac:dyDescent="0.3">
      <c r="A408" s="15" t="s">
        <v>382</v>
      </c>
      <c r="B408" s="1">
        <f t="shared" si="253"/>
        <v>8</v>
      </c>
      <c r="C408" s="1">
        <f t="shared" si="254"/>
        <v>9</v>
      </c>
      <c r="D408" s="10" t="str">
        <f t="shared" si="255"/>
        <v>2</v>
      </c>
      <c r="E408" s="1">
        <f t="shared" si="256"/>
        <v>11</v>
      </c>
      <c r="F408" s="1">
        <f t="shared" si="257"/>
        <v>0</v>
      </c>
      <c r="G408" s="1">
        <f t="shared" si="258"/>
        <v>26</v>
      </c>
      <c r="H408" s="1">
        <f t="shared" si="244"/>
        <v>26</v>
      </c>
      <c r="I408" s="10" t="str">
        <f t="shared" si="259"/>
        <v>UpCRX_BITRATE_C</v>
      </c>
      <c r="J408" s="1">
        <f t="shared" si="245"/>
        <v>0</v>
      </c>
      <c r="K408" s="1">
        <f t="shared" si="246"/>
        <v>0</v>
      </c>
      <c r="L408" s="1" t="str">
        <f t="shared" si="247"/>
        <v>0</v>
      </c>
      <c r="M408" s="10">
        <f t="shared" si="248"/>
        <v>0</v>
      </c>
      <c r="N408" s="1">
        <f t="shared" si="260"/>
        <v>29</v>
      </c>
      <c r="O408" s="1">
        <f t="shared" si="252"/>
        <v>0</v>
      </c>
      <c r="P408" s="1">
        <f t="shared" si="249"/>
        <v>79</v>
      </c>
      <c r="Q408" s="3" t="str">
        <f t="shared" si="251"/>
        <v xml:space="preserve"> Decides the Catching Period of UTC Data &lt;MODE_C&gt; </v>
      </c>
      <c r="R408" s="11">
        <f t="shared" si="250"/>
        <v>767</v>
      </c>
      <c r="T408" s="13" t="str">
        <f t="shared" si="261"/>
        <v>2FF</v>
      </c>
      <c r="U408" s="14" t="str">
        <f t="shared" si="262"/>
        <v>UpCRX_BITRATE_C</v>
      </c>
      <c r="V408" s="13" t="str">
        <f t="shared" si="263"/>
        <v>2</v>
      </c>
      <c r="W408" s="13">
        <f t="shared" si="264"/>
        <v>0</v>
      </c>
      <c r="X408" s="14" t="str">
        <f t="shared" si="265"/>
        <v xml:space="preserve"> Decides the Catching Period of UTC Data &lt;MODE_C&gt; </v>
      </c>
    </row>
    <row r="409" spans="1:24" x14ac:dyDescent="0.3">
      <c r="A409" s="15" t="s">
        <v>153</v>
      </c>
      <c r="B409" s="1">
        <f t="shared" si="253"/>
        <v>0</v>
      </c>
      <c r="C409" s="1">
        <f t="shared" si="254"/>
        <v>0</v>
      </c>
      <c r="D409" s="10">
        <f t="shared" si="255"/>
        <v>0</v>
      </c>
      <c r="E409" s="1">
        <f t="shared" si="256"/>
        <v>0</v>
      </c>
      <c r="F409" s="1">
        <f t="shared" si="257"/>
        <v>0</v>
      </c>
      <c r="G409" s="1">
        <f t="shared" si="258"/>
        <v>0</v>
      </c>
      <c r="H409" s="1">
        <f t="shared" si="244"/>
        <v>0</v>
      </c>
      <c r="I409" s="10">
        <f t="shared" si="259"/>
        <v>0</v>
      </c>
      <c r="J409" s="1">
        <f t="shared" si="245"/>
        <v>0</v>
      </c>
      <c r="K409" s="1">
        <f t="shared" si="246"/>
        <v>0</v>
      </c>
      <c r="L409" s="1" t="str">
        <f t="shared" si="247"/>
        <v>0</v>
      </c>
      <c r="M409" s="10">
        <f t="shared" si="248"/>
        <v>0</v>
      </c>
      <c r="N409" s="1">
        <f t="shared" si="260"/>
        <v>3</v>
      </c>
      <c r="O409" s="1">
        <f t="shared" si="252"/>
        <v>1</v>
      </c>
      <c r="P409" s="1">
        <f t="shared" si="249"/>
        <v>10</v>
      </c>
      <c r="Q409" s="3" t="str">
        <f t="shared" si="251"/>
        <v>MODE_A</v>
      </c>
      <c r="R409" s="11">
        <f t="shared" si="250"/>
        <v>769</v>
      </c>
      <c r="T409" s="13" t="str">
        <f t="shared" si="261"/>
        <v>#</v>
      </c>
      <c r="U409" s="14" t="str">
        <f t="shared" si="262"/>
        <v>MODE_A</v>
      </c>
      <c r="V409" s="13">
        <f t="shared" si="263"/>
        <v>1</v>
      </c>
      <c r="W409" s="13">
        <f t="shared" si="264"/>
        <v>0</v>
      </c>
      <c r="X409" s="14" t="str">
        <f t="shared" si="265"/>
        <v>-</v>
      </c>
    </row>
    <row r="410" spans="1:24" x14ac:dyDescent="0.3">
      <c r="A410" s="15" t="s">
        <v>154</v>
      </c>
      <c r="B410" s="1">
        <f t="shared" si="253"/>
        <v>8</v>
      </c>
      <c r="C410" s="1">
        <f t="shared" si="254"/>
        <v>9</v>
      </c>
      <c r="D410" s="10" t="str">
        <f t="shared" si="255"/>
        <v>1</v>
      </c>
      <c r="E410" s="1">
        <f t="shared" si="256"/>
        <v>11</v>
      </c>
      <c r="F410" s="1">
        <f t="shared" si="257"/>
        <v>0</v>
      </c>
      <c r="G410" s="1">
        <f t="shared" si="258"/>
        <v>26</v>
      </c>
      <c r="H410" s="1">
        <f t="shared" si="244"/>
        <v>26</v>
      </c>
      <c r="I410" s="10" t="str">
        <f t="shared" si="259"/>
        <v>UpENC_RYGAINP_A</v>
      </c>
      <c r="J410" s="1">
        <f t="shared" si="245"/>
        <v>0</v>
      </c>
      <c r="K410" s="1">
        <f t="shared" si="246"/>
        <v>0</v>
      </c>
      <c r="L410" s="1" t="str">
        <f t="shared" si="247"/>
        <v>0</v>
      </c>
      <c r="M410" s="10">
        <f t="shared" si="248"/>
        <v>0</v>
      </c>
      <c r="N410" s="1">
        <f t="shared" si="260"/>
        <v>29</v>
      </c>
      <c r="O410" s="1">
        <f t="shared" si="252"/>
        <v>0</v>
      </c>
      <c r="P410" s="1">
        <f t="shared" si="249"/>
        <v>89</v>
      </c>
      <c r="Q410" s="3" t="str">
        <f t="shared" si="251"/>
        <v xml:space="preserve"> R-Y Positive Gain Control for HD-Analog(0 ~ 0xFF) &lt;MODE_A&gt; </v>
      </c>
      <c r="R410" s="11">
        <f t="shared" si="250"/>
        <v>769</v>
      </c>
      <c r="T410" s="13" t="str">
        <f t="shared" si="261"/>
        <v>301</v>
      </c>
      <c r="U410" s="14" t="str">
        <f t="shared" si="262"/>
        <v>UpENC_RYGAINP_A</v>
      </c>
      <c r="V410" s="13" t="str">
        <f t="shared" si="263"/>
        <v>1</v>
      </c>
      <c r="W410" s="13">
        <f t="shared" si="264"/>
        <v>0</v>
      </c>
      <c r="X410" s="14" t="str">
        <f t="shared" si="265"/>
        <v xml:space="preserve"> R-Y Positive Gain Control for HD-Analog(0 ~ 0xFF) &lt;MODE_A&gt; </v>
      </c>
    </row>
    <row r="411" spans="1:24" x14ac:dyDescent="0.3">
      <c r="A411" s="15" t="s">
        <v>101</v>
      </c>
      <c r="B411" s="1">
        <f t="shared" si="253"/>
        <v>8</v>
      </c>
      <c r="C411" s="1">
        <f t="shared" si="254"/>
        <v>9</v>
      </c>
      <c r="D411" s="10" t="str">
        <f t="shared" si="255"/>
        <v>1</v>
      </c>
      <c r="E411" s="1">
        <f t="shared" si="256"/>
        <v>11</v>
      </c>
      <c r="F411" s="1">
        <f t="shared" si="257"/>
        <v>0</v>
      </c>
      <c r="G411" s="1">
        <f t="shared" si="258"/>
        <v>26</v>
      </c>
      <c r="H411" s="1">
        <f t="shared" si="244"/>
        <v>26</v>
      </c>
      <c r="I411" s="10" t="str">
        <f t="shared" si="259"/>
        <v>UpENC_RYGAINN_A</v>
      </c>
      <c r="J411" s="1">
        <f t="shared" si="245"/>
        <v>0</v>
      </c>
      <c r="K411" s="1">
        <f t="shared" si="246"/>
        <v>0</v>
      </c>
      <c r="L411" s="1" t="str">
        <f t="shared" si="247"/>
        <v>0</v>
      </c>
      <c r="M411" s="10">
        <f t="shared" si="248"/>
        <v>0</v>
      </c>
      <c r="N411" s="1">
        <f t="shared" si="260"/>
        <v>29</v>
      </c>
      <c r="O411" s="1">
        <f t="shared" si="252"/>
        <v>0</v>
      </c>
      <c r="P411" s="1">
        <f t="shared" si="249"/>
        <v>89</v>
      </c>
      <c r="Q411" s="3" t="str">
        <f t="shared" si="251"/>
        <v xml:space="preserve"> R-Y Negative Gain Control for HD-Analog(0 ~ 0xFF) &lt;MODE_A&gt; </v>
      </c>
      <c r="R411" s="11">
        <f t="shared" si="250"/>
        <v>770</v>
      </c>
      <c r="T411" s="13" t="str">
        <f t="shared" si="261"/>
        <v>302</v>
      </c>
      <c r="U411" s="14" t="str">
        <f t="shared" si="262"/>
        <v>UpENC_RYGAINN_A</v>
      </c>
      <c r="V411" s="13" t="str">
        <f t="shared" si="263"/>
        <v>1</v>
      </c>
      <c r="W411" s="13">
        <f t="shared" si="264"/>
        <v>0</v>
      </c>
      <c r="X411" s="14" t="str">
        <f t="shared" si="265"/>
        <v xml:space="preserve"> R-Y Negative Gain Control for HD-Analog(0 ~ 0xFF) &lt;MODE_A&gt; </v>
      </c>
    </row>
    <row r="412" spans="1:24" x14ac:dyDescent="0.3">
      <c r="A412" s="15" t="s">
        <v>102</v>
      </c>
      <c r="B412" s="1">
        <f t="shared" si="253"/>
        <v>8</v>
      </c>
      <c r="C412" s="1">
        <f t="shared" si="254"/>
        <v>9</v>
      </c>
      <c r="D412" s="10" t="str">
        <f t="shared" si="255"/>
        <v>1</v>
      </c>
      <c r="E412" s="1">
        <f t="shared" si="256"/>
        <v>11</v>
      </c>
      <c r="F412" s="1">
        <f t="shared" si="257"/>
        <v>0</v>
      </c>
      <c r="G412" s="1">
        <f t="shared" si="258"/>
        <v>26</v>
      </c>
      <c r="H412" s="1">
        <f t="shared" si="244"/>
        <v>26</v>
      </c>
      <c r="I412" s="10" t="str">
        <f t="shared" si="259"/>
        <v>UpENC_BYGAINP_A</v>
      </c>
      <c r="J412" s="1">
        <f t="shared" si="245"/>
        <v>0</v>
      </c>
      <c r="K412" s="1">
        <f t="shared" si="246"/>
        <v>0</v>
      </c>
      <c r="L412" s="1" t="str">
        <f t="shared" si="247"/>
        <v>0</v>
      </c>
      <c r="M412" s="10">
        <f t="shared" si="248"/>
        <v>0</v>
      </c>
      <c r="N412" s="1">
        <f t="shared" si="260"/>
        <v>29</v>
      </c>
      <c r="O412" s="1">
        <f t="shared" si="252"/>
        <v>0</v>
      </c>
      <c r="P412" s="1">
        <f t="shared" si="249"/>
        <v>89</v>
      </c>
      <c r="Q412" s="3" t="str">
        <f t="shared" si="251"/>
        <v xml:space="preserve"> B-Y Positive Gain Control for HD-Analog(0 ~ 0xFF) &lt;MODE_A&gt; </v>
      </c>
      <c r="R412" s="11">
        <f t="shared" si="250"/>
        <v>771</v>
      </c>
      <c r="T412" s="13" t="str">
        <f t="shared" si="261"/>
        <v>303</v>
      </c>
      <c r="U412" s="14" t="str">
        <f t="shared" si="262"/>
        <v>UpENC_BYGAINP_A</v>
      </c>
      <c r="V412" s="13" t="str">
        <f t="shared" si="263"/>
        <v>1</v>
      </c>
      <c r="W412" s="13">
        <f t="shared" si="264"/>
        <v>0</v>
      </c>
      <c r="X412" s="14" t="str">
        <f t="shared" si="265"/>
        <v xml:space="preserve"> B-Y Positive Gain Control for HD-Analog(0 ~ 0xFF) &lt;MODE_A&gt; </v>
      </c>
    </row>
    <row r="413" spans="1:24" x14ac:dyDescent="0.3">
      <c r="A413" s="15" t="s">
        <v>103</v>
      </c>
      <c r="B413" s="1">
        <f t="shared" si="253"/>
        <v>8</v>
      </c>
      <c r="C413" s="1">
        <f t="shared" si="254"/>
        <v>9</v>
      </c>
      <c r="D413" s="10" t="str">
        <f t="shared" si="255"/>
        <v>1</v>
      </c>
      <c r="E413" s="1">
        <f t="shared" si="256"/>
        <v>11</v>
      </c>
      <c r="F413" s="1">
        <f t="shared" si="257"/>
        <v>0</v>
      </c>
      <c r="G413" s="1">
        <f t="shared" si="258"/>
        <v>26</v>
      </c>
      <c r="H413" s="1">
        <f t="shared" si="244"/>
        <v>26</v>
      </c>
      <c r="I413" s="10" t="str">
        <f t="shared" si="259"/>
        <v>UpENC_BYGAINN_A</v>
      </c>
      <c r="J413" s="1">
        <f t="shared" si="245"/>
        <v>0</v>
      </c>
      <c r="K413" s="1">
        <f t="shared" si="246"/>
        <v>0</v>
      </c>
      <c r="L413" s="1" t="str">
        <f t="shared" si="247"/>
        <v>0</v>
      </c>
      <c r="M413" s="10">
        <f t="shared" si="248"/>
        <v>0</v>
      </c>
      <c r="N413" s="1">
        <f t="shared" si="260"/>
        <v>29</v>
      </c>
      <c r="O413" s="1">
        <f t="shared" si="252"/>
        <v>0</v>
      </c>
      <c r="P413" s="1">
        <f t="shared" si="249"/>
        <v>89</v>
      </c>
      <c r="Q413" s="3" t="str">
        <f t="shared" si="251"/>
        <v xml:space="preserve"> B-Y Negative Gain Control for HD-Analog(0 ~ 0xFF) &lt;MODE_A&gt; </v>
      </c>
      <c r="R413" s="11">
        <f t="shared" si="250"/>
        <v>772</v>
      </c>
      <c r="T413" s="13" t="str">
        <f t="shared" si="261"/>
        <v>304</v>
      </c>
      <c r="U413" s="14" t="str">
        <f t="shared" si="262"/>
        <v>UpENC_BYGAINN_A</v>
      </c>
      <c r="V413" s="13" t="str">
        <f t="shared" si="263"/>
        <v>1</v>
      </c>
      <c r="W413" s="13">
        <f t="shared" si="264"/>
        <v>0</v>
      </c>
      <c r="X413" s="14" t="str">
        <f t="shared" si="265"/>
        <v xml:space="preserve"> B-Y Negative Gain Control for HD-Analog(0 ~ 0xFF) &lt;MODE_A&gt; </v>
      </c>
    </row>
    <row r="414" spans="1:24" x14ac:dyDescent="0.3">
      <c r="A414" s="15" t="s">
        <v>104</v>
      </c>
      <c r="B414" s="1">
        <f t="shared" si="253"/>
        <v>8</v>
      </c>
      <c r="C414" s="1">
        <f t="shared" si="254"/>
        <v>9</v>
      </c>
      <c r="D414" s="10" t="str">
        <f t="shared" si="255"/>
        <v>1</v>
      </c>
      <c r="E414" s="1">
        <f t="shared" si="256"/>
        <v>11</v>
      </c>
      <c r="F414" s="1">
        <f t="shared" si="257"/>
        <v>0</v>
      </c>
      <c r="G414" s="1">
        <f t="shared" si="258"/>
        <v>25</v>
      </c>
      <c r="H414" s="1">
        <f t="shared" si="244"/>
        <v>25</v>
      </c>
      <c r="I414" s="10" t="str">
        <f t="shared" si="259"/>
        <v>UpENC_RYHUEP_A</v>
      </c>
      <c r="J414" s="1">
        <f t="shared" si="245"/>
        <v>0</v>
      </c>
      <c r="K414" s="1">
        <f t="shared" si="246"/>
        <v>0</v>
      </c>
      <c r="L414" s="1" t="str">
        <f t="shared" si="247"/>
        <v>0</v>
      </c>
      <c r="M414" s="10">
        <f t="shared" si="248"/>
        <v>0</v>
      </c>
      <c r="N414" s="1">
        <f t="shared" si="260"/>
        <v>28</v>
      </c>
      <c r="O414" s="1">
        <f t="shared" si="252"/>
        <v>0</v>
      </c>
      <c r="P414" s="1">
        <f t="shared" si="249"/>
        <v>77</v>
      </c>
      <c r="Q414" s="3" t="str">
        <f t="shared" si="251"/>
        <v xml:space="preserve"> R-Y Positive Hue Control for HD-Analog &lt;MODE_A&gt; </v>
      </c>
      <c r="R414" s="11">
        <f t="shared" si="250"/>
        <v>773</v>
      </c>
      <c r="T414" s="13" t="str">
        <f t="shared" si="261"/>
        <v>305</v>
      </c>
      <c r="U414" s="14" t="str">
        <f t="shared" si="262"/>
        <v>UpENC_RYHUEP_A</v>
      </c>
      <c r="V414" s="13" t="str">
        <f t="shared" si="263"/>
        <v>1</v>
      </c>
      <c r="W414" s="13">
        <f t="shared" si="264"/>
        <v>0</v>
      </c>
      <c r="X414" s="14" t="str">
        <f t="shared" si="265"/>
        <v xml:space="preserve"> R-Y Positive Hue Control for HD-Analog &lt;MODE_A&gt; </v>
      </c>
    </row>
    <row r="415" spans="1:24" x14ac:dyDescent="0.3">
      <c r="A415" s="15" t="s">
        <v>105</v>
      </c>
      <c r="B415" s="1">
        <f t="shared" si="253"/>
        <v>8</v>
      </c>
      <c r="C415" s="1">
        <f t="shared" si="254"/>
        <v>9</v>
      </c>
      <c r="D415" s="10" t="str">
        <f t="shared" si="255"/>
        <v>1</v>
      </c>
      <c r="E415" s="1">
        <f t="shared" si="256"/>
        <v>11</v>
      </c>
      <c r="F415" s="1">
        <f t="shared" si="257"/>
        <v>0</v>
      </c>
      <c r="G415" s="1">
        <f t="shared" si="258"/>
        <v>25</v>
      </c>
      <c r="H415" s="1">
        <f t="shared" si="244"/>
        <v>25</v>
      </c>
      <c r="I415" s="10" t="str">
        <f t="shared" si="259"/>
        <v>UpENC_RYHUEN_A</v>
      </c>
      <c r="J415" s="1">
        <f t="shared" si="245"/>
        <v>0</v>
      </c>
      <c r="K415" s="1">
        <f t="shared" si="246"/>
        <v>0</v>
      </c>
      <c r="L415" s="1" t="str">
        <f t="shared" si="247"/>
        <v>0</v>
      </c>
      <c r="M415" s="10">
        <f t="shared" si="248"/>
        <v>0</v>
      </c>
      <c r="N415" s="1">
        <f t="shared" si="260"/>
        <v>28</v>
      </c>
      <c r="O415" s="1">
        <f t="shared" si="252"/>
        <v>0</v>
      </c>
      <c r="P415" s="1">
        <f t="shared" si="249"/>
        <v>77</v>
      </c>
      <c r="Q415" s="3" t="str">
        <f t="shared" si="251"/>
        <v xml:space="preserve"> R-Y Negative Hue Control for HD-Analog &lt;MODE_A&gt; </v>
      </c>
      <c r="R415" s="11">
        <f t="shared" si="250"/>
        <v>774</v>
      </c>
      <c r="T415" s="13" t="str">
        <f t="shared" si="261"/>
        <v>306</v>
      </c>
      <c r="U415" s="14" t="str">
        <f t="shared" si="262"/>
        <v>UpENC_RYHUEN_A</v>
      </c>
      <c r="V415" s="13" t="str">
        <f t="shared" si="263"/>
        <v>1</v>
      </c>
      <c r="W415" s="13">
        <f t="shared" si="264"/>
        <v>0</v>
      </c>
      <c r="X415" s="14" t="str">
        <f t="shared" si="265"/>
        <v xml:space="preserve"> R-Y Negative Hue Control for HD-Analog &lt;MODE_A&gt; </v>
      </c>
    </row>
    <row r="416" spans="1:24" x14ac:dyDescent="0.3">
      <c r="A416" s="15" t="s">
        <v>106</v>
      </c>
      <c r="B416" s="1">
        <f t="shared" si="253"/>
        <v>8</v>
      </c>
      <c r="C416" s="1">
        <f t="shared" si="254"/>
        <v>9</v>
      </c>
      <c r="D416" s="10" t="str">
        <f t="shared" si="255"/>
        <v>1</v>
      </c>
      <c r="E416" s="1">
        <f t="shared" si="256"/>
        <v>11</v>
      </c>
      <c r="F416" s="1">
        <f t="shared" si="257"/>
        <v>0</v>
      </c>
      <c r="G416" s="1">
        <f t="shared" si="258"/>
        <v>25</v>
      </c>
      <c r="H416" s="1">
        <f t="shared" si="244"/>
        <v>25</v>
      </c>
      <c r="I416" s="10" t="str">
        <f t="shared" si="259"/>
        <v>UpENC_BYHUEP_A</v>
      </c>
      <c r="J416" s="1">
        <f t="shared" si="245"/>
        <v>0</v>
      </c>
      <c r="K416" s="1">
        <f t="shared" si="246"/>
        <v>0</v>
      </c>
      <c r="L416" s="1" t="str">
        <f t="shared" si="247"/>
        <v>0</v>
      </c>
      <c r="M416" s="10">
        <f t="shared" si="248"/>
        <v>0</v>
      </c>
      <c r="N416" s="1">
        <f t="shared" si="260"/>
        <v>28</v>
      </c>
      <c r="O416" s="1">
        <f t="shared" si="252"/>
        <v>0</v>
      </c>
      <c r="P416" s="1">
        <f t="shared" si="249"/>
        <v>77</v>
      </c>
      <c r="Q416" s="3" t="str">
        <f t="shared" si="251"/>
        <v xml:space="preserve"> B-Y Positive Hue Control for HD-Analog &lt;MODE_A&gt; </v>
      </c>
      <c r="R416" s="11">
        <f t="shared" si="250"/>
        <v>775</v>
      </c>
      <c r="T416" s="13" t="str">
        <f t="shared" si="261"/>
        <v>307</v>
      </c>
      <c r="U416" s="14" t="str">
        <f t="shared" si="262"/>
        <v>UpENC_BYHUEP_A</v>
      </c>
      <c r="V416" s="13" t="str">
        <f t="shared" si="263"/>
        <v>1</v>
      </c>
      <c r="W416" s="13">
        <f t="shared" si="264"/>
        <v>0</v>
      </c>
      <c r="X416" s="14" t="str">
        <f t="shared" si="265"/>
        <v xml:space="preserve"> B-Y Positive Hue Control for HD-Analog &lt;MODE_A&gt; </v>
      </c>
    </row>
    <row r="417" spans="1:24" x14ac:dyDescent="0.3">
      <c r="A417" s="15" t="s">
        <v>107</v>
      </c>
      <c r="B417" s="1">
        <f t="shared" si="253"/>
        <v>8</v>
      </c>
      <c r="C417" s="1">
        <f t="shared" si="254"/>
        <v>9</v>
      </c>
      <c r="D417" s="10" t="str">
        <f t="shared" si="255"/>
        <v>1</v>
      </c>
      <c r="E417" s="1">
        <f t="shared" si="256"/>
        <v>11</v>
      </c>
      <c r="F417" s="1">
        <f t="shared" si="257"/>
        <v>0</v>
      </c>
      <c r="G417" s="1">
        <f t="shared" si="258"/>
        <v>25</v>
      </c>
      <c r="H417" s="1">
        <f t="shared" si="244"/>
        <v>25</v>
      </c>
      <c r="I417" s="10" t="str">
        <f t="shared" si="259"/>
        <v>UpENC_BYHUEN_A</v>
      </c>
      <c r="J417" s="1">
        <f t="shared" si="245"/>
        <v>0</v>
      </c>
      <c r="K417" s="1">
        <f t="shared" si="246"/>
        <v>0</v>
      </c>
      <c r="L417" s="1" t="str">
        <f t="shared" si="247"/>
        <v>0</v>
      </c>
      <c r="M417" s="10">
        <f t="shared" si="248"/>
        <v>0</v>
      </c>
      <c r="N417" s="1">
        <f t="shared" si="260"/>
        <v>28</v>
      </c>
      <c r="O417" s="1">
        <f t="shared" si="252"/>
        <v>0</v>
      </c>
      <c r="P417" s="1">
        <f t="shared" si="249"/>
        <v>77</v>
      </c>
      <c r="Q417" s="3" t="str">
        <f t="shared" si="251"/>
        <v xml:space="preserve"> B-Y Negative Hue Control for HD-Analog &lt;MODE_A&gt; </v>
      </c>
      <c r="R417" s="11">
        <f t="shared" si="250"/>
        <v>776</v>
      </c>
      <c r="T417" s="13" t="str">
        <f t="shared" si="261"/>
        <v>308</v>
      </c>
      <c r="U417" s="14" t="str">
        <f t="shared" si="262"/>
        <v>UpENC_BYHUEN_A</v>
      </c>
      <c r="V417" s="13" t="str">
        <f t="shared" si="263"/>
        <v>1</v>
      </c>
      <c r="W417" s="13">
        <f t="shared" si="264"/>
        <v>0</v>
      </c>
      <c r="X417" s="14" t="str">
        <f t="shared" si="265"/>
        <v xml:space="preserve"> B-Y Negative Hue Control for HD-Analog &lt;MODE_A&gt; </v>
      </c>
    </row>
    <row r="418" spans="1:24" x14ac:dyDescent="0.3">
      <c r="A418" s="15" t="s">
        <v>108</v>
      </c>
      <c r="B418" s="1">
        <f t="shared" si="253"/>
        <v>8</v>
      </c>
      <c r="C418" s="1">
        <f t="shared" si="254"/>
        <v>9</v>
      </c>
      <c r="D418" s="10" t="str">
        <f t="shared" si="255"/>
        <v>2</v>
      </c>
      <c r="E418" s="1">
        <f t="shared" si="256"/>
        <v>11</v>
      </c>
      <c r="F418" s="1">
        <f t="shared" si="257"/>
        <v>0</v>
      </c>
      <c r="G418" s="1">
        <f t="shared" si="258"/>
        <v>23</v>
      </c>
      <c r="H418" s="1">
        <f t="shared" si="244"/>
        <v>23</v>
      </c>
      <c r="I418" s="10" t="str">
        <f t="shared" si="259"/>
        <v>UpWHITE_LV_A</v>
      </c>
      <c r="J418" s="1">
        <f t="shared" si="245"/>
        <v>0</v>
      </c>
      <c r="K418" s="1">
        <f t="shared" si="246"/>
        <v>0</v>
      </c>
      <c r="L418" s="1" t="str">
        <f t="shared" si="247"/>
        <v>0</v>
      </c>
      <c r="M418" s="10">
        <f t="shared" si="248"/>
        <v>0</v>
      </c>
      <c r="N418" s="1">
        <f t="shared" si="260"/>
        <v>26</v>
      </c>
      <c r="O418" s="1">
        <f t="shared" si="252"/>
        <v>0</v>
      </c>
      <c r="P418" s="1">
        <f t="shared" si="249"/>
        <v>66</v>
      </c>
      <c r="Q418" s="3" t="str">
        <f t="shared" si="251"/>
        <v xml:space="preserve"> White level control parameter &lt;MODE_A&gt; </v>
      </c>
      <c r="R418" s="11">
        <f t="shared" si="250"/>
        <v>777</v>
      </c>
      <c r="T418" s="13" t="str">
        <f t="shared" si="261"/>
        <v>309</v>
      </c>
      <c r="U418" s="14" t="str">
        <f t="shared" si="262"/>
        <v>UpWHITE_LV_A</v>
      </c>
      <c r="V418" s="13" t="str">
        <f t="shared" si="263"/>
        <v>2</v>
      </c>
      <c r="W418" s="13">
        <f t="shared" si="264"/>
        <v>0</v>
      </c>
      <c r="X418" s="14" t="str">
        <f t="shared" si="265"/>
        <v xml:space="preserve"> White level control parameter &lt;MODE_A&gt; </v>
      </c>
    </row>
    <row r="419" spans="1:24" x14ac:dyDescent="0.3">
      <c r="A419" s="15" t="s">
        <v>109</v>
      </c>
      <c r="B419" s="1">
        <f t="shared" si="253"/>
        <v>8</v>
      </c>
      <c r="C419" s="1">
        <f t="shared" si="254"/>
        <v>9</v>
      </c>
      <c r="D419" s="10" t="str">
        <f t="shared" si="255"/>
        <v>2</v>
      </c>
      <c r="E419" s="1">
        <f t="shared" si="256"/>
        <v>11</v>
      </c>
      <c r="F419" s="1">
        <f t="shared" si="257"/>
        <v>0</v>
      </c>
      <c r="G419" s="1">
        <f t="shared" si="258"/>
        <v>23</v>
      </c>
      <c r="H419" s="1">
        <f t="shared" si="244"/>
        <v>23</v>
      </c>
      <c r="I419" s="10" t="str">
        <f t="shared" si="259"/>
        <v>UpBLANK_LV_A</v>
      </c>
      <c r="J419" s="1">
        <f t="shared" si="245"/>
        <v>0</v>
      </c>
      <c r="K419" s="1">
        <f t="shared" si="246"/>
        <v>0</v>
      </c>
      <c r="L419" s="1" t="str">
        <f t="shared" si="247"/>
        <v>0</v>
      </c>
      <c r="M419" s="10">
        <f t="shared" si="248"/>
        <v>0</v>
      </c>
      <c r="N419" s="1">
        <f t="shared" si="260"/>
        <v>26</v>
      </c>
      <c r="O419" s="1">
        <f t="shared" si="252"/>
        <v>0</v>
      </c>
      <c r="P419" s="1">
        <f t="shared" si="249"/>
        <v>66</v>
      </c>
      <c r="Q419" s="3" t="str">
        <f t="shared" si="251"/>
        <v xml:space="preserve"> Blank level control parameter &lt;MODE_A&gt; </v>
      </c>
      <c r="R419" s="11">
        <f t="shared" si="250"/>
        <v>779</v>
      </c>
      <c r="T419" s="13" t="str">
        <f t="shared" si="261"/>
        <v>30B</v>
      </c>
      <c r="U419" s="14" t="str">
        <f t="shared" si="262"/>
        <v>UpBLANK_LV_A</v>
      </c>
      <c r="V419" s="13" t="str">
        <f t="shared" si="263"/>
        <v>2</v>
      </c>
      <c r="W419" s="13">
        <f t="shared" si="264"/>
        <v>0</v>
      </c>
      <c r="X419" s="14" t="str">
        <f t="shared" si="265"/>
        <v xml:space="preserve"> Blank level control parameter &lt;MODE_A&gt; </v>
      </c>
    </row>
    <row r="420" spans="1:24" x14ac:dyDescent="0.3">
      <c r="A420" s="15" t="s">
        <v>125</v>
      </c>
      <c r="B420" s="1">
        <f t="shared" si="253"/>
        <v>8</v>
      </c>
      <c r="C420" s="1">
        <f t="shared" si="254"/>
        <v>9</v>
      </c>
      <c r="D420" s="10" t="str">
        <f t="shared" si="255"/>
        <v>2</v>
      </c>
      <c r="E420" s="1">
        <f t="shared" si="256"/>
        <v>11</v>
      </c>
      <c r="F420" s="1">
        <f t="shared" si="257"/>
        <v>0</v>
      </c>
      <c r="G420" s="1">
        <f t="shared" si="258"/>
        <v>26</v>
      </c>
      <c r="H420" s="1">
        <f t="shared" si="244"/>
        <v>26</v>
      </c>
      <c r="I420" s="10" t="str">
        <f t="shared" si="259"/>
        <v>UpPEDESTAL_LV_A</v>
      </c>
      <c r="J420" s="1">
        <f t="shared" si="245"/>
        <v>0</v>
      </c>
      <c r="K420" s="1">
        <f t="shared" si="246"/>
        <v>0</v>
      </c>
      <c r="L420" s="1" t="str">
        <f t="shared" si="247"/>
        <v>0</v>
      </c>
      <c r="M420" s="10">
        <f t="shared" si="248"/>
        <v>0</v>
      </c>
      <c r="N420" s="1">
        <f t="shared" si="260"/>
        <v>29</v>
      </c>
      <c r="O420" s="1">
        <f t="shared" si="252"/>
        <v>0</v>
      </c>
      <c r="P420" s="1">
        <f t="shared" si="249"/>
        <v>72</v>
      </c>
      <c r="Q420" s="3" t="str">
        <f t="shared" si="251"/>
        <v xml:space="preserve"> Pedestal level control parameter &lt;MODE_A&gt; </v>
      </c>
      <c r="R420" s="11">
        <f t="shared" si="250"/>
        <v>781</v>
      </c>
      <c r="T420" s="13" t="str">
        <f t="shared" si="261"/>
        <v>30D</v>
      </c>
      <c r="U420" s="14" t="str">
        <f t="shared" si="262"/>
        <v>UpPEDESTAL_LV_A</v>
      </c>
      <c r="V420" s="13" t="str">
        <f t="shared" si="263"/>
        <v>2</v>
      </c>
      <c r="W420" s="13">
        <f t="shared" si="264"/>
        <v>0</v>
      </c>
      <c r="X420" s="14" t="str">
        <f t="shared" si="265"/>
        <v xml:space="preserve"> Pedestal level control parameter &lt;MODE_A&gt; </v>
      </c>
    </row>
    <row r="421" spans="1:24" x14ac:dyDescent="0.3">
      <c r="A421" s="15" t="s">
        <v>383</v>
      </c>
      <c r="B421" s="1">
        <f t="shared" si="253"/>
        <v>8</v>
      </c>
      <c r="C421" s="1">
        <f t="shared" si="254"/>
        <v>9</v>
      </c>
      <c r="D421" s="10" t="str">
        <f t="shared" si="255"/>
        <v>4</v>
      </c>
      <c r="E421" s="1">
        <f t="shared" si="256"/>
        <v>11</v>
      </c>
      <c r="F421" s="1">
        <f t="shared" si="257"/>
        <v>0</v>
      </c>
      <c r="G421" s="1">
        <f t="shared" si="258"/>
        <v>22</v>
      </c>
      <c r="H421" s="1">
        <f t="shared" si="244"/>
        <v>22</v>
      </c>
      <c r="I421" s="10" t="str">
        <f t="shared" si="259"/>
        <v>UpFSC_TGT_A</v>
      </c>
      <c r="J421" s="1">
        <f t="shared" si="245"/>
        <v>0</v>
      </c>
      <c r="K421" s="1">
        <f t="shared" si="246"/>
        <v>0</v>
      </c>
      <c r="L421" s="1" t="str">
        <f t="shared" si="247"/>
        <v>0</v>
      </c>
      <c r="M421" s="10">
        <f t="shared" si="248"/>
        <v>0</v>
      </c>
      <c r="N421" s="1">
        <f t="shared" si="260"/>
        <v>25</v>
      </c>
      <c r="O421" s="1">
        <f t="shared" si="252"/>
        <v>0</v>
      </c>
      <c r="P421" s="1">
        <f t="shared" si="249"/>
        <v>76</v>
      </c>
      <c r="Q421" s="3" t="str">
        <f t="shared" si="251"/>
        <v xml:space="preserve"> Deciding Target for SubCarrier Frequency &lt;MODE_A&gt; </v>
      </c>
      <c r="R421" s="11">
        <f t="shared" si="250"/>
        <v>783</v>
      </c>
      <c r="T421" s="13" t="str">
        <f t="shared" si="261"/>
        <v>30F</v>
      </c>
      <c r="U421" s="14" t="str">
        <f t="shared" si="262"/>
        <v>UpFSC_TGT_A</v>
      </c>
      <c r="V421" s="13" t="str">
        <f t="shared" si="263"/>
        <v>4</v>
      </c>
      <c r="W421" s="13">
        <f t="shared" si="264"/>
        <v>0</v>
      </c>
      <c r="X421" s="14" t="str">
        <f t="shared" si="265"/>
        <v xml:space="preserve"> Deciding Target for SubCarrier Frequency &lt;MODE_A&gt; </v>
      </c>
    </row>
    <row r="422" spans="1:24" x14ac:dyDescent="0.3">
      <c r="A422" s="15" t="s">
        <v>384</v>
      </c>
      <c r="B422" s="1">
        <f t="shared" si="253"/>
        <v>8</v>
      </c>
      <c r="C422" s="1">
        <f t="shared" si="254"/>
        <v>9</v>
      </c>
      <c r="D422" s="10" t="str">
        <f t="shared" si="255"/>
        <v>2</v>
      </c>
      <c r="E422" s="1">
        <f t="shared" si="256"/>
        <v>11</v>
      </c>
      <c r="F422" s="1">
        <f t="shared" si="257"/>
        <v>0</v>
      </c>
      <c r="G422" s="1">
        <f t="shared" si="258"/>
        <v>22</v>
      </c>
      <c r="H422" s="1">
        <f t="shared" si="244"/>
        <v>22</v>
      </c>
      <c r="I422" s="10" t="str">
        <f t="shared" si="259"/>
        <v>UpY_MGAIN_A</v>
      </c>
      <c r="J422" s="1">
        <f t="shared" si="245"/>
        <v>0</v>
      </c>
      <c r="K422" s="1">
        <f t="shared" si="246"/>
        <v>0</v>
      </c>
      <c r="L422" s="1" t="str">
        <f t="shared" si="247"/>
        <v>0</v>
      </c>
      <c r="M422" s="10">
        <f t="shared" si="248"/>
        <v>0</v>
      </c>
      <c r="N422" s="1">
        <f t="shared" si="260"/>
        <v>25</v>
      </c>
      <c r="O422" s="1">
        <f t="shared" si="252"/>
        <v>0</v>
      </c>
      <c r="P422" s="1">
        <f t="shared" si="249"/>
        <v>75</v>
      </c>
      <c r="Q422" s="3" t="str">
        <f t="shared" si="251"/>
        <v xml:space="preserve"> Gain to be Multiplied to Y Output Value &lt;MODE_A&gt; </v>
      </c>
      <c r="R422" s="11">
        <f t="shared" si="250"/>
        <v>787</v>
      </c>
      <c r="T422" s="13" t="str">
        <f t="shared" si="261"/>
        <v>313</v>
      </c>
      <c r="U422" s="14" t="str">
        <f t="shared" si="262"/>
        <v>UpY_MGAIN_A</v>
      </c>
      <c r="V422" s="13" t="str">
        <f t="shared" si="263"/>
        <v>2</v>
      </c>
      <c r="W422" s="13">
        <f t="shared" si="264"/>
        <v>0</v>
      </c>
      <c r="X422" s="14" t="str">
        <f t="shared" si="265"/>
        <v xml:space="preserve"> Gain to be Multiplied to Y Output Value &lt;MODE_A&gt; </v>
      </c>
    </row>
    <row r="423" spans="1:24" x14ac:dyDescent="0.3">
      <c r="A423" s="15" t="s">
        <v>385</v>
      </c>
      <c r="B423" s="1">
        <f t="shared" si="253"/>
        <v>8</v>
      </c>
      <c r="C423" s="1">
        <f t="shared" si="254"/>
        <v>9</v>
      </c>
      <c r="D423" s="10" t="str">
        <f t="shared" si="255"/>
        <v>2</v>
      </c>
      <c r="E423" s="1">
        <f t="shared" si="256"/>
        <v>11</v>
      </c>
      <c r="F423" s="1">
        <f t="shared" si="257"/>
        <v>0</v>
      </c>
      <c r="G423" s="1">
        <f t="shared" si="258"/>
        <v>23</v>
      </c>
      <c r="H423" s="1">
        <f t="shared" si="244"/>
        <v>23</v>
      </c>
      <c r="I423" s="10" t="str">
        <f t="shared" si="259"/>
        <v>UpCB_MGAIN_A</v>
      </c>
      <c r="J423" s="1">
        <f t="shared" si="245"/>
        <v>0</v>
      </c>
      <c r="K423" s="1">
        <f t="shared" si="246"/>
        <v>0</v>
      </c>
      <c r="L423" s="1" t="str">
        <f t="shared" si="247"/>
        <v>0</v>
      </c>
      <c r="M423" s="10">
        <f t="shared" si="248"/>
        <v>0</v>
      </c>
      <c r="N423" s="1">
        <f t="shared" si="260"/>
        <v>26</v>
      </c>
      <c r="O423" s="1">
        <f t="shared" si="252"/>
        <v>0</v>
      </c>
      <c r="P423" s="1">
        <f t="shared" si="249"/>
        <v>70</v>
      </c>
      <c r="Q423" s="3" t="str">
        <f t="shared" si="251"/>
        <v xml:space="preserve"> Gain to be Multiplied to Cb Value &lt;MODE_A&gt; </v>
      </c>
      <c r="R423" s="11">
        <f t="shared" si="250"/>
        <v>789</v>
      </c>
      <c r="T423" s="13" t="str">
        <f t="shared" si="261"/>
        <v>315</v>
      </c>
      <c r="U423" s="14" t="str">
        <f t="shared" si="262"/>
        <v>UpCB_MGAIN_A</v>
      </c>
      <c r="V423" s="13" t="str">
        <f t="shared" si="263"/>
        <v>2</v>
      </c>
      <c r="W423" s="13">
        <f t="shared" si="264"/>
        <v>0</v>
      </c>
      <c r="X423" s="14" t="str">
        <f t="shared" si="265"/>
        <v xml:space="preserve"> Gain to be Multiplied to Cb Value &lt;MODE_A&gt; </v>
      </c>
    </row>
    <row r="424" spans="1:24" x14ac:dyDescent="0.3">
      <c r="A424" s="15" t="s">
        <v>386</v>
      </c>
      <c r="B424" s="1">
        <f t="shared" si="253"/>
        <v>8</v>
      </c>
      <c r="C424" s="1">
        <f t="shared" si="254"/>
        <v>9</v>
      </c>
      <c r="D424" s="10" t="str">
        <f t="shared" si="255"/>
        <v>2</v>
      </c>
      <c r="E424" s="1">
        <f t="shared" si="256"/>
        <v>11</v>
      </c>
      <c r="F424" s="1">
        <f t="shared" si="257"/>
        <v>0</v>
      </c>
      <c r="G424" s="1">
        <f t="shared" si="258"/>
        <v>23</v>
      </c>
      <c r="H424" s="1">
        <f t="shared" si="244"/>
        <v>23</v>
      </c>
      <c r="I424" s="10" t="str">
        <f t="shared" si="259"/>
        <v>UpCR_MGAIN_A</v>
      </c>
      <c r="J424" s="1">
        <f t="shared" si="245"/>
        <v>0</v>
      </c>
      <c r="K424" s="1">
        <f t="shared" si="246"/>
        <v>0</v>
      </c>
      <c r="L424" s="1" t="str">
        <f t="shared" si="247"/>
        <v>0</v>
      </c>
      <c r="M424" s="10">
        <f t="shared" si="248"/>
        <v>0</v>
      </c>
      <c r="N424" s="1">
        <f t="shared" si="260"/>
        <v>26</v>
      </c>
      <c r="O424" s="1">
        <f t="shared" si="252"/>
        <v>0</v>
      </c>
      <c r="P424" s="1">
        <f t="shared" si="249"/>
        <v>70</v>
      </c>
      <c r="Q424" s="3" t="str">
        <f t="shared" si="251"/>
        <v xml:space="preserve"> Gain to be Multiplied to Cr Value &lt;MODE_A&gt; </v>
      </c>
      <c r="R424" s="11">
        <f t="shared" si="250"/>
        <v>791</v>
      </c>
      <c r="T424" s="13" t="str">
        <f t="shared" si="261"/>
        <v>317</v>
      </c>
      <c r="U424" s="14" t="str">
        <f t="shared" si="262"/>
        <v>UpCR_MGAIN_A</v>
      </c>
      <c r="V424" s="13" t="str">
        <f t="shared" si="263"/>
        <v>2</v>
      </c>
      <c r="W424" s="13">
        <f t="shared" si="264"/>
        <v>0</v>
      </c>
      <c r="X424" s="14" t="str">
        <f t="shared" si="265"/>
        <v xml:space="preserve"> Gain to be Multiplied to Cr Value &lt;MODE_A&gt; </v>
      </c>
    </row>
    <row r="425" spans="1:24" x14ac:dyDescent="0.3">
      <c r="A425" s="15" t="s">
        <v>110</v>
      </c>
      <c r="B425" s="1">
        <f t="shared" si="253"/>
        <v>8</v>
      </c>
      <c r="C425" s="1">
        <f t="shared" si="254"/>
        <v>9</v>
      </c>
      <c r="D425" s="10" t="str">
        <f t="shared" si="255"/>
        <v>2</v>
      </c>
      <c r="E425" s="1">
        <f t="shared" si="256"/>
        <v>11</v>
      </c>
      <c r="F425" s="1">
        <f t="shared" si="257"/>
        <v>0</v>
      </c>
      <c r="G425" s="1">
        <f t="shared" si="258"/>
        <v>21</v>
      </c>
      <c r="H425" s="1">
        <f t="shared" si="244"/>
        <v>21</v>
      </c>
      <c r="I425" s="10" t="str">
        <f t="shared" si="259"/>
        <v>UpCB_BST_A</v>
      </c>
      <c r="J425" s="1">
        <f t="shared" si="245"/>
        <v>0</v>
      </c>
      <c r="K425" s="1">
        <f t="shared" si="246"/>
        <v>0</v>
      </c>
      <c r="L425" s="1" t="str">
        <f t="shared" si="247"/>
        <v>0</v>
      </c>
      <c r="M425" s="10">
        <f t="shared" si="248"/>
        <v>0</v>
      </c>
      <c r="N425" s="1">
        <f t="shared" si="260"/>
        <v>24</v>
      </c>
      <c r="O425" s="1">
        <f t="shared" si="252"/>
        <v>0</v>
      </c>
      <c r="P425" s="1">
        <f t="shared" si="249"/>
        <v>79</v>
      </c>
      <c r="Q425" s="3" t="str">
        <f t="shared" si="251"/>
        <v xml:space="preserve"> Burst amplitude &amp; phase select parameter(Cr) &lt;MODE_A&gt; </v>
      </c>
      <c r="R425" s="11">
        <f t="shared" si="250"/>
        <v>793</v>
      </c>
      <c r="T425" s="13" t="str">
        <f t="shared" si="261"/>
        <v>319</v>
      </c>
      <c r="U425" s="14" t="str">
        <f t="shared" si="262"/>
        <v>UpCB_BST_A</v>
      </c>
      <c r="V425" s="13" t="str">
        <f t="shared" si="263"/>
        <v>2</v>
      </c>
      <c r="W425" s="13">
        <f t="shared" si="264"/>
        <v>0</v>
      </c>
      <c r="X425" s="14" t="str">
        <f t="shared" si="265"/>
        <v xml:space="preserve"> Burst amplitude &amp; phase select parameter(Cr) &lt;MODE_A&gt; </v>
      </c>
    </row>
    <row r="426" spans="1:24" x14ac:dyDescent="0.3">
      <c r="A426" s="15" t="s">
        <v>387</v>
      </c>
      <c r="B426" s="1">
        <f t="shared" si="253"/>
        <v>8</v>
      </c>
      <c r="C426" s="1">
        <f t="shared" si="254"/>
        <v>9</v>
      </c>
      <c r="D426" s="10" t="str">
        <f t="shared" si="255"/>
        <v>2</v>
      </c>
      <c r="E426" s="1">
        <f t="shared" si="256"/>
        <v>11</v>
      </c>
      <c r="F426" s="1">
        <f t="shared" si="257"/>
        <v>0</v>
      </c>
      <c r="G426" s="1">
        <f t="shared" si="258"/>
        <v>21</v>
      </c>
      <c r="H426" s="1">
        <f t="shared" si="244"/>
        <v>21</v>
      </c>
      <c r="I426" s="10" t="str">
        <f t="shared" si="259"/>
        <v>UpCR_BST_A</v>
      </c>
      <c r="J426" s="1">
        <f t="shared" si="245"/>
        <v>0</v>
      </c>
      <c r="K426" s="1">
        <f t="shared" si="246"/>
        <v>0</v>
      </c>
      <c r="L426" s="1" t="str">
        <f t="shared" si="247"/>
        <v>0</v>
      </c>
      <c r="M426" s="10">
        <f t="shared" si="248"/>
        <v>0</v>
      </c>
      <c r="N426" s="1">
        <f t="shared" si="260"/>
        <v>24</v>
      </c>
      <c r="O426" s="1">
        <f t="shared" si="252"/>
        <v>0</v>
      </c>
      <c r="P426" s="1">
        <f t="shared" si="249"/>
        <v>79</v>
      </c>
      <c r="Q426" s="3" t="str">
        <f t="shared" si="251"/>
        <v xml:space="preserve"> Burst amplitude &amp; phase select parameter(Cb) &lt;MODE_A&gt; </v>
      </c>
      <c r="R426" s="11">
        <f t="shared" si="250"/>
        <v>795</v>
      </c>
      <c r="T426" s="13" t="str">
        <f t="shared" si="261"/>
        <v>31B</v>
      </c>
      <c r="U426" s="14" t="str">
        <f t="shared" si="262"/>
        <v>UpCR_BST_A</v>
      </c>
      <c r="V426" s="13" t="str">
        <f t="shared" si="263"/>
        <v>2</v>
      </c>
      <c r="W426" s="13">
        <f t="shared" si="264"/>
        <v>0</v>
      </c>
      <c r="X426" s="14" t="str">
        <f t="shared" si="265"/>
        <v xml:space="preserve"> Burst amplitude &amp; phase select parameter(Cb) &lt;MODE_A&gt; </v>
      </c>
    </row>
    <row r="427" spans="1:24" x14ac:dyDescent="0.3">
      <c r="A427" s="15" t="s">
        <v>111</v>
      </c>
      <c r="B427" s="1">
        <f t="shared" si="253"/>
        <v>8</v>
      </c>
      <c r="C427" s="1">
        <f t="shared" si="254"/>
        <v>9</v>
      </c>
      <c r="D427" s="10" t="str">
        <f t="shared" si="255"/>
        <v>2</v>
      </c>
      <c r="E427" s="1">
        <f t="shared" si="256"/>
        <v>11</v>
      </c>
      <c r="F427" s="1">
        <f t="shared" si="257"/>
        <v>0</v>
      </c>
      <c r="G427" s="1">
        <f t="shared" si="258"/>
        <v>20</v>
      </c>
      <c r="H427" s="1">
        <f t="shared" si="244"/>
        <v>20</v>
      </c>
      <c r="I427" s="10" t="str">
        <f t="shared" si="259"/>
        <v>UpHSC_K_A</v>
      </c>
      <c r="J427" s="1">
        <f t="shared" si="245"/>
        <v>0</v>
      </c>
      <c r="K427" s="1">
        <f t="shared" si="246"/>
        <v>0</v>
      </c>
      <c r="L427" s="1" t="str">
        <f t="shared" si="247"/>
        <v>0</v>
      </c>
      <c r="M427" s="10">
        <f t="shared" si="248"/>
        <v>0</v>
      </c>
      <c r="N427" s="1">
        <f t="shared" si="260"/>
        <v>23</v>
      </c>
      <c r="O427" s="1">
        <f t="shared" si="252"/>
        <v>0</v>
      </c>
      <c r="P427" s="1">
        <f t="shared" si="249"/>
        <v>57</v>
      </c>
      <c r="Q427" s="3" t="str">
        <f t="shared" si="251"/>
        <v xml:space="preserve"> Horizontal Scaler Ratio &lt;MODE_A&gt; </v>
      </c>
      <c r="R427" s="11">
        <f t="shared" si="250"/>
        <v>797</v>
      </c>
      <c r="T427" s="13" t="str">
        <f t="shared" si="261"/>
        <v>31D</v>
      </c>
      <c r="U427" s="14" t="str">
        <f t="shared" si="262"/>
        <v>UpHSC_K_A</v>
      </c>
      <c r="V427" s="13" t="str">
        <f t="shared" si="263"/>
        <v>2</v>
      </c>
      <c r="W427" s="13">
        <f t="shared" si="264"/>
        <v>0</v>
      </c>
      <c r="X427" s="14" t="str">
        <f t="shared" si="265"/>
        <v xml:space="preserve"> Horizontal Scaler Ratio &lt;MODE_A&gt; </v>
      </c>
    </row>
    <row r="428" spans="1:24" x14ac:dyDescent="0.3">
      <c r="A428" s="15" t="s">
        <v>112</v>
      </c>
      <c r="B428" s="1">
        <f t="shared" si="253"/>
        <v>8</v>
      </c>
      <c r="C428" s="1">
        <f t="shared" si="254"/>
        <v>9</v>
      </c>
      <c r="D428" s="10" t="str">
        <f t="shared" si="255"/>
        <v>2</v>
      </c>
      <c r="E428" s="1">
        <f t="shared" si="256"/>
        <v>11</v>
      </c>
      <c r="F428" s="1">
        <f t="shared" si="257"/>
        <v>0</v>
      </c>
      <c r="G428" s="1">
        <f t="shared" si="258"/>
        <v>24</v>
      </c>
      <c r="H428" s="1">
        <f t="shared" ref="H428:H491" si="266">IF(AND(F428&gt;0,F428&lt;G428),F428,G428)</f>
        <v>24</v>
      </c>
      <c r="I428" s="10" t="str">
        <f t="shared" si="259"/>
        <v>UpHLOCK_CAT_A</v>
      </c>
      <c r="J428" s="1">
        <f t="shared" ref="J428:J491" si="267">IF(AND(F428&gt;0,F428&lt;G428),FIND("=",A428,F428)+1,0)</f>
        <v>0</v>
      </c>
      <c r="K428" s="1">
        <f t="shared" ref="K428:K491" si="268">IF(J428&gt;0,MID(A428,J428,G428-J428),0)</f>
        <v>0</v>
      </c>
      <c r="L428" s="1" t="str">
        <f t="shared" ref="L428:L491" si="269">IFERROR(RIGHT(K428,LEN(K428)-FIND("0x",K428)-1),DEC2HEX(K428))</f>
        <v>0</v>
      </c>
      <c r="M428" s="10">
        <f t="shared" ref="M428:M491" si="270">HEX2DEC(L428)</f>
        <v>0</v>
      </c>
      <c r="N428" s="1">
        <f t="shared" si="260"/>
        <v>27</v>
      </c>
      <c r="O428" s="1">
        <f t="shared" si="252"/>
        <v>0</v>
      </c>
      <c r="P428" s="1">
        <f t="shared" ref="P428:P491" si="271">IFERROR(FIND("*/",$A428,N428+1),0)</f>
        <v>105</v>
      </c>
      <c r="Q428" s="3" t="str">
        <f t="shared" si="251"/>
        <v xml:space="preserve"> Video Encoder internal H sync delay parameter based on input H sync &lt;MODE_A&gt; </v>
      </c>
      <c r="R428" s="11">
        <f t="shared" ref="R428:R491" si="272">IF(M428&gt;0,M428,D427+R427)</f>
        <v>799</v>
      </c>
      <c r="T428" s="13" t="str">
        <f t="shared" si="261"/>
        <v>31F</v>
      </c>
      <c r="U428" s="14" t="str">
        <f t="shared" si="262"/>
        <v>UpHLOCK_CAT_A</v>
      </c>
      <c r="V428" s="13" t="str">
        <f t="shared" si="263"/>
        <v>2</v>
      </c>
      <c r="W428" s="13">
        <f t="shared" si="264"/>
        <v>0</v>
      </c>
      <c r="X428" s="14" t="str">
        <f t="shared" si="265"/>
        <v xml:space="preserve"> Video Encoder internal H sync delay parameter based on input H sync &lt;MODE_A&gt; </v>
      </c>
    </row>
    <row r="429" spans="1:24" x14ac:dyDescent="0.3">
      <c r="A429" s="15" t="s">
        <v>388</v>
      </c>
      <c r="B429" s="1">
        <f t="shared" si="253"/>
        <v>8</v>
      </c>
      <c r="C429" s="1">
        <f t="shared" si="254"/>
        <v>9</v>
      </c>
      <c r="D429" s="10" t="str">
        <f t="shared" si="255"/>
        <v>2</v>
      </c>
      <c r="E429" s="1">
        <f t="shared" si="256"/>
        <v>11</v>
      </c>
      <c r="F429" s="1">
        <f t="shared" si="257"/>
        <v>0</v>
      </c>
      <c r="G429" s="1">
        <f t="shared" si="258"/>
        <v>27</v>
      </c>
      <c r="H429" s="1">
        <f t="shared" si="266"/>
        <v>27</v>
      </c>
      <c r="I429" s="10" t="str">
        <f t="shared" si="259"/>
        <v>UpVLOCK_CAT_EV_A</v>
      </c>
      <c r="J429" s="1">
        <f t="shared" si="267"/>
        <v>0</v>
      </c>
      <c r="K429" s="1">
        <f t="shared" si="268"/>
        <v>0</v>
      </c>
      <c r="L429" s="1" t="str">
        <f t="shared" si="269"/>
        <v>0</v>
      </c>
      <c r="M429" s="10">
        <f t="shared" si="270"/>
        <v>0</v>
      </c>
      <c r="N429" s="1">
        <f t="shared" si="260"/>
        <v>30</v>
      </c>
      <c r="O429" s="1">
        <f t="shared" si="252"/>
        <v>0</v>
      </c>
      <c r="P429" s="1">
        <f t="shared" si="271"/>
        <v>92</v>
      </c>
      <c r="Q429" s="3" t="str">
        <f t="shared" si="251"/>
        <v xml:space="preserve"> Contolling Vertical Locking Catch Point(Even field) &lt;MODE_A&gt; </v>
      </c>
      <c r="R429" s="11">
        <f t="shared" si="272"/>
        <v>801</v>
      </c>
      <c r="T429" s="13" t="str">
        <f t="shared" si="261"/>
        <v>321</v>
      </c>
      <c r="U429" s="14" t="str">
        <f t="shared" si="262"/>
        <v>UpVLOCK_CAT_EV_A</v>
      </c>
      <c r="V429" s="13" t="str">
        <f t="shared" si="263"/>
        <v>2</v>
      </c>
      <c r="W429" s="13">
        <f t="shared" si="264"/>
        <v>0</v>
      </c>
      <c r="X429" s="14" t="str">
        <f t="shared" si="265"/>
        <v xml:space="preserve"> Contolling Vertical Locking Catch Point(Even field) &lt;MODE_A&gt; </v>
      </c>
    </row>
    <row r="430" spans="1:24" x14ac:dyDescent="0.3">
      <c r="A430" s="15" t="s">
        <v>389</v>
      </c>
      <c r="B430" s="1">
        <f t="shared" si="253"/>
        <v>8</v>
      </c>
      <c r="C430" s="1">
        <f t="shared" si="254"/>
        <v>9</v>
      </c>
      <c r="D430" s="10" t="str">
        <f t="shared" si="255"/>
        <v>2</v>
      </c>
      <c r="E430" s="1">
        <f t="shared" si="256"/>
        <v>11</v>
      </c>
      <c r="F430" s="1">
        <f t="shared" si="257"/>
        <v>0</v>
      </c>
      <c r="G430" s="1">
        <f t="shared" si="258"/>
        <v>27</v>
      </c>
      <c r="H430" s="1">
        <f t="shared" si="266"/>
        <v>27</v>
      </c>
      <c r="I430" s="10" t="str">
        <f t="shared" si="259"/>
        <v>UpVLOCK_CAT_OD_A</v>
      </c>
      <c r="J430" s="1">
        <f t="shared" si="267"/>
        <v>0</v>
      </c>
      <c r="K430" s="1">
        <f t="shared" si="268"/>
        <v>0</v>
      </c>
      <c r="L430" s="1" t="str">
        <f t="shared" si="269"/>
        <v>0</v>
      </c>
      <c r="M430" s="10">
        <f t="shared" si="270"/>
        <v>0</v>
      </c>
      <c r="N430" s="1">
        <f t="shared" si="260"/>
        <v>30</v>
      </c>
      <c r="O430" s="1">
        <f t="shared" si="252"/>
        <v>0</v>
      </c>
      <c r="P430" s="1">
        <f t="shared" si="271"/>
        <v>91</v>
      </c>
      <c r="Q430" s="3" t="str">
        <f t="shared" si="251"/>
        <v xml:space="preserve"> Contolling Vertical Locking Catch Point(Odd field) &lt;MODE_A&gt; </v>
      </c>
      <c r="R430" s="11">
        <f t="shared" si="272"/>
        <v>803</v>
      </c>
      <c r="T430" s="13" t="str">
        <f t="shared" si="261"/>
        <v>323</v>
      </c>
      <c r="U430" s="14" t="str">
        <f t="shared" si="262"/>
        <v>UpVLOCK_CAT_OD_A</v>
      </c>
      <c r="V430" s="13" t="str">
        <f t="shared" si="263"/>
        <v>2</v>
      </c>
      <c r="W430" s="13">
        <f t="shared" si="264"/>
        <v>0</v>
      </c>
      <c r="X430" s="14" t="str">
        <f t="shared" si="265"/>
        <v xml:space="preserve"> Contolling Vertical Locking Catch Point(Odd field) &lt;MODE_A&gt; </v>
      </c>
    </row>
    <row r="431" spans="1:24" x14ac:dyDescent="0.3">
      <c r="A431" s="15" t="s">
        <v>390</v>
      </c>
      <c r="B431" s="1">
        <f t="shared" si="253"/>
        <v>8</v>
      </c>
      <c r="C431" s="1">
        <f t="shared" si="254"/>
        <v>9</v>
      </c>
      <c r="D431" s="10" t="str">
        <f t="shared" si="255"/>
        <v>2</v>
      </c>
      <c r="E431" s="1">
        <f t="shared" si="256"/>
        <v>11</v>
      </c>
      <c r="F431" s="1">
        <f t="shared" si="257"/>
        <v>129</v>
      </c>
      <c r="G431" s="1">
        <f t="shared" si="258"/>
        <v>27</v>
      </c>
      <c r="H431" s="1">
        <f t="shared" si="266"/>
        <v>27</v>
      </c>
      <c r="I431" s="10" t="str">
        <f t="shared" si="259"/>
        <v>UpCRX_AUTO_CAT_A</v>
      </c>
      <c r="J431" s="1">
        <f t="shared" si="267"/>
        <v>0</v>
      </c>
      <c r="K431" s="1">
        <f t="shared" si="268"/>
        <v>0</v>
      </c>
      <c r="L431" s="1" t="str">
        <f t="shared" si="269"/>
        <v>0</v>
      </c>
      <c r="M431" s="10">
        <f t="shared" si="270"/>
        <v>0</v>
      </c>
      <c r="N431" s="1">
        <f t="shared" si="260"/>
        <v>30</v>
      </c>
      <c r="O431" s="1">
        <f t="shared" si="252"/>
        <v>0</v>
      </c>
      <c r="P431" s="1">
        <f t="shared" si="271"/>
        <v>261</v>
      </c>
      <c r="Q431" s="3" t="str">
        <f t="shared" si="251"/>
        <v xml:space="preserve"> Delays the UTC data catching point of the corresponding parameter value from the first high signal, and the following datas are catched of the period of BITRATE (proceeded in the range of [UpCRX_HPOSEVS ~ UpCRX_HPOSEVE]) &lt;MODE_A&gt; </v>
      </c>
      <c r="R431" s="11">
        <f t="shared" si="272"/>
        <v>805</v>
      </c>
      <c r="T431" s="13" t="str">
        <f t="shared" si="261"/>
        <v>325</v>
      </c>
      <c r="U431" s="14" t="str">
        <f t="shared" si="262"/>
        <v>UpCRX_AUTO_CAT_A</v>
      </c>
      <c r="V431" s="13" t="str">
        <f t="shared" si="263"/>
        <v>2</v>
      </c>
      <c r="W431" s="13">
        <f t="shared" si="264"/>
        <v>0</v>
      </c>
      <c r="X431" s="14" t="str">
        <f t="shared" si="265"/>
        <v xml:space="preserve"> Delays the UTC data catching point of the corresponding parameter value from the first high signal, and the following datas are catched of the period of BITRATE (proceeded in the range of [UpCRX_HPOSEVS ~ UpCRX_HPOSEVE]) &lt;MODE_A&gt; </v>
      </c>
    </row>
    <row r="432" spans="1:24" x14ac:dyDescent="0.3">
      <c r="A432" s="15" t="s">
        <v>391</v>
      </c>
      <c r="B432" s="1">
        <f t="shared" si="253"/>
        <v>8</v>
      </c>
      <c r="C432" s="1">
        <f t="shared" si="254"/>
        <v>9</v>
      </c>
      <c r="D432" s="10" t="str">
        <f t="shared" si="255"/>
        <v>2</v>
      </c>
      <c r="E432" s="1">
        <f t="shared" si="256"/>
        <v>11</v>
      </c>
      <c r="F432" s="1">
        <f t="shared" si="257"/>
        <v>52</v>
      </c>
      <c r="G432" s="1">
        <f t="shared" si="258"/>
        <v>26</v>
      </c>
      <c r="H432" s="1">
        <f t="shared" si="266"/>
        <v>26</v>
      </c>
      <c r="I432" s="10" t="str">
        <f t="shared" si="259"/>
        <v>UpCRX_HPOSEVS_A</v>
      </c>
      <c r="J432" s="1">
        <f t="shared" si="267"/>
        <v>0</v>
      </c>
      <c r="K432" s="1">
        <f t="shared" si="268"/>
        <v>0</v>
      </c>
      <c r="L432" s="1" t="str">
        <f t="shared" si="269"/>
        <v>0</v>
      </c>
      <c r="M432" s="10">
        <f t="shared" si="270"/>
        <v>0</v>
      </c>
      <c r="N432" s="1">
        <f t="shared" si="260"/>
        <v>29</v>
      </c>
      <c r="O432" s="1">
        <f t="shared" si="252"/>
        <v>0</v>
      </c>
      <c r="P432" s="1">
        <f t="shared" si="271"/>
        <v>101</v>
      </c>
      <c r="Q432" s="3" t="str">
        <f t="shared" si="251"/>
        <v xml:space="preserve"> When UTC Communication, Start Position of Data Catching Point &lt;MODE_A&gt; </v>
      </c>
      <c r="R432" s="11">
        <f t="shared" si="272"/>
        <v>807</v>
      </c>
      <c r="T432" s="13" t="str">
        <f t="shared" si="261"/>
        <v>327</v>
      </c>
      <c r="U432" s="14" t="str">
        <f t="shared" si="262"/>
        <v>UpCRX_HPOSEVS_A</v>
      </c>
      <c r="V432" s="13" t="str">
        <f t="shared" si="263"/>
        <v>2</v>
      </c>
      <c r="W432" s="13">
        <f t="shared" si="264"/>
        <v>0</v>
      </c>
      <c r="X432" s="14" t="str">
        <f t="shared" si="265"/>
        <v xml:space="preserve"> When UTC Communication, Start Position of Data Catching Point &lt;MODE_A&gt; </v>
      </c>
    </row>
    <row r="433" spans="1:24" x14ac:dyDescent="0.3">
      <c r="A433" s="15" t="s">
        <v>392</v>
      </c>
      <c r="B433" s="1">
        <f t="shared" si="253"/>
        <v>8</v>
      </c>
      <c r="C433" s="1">
        <f t="shared" si="254"/>
        <v>9</v>
      </c>
      <c r="D433" s="10" t="str">
        <f t="shared" si="255"/>
        <v>2</v>
      </c>
      <c r="E433" s="1">
        <f t="shared" si="256"/>
        <v>11</v>
      </c>
      <c r="F433" s="1">
        <f t="shared" si="257"/>
        <v>52</v>
      </c>
      <c r="G433" s="1">
        <f t="shared" si="258"/>
        <v>26</v>
      </c>
      <c r="H433" s="1">
        <f t="shared" si="266"/>
        <v>26</v>
      </c>
      <c r="I433" s="10" t="str">
        <f t="shared" si="259"/>
        <v>UpCRX_HPOSEVE_A</v>
      </c>
      <c r="J433" s="1">
        <f t="shared" si="267"/>
        <v>0</v>
      </c>
      <c r="K433" s="1">
        <f t="shared" si="268"/>
        <v>0</v>
      </c>
      <c r="L433" s="1" t="str">
        <f t="shared" si="269"/>
        <v>0</v>
      </c>
      <c r="M433" s="10">
        <f t="shared" si="270"/>
        <v>0</v>
      </c>
      <c r="N433" s="1">
        <f t="shared" si="260"/>
        <v>29</v>
      </c>
      <c r="O433" s="1">
        <f t="shared" si="252"/>
        <v>0</v>
      </c>
      <c r="P433" s="1">
        <f t="shared" si="271"/>
        <v>99</v>
      </c>
      <c r="Q433" s="3" t="str">
        <f t="shared" si="251"/>
        <v xml:space="preserve"> When UTC Communication, End Position of Data Catching Point &lt;MODE_A&gt; </v>
      </c>
      <c r="R433" s="11">
        <f t="shared" si="272"/>
        <v>809</v>
      </c>
      <c r="T433" s="13" t="str">
        <f t="shared" si="261"/>
        <v>329</v>
      </c>
      <c r="U433" s="14" t="str">
        <f t="shared" si="262"/>
        <v>UpCRX_HPOSEVE_A</v>
      </c>
      <c r="V433" s="13" t="str">
        <f t="shared" si="263"/>
        <v>2</v>
      </c>
      <c r="W433" s="13">
        <f t="shared" si="264"/>
        <v>0</v>
      </c>
      <c r="X433" s="14" t="str">
        <f t="shared" si="265"/>
        <v xml:space="preserve"> When UTC Communication, End Position of Data Catching Point &lt;MODE_A&gt; </v>
      </c>
    </row>
    <row r="434" spans="1:24" x14ac:dyDescent="0.3">
      <c r="A434" s="15" t="s">
        <v>393</v>
      </c>
      <c r="B434" s="1">
        <f t="shared" si="253"/>
        <v>8</v>
      </c>
      <c r="C434" s="1">
        <f t="shared" si="254"/>
        <v>9</v>
      </c>
      <c r="D434" s="10" t="str">
        <f t="shared" si="255"/>
        <v>2</v>
      </c>
      <c r="E434" s="1">
        <f t="shared" si="256"/>
        <v>11</v>
      </c>
      <c r="F434" s="1">
        <f t="shared" si="257"/>
        <v>0</v>
      </c>
      <c r="G434" s="1">
        <f t="shared" si="258"/>
        <v>26</v>
      </c>
      <c r="H434" s="1">
        <f t="shared" si="266"/>
        <v>26</v>
      </c>
      <c r="I434" s="10" t="str">
        <f t="shared" si="259"/>
        <v>UpCRX_BITRATE_A</v>
      </c>
      <c r="J434" s="1">
        <f t="shared" si="267"/>
        <v>0</v>
      </c>
      <c r="K434" s="1">
        <f t="shared" si="268"/>
        <v>0</v>
      </c>
      <c r="L434" s="1" t="str">
        <f t="shared" si="269"/>
        <v>0</v>
      </c>
      <c r="M434" s="10">
        <f t="shared" si="270"/>
        <v>0</v>
      </c>
      <c r="N434" s="1">
        <f t="shared" si="260"/>
        <v>29</v>
      </c>
      <c r="O434" s="1">
        <f t="shared" si="252"/>
        <v>0</v>
      </c>
      <c r="P434" s="1">
        <f t="shared" si="271"/>
        <v>79</v>
      </c>
      <c r="Q434" s="3" t="str">
        <f t="shared" si="251"/>
        <v xml:space="preserve"> Decides the Catching Period of UTC Data &lt;MODE_A&gt; </v>
      </c>
      <c r="R434" s="11">
        <f t="shared" si="272"/>
        <v>811</v>
      </c>
      <c r="T434" s="13" t="str">
        <f t="shared" si="261"/>
        <v>32B</v>
      </c>
      <c r="U434" s="14" t="str">
        <f t="shared" si="262"/>
        <v>UpCRX_BITRATE_A</v>
      </c>
      <c r="V434" s="13" t="str">
        <f t="shared" si="263"/>
        <v>2</v>
      </c>
      <c r="W434" s="13">
        <f t="shared" si="264"/>
        <v>0</v>
      </c>
      <c r="X434" s="14" t="str">
        <f t="shared" si="265"/>
        <v xml:space="preserve"> Decides the Catching Period of UTC Data &lt;MODE_A&gt; </v>
      </c>
    </row>
    <row r="435" spans="1:24" x14ac:dyDescent="0.3">
      <c r="A435" s="15" t="s">
        <v>155</v>
      </c>
      <c r="B435" s="1">
        <f t="shared" si="253"/>
        <v>0</v>
      </c>
      <c r="C435" s="1">
        <f t="shared" si="254"/>
        <v>0</v>
      </c>
      <c r="D435" s="10">
        <f t="shared" si="255"/>
        <v>0</v>
      </c>
      <c r="E435" s="1">
        <f t="shared" si="256"/>
        <v>0</v>
      </c>
      <c r="F435" s="1">
        <f t="shared" si="257"/>
        <v>0</v>
      </c>
      <c r="G435" s="1">
        <f t="shared" si="258"/>
        <v>0</v>
      </c>
      <c r="H435" s="1">
        <f t="shared" si="266"/>
        <v>0</v>
      </c>
      <c r="I435" s="10">
        <f t="shared" si="259"/>
        <v>0</v>
      </c>
      <c r="J435" s="1">
        <f t="shared" si="267"/>
        <v>0</v>
      </c>
      <c r="K435" s="1">
        <f t="shared" si="268"/>
        <v>0</v>
      </c>
      <c r="L435" s="1" t="str">
        <f t="shared" si="269"/>
        <v>0</v>
      </c>
      <c r="M435" s="10">
        <f t="shared" si="270"/>
        <v>0</v>
      </c>
      <c r="N435" s="1">
        <f t="shared" si="260"/>
        <v>3</v>
      </c>
      <c r="O435" s="1">
        <f t="shared" si="252"/>
        <v>1</v>
      </c>
      <c r="P435" s="1">
        <f t="shared" si="271"/>
        <v>13</v>
      </c>
      <c r="Q435" s="3" t="str">
        <f t="shared" si="251"/>
        <v>MODE_CVBS</v>
      </c>
      <c r="R435" s="11">
        <f t="shared" si="272"/>
        <v>813</v>
      </c>
      <c r="T435" s="13" t="str">
        <f t="shared" si="261"/>
        <v>#</v>
      </c>
      <c r="U435" s="14" t="str">
        <f t="shared" si="262"/>
        <v>MODE_CVBS</v>
      </c>
      <c r="V435" s="13">
        <f t="shared" si="263"/>
        <v>1</v>
      </c>
      <c r="W435" s="13">
        <f t="shared" si="264"/>
        <v>0</v>
      </c>
      <c r="X435" s="14" t="str">
        <f t="shared" si="265"/>
        <v>-</v>
      </c>
    </row>
    <row r="436" spans="1:24" x14ac:dyDescent="0.3">
      <c r="A436" s="15" t="s">
        <v>156</v>
      </c>
      <c r="B436" s="1">
        <f t="shared" si="253"/>
        <v>8</v>
      </c>
      <c r="C436" s="1">
        <f t="shared" si="254"/>
        <v>9</v>
      </c>
      <c r="D436" s="10" t="str">
        <f t="shared" si="255"/>
        <v>1</v>
      </c>
      <c r="E436" s="1">
        <f t="shared" si="256"/>
        <v>11</v>
      </c>
      <c r="F436" s="1">
        <f t="shared" si="257"/>
        <v>0</v>
      </c>
      <c r="G436" s="1">
        <f t="shared" si="258"/>
        <v>29</v>
      </c>
      <c r="H436" s="1">
        <f t="shared" si="266"/>
        <v>29</v>
      </c>
      <c r="I436" s="10" t="str">
        <f t="shared" si="259"/>
        <v>UpENC_RYGAINP_CVBS</v>
      </c>
      <c r="J436" s="1">
        <f t="shared" si="267"/>
        <v>0</v>
      </c>
      <c r="K436" s="1">
        <f t="shared" si="268"/>
        <v>0</v>
      </c>
      <c r="L436" s="1" t="str">
        <f t="shared" si="269"/>
        <v>0</v>
      </c>
      <c r="M436" s="10">
        <f t="shared" si="270"/>
        <v>0</v>
      </c>
      <c r="N436" s="1">
        <f t="shared" si="260"/>
        <v>32</v>
      </c>
      <c r="O436" s="1">
        <f t="shared" si="252"/>
        <v>0</v>
      </c>
      <c r="P436" s="1">
        <f t="shared" si="271"/>
        <v>95</v>
      </c>
      <c r="Q436" s="3" t="str">
        <f t="shared" si="251"/>
        <v xml:space="preserve"> R-Y Positive Gain Control for HD-Analog(0 ~ 0xFF) &lt;MODE_CVBS&gt; </v>
      </c>
      <c r="R436" s="11">
        <f t="shared" si="272"/>
        <v>813</v>
      </c>
      <c r="T436" s="13" t="str">
        <f t="shared" si="261"/>
        <v>32D</v>
      </c>
      <c r="U436" s="14" t="str">
        <f t="shared" si="262"/>
        <v>UpENC_RYGAINP_CVBS</v>
      </c>
      <c r="V436" s="13" t="str">
        <f t="shared" si="263"/>
        <v>1</v>
      </c>
      <c r="W436" s="13">
        <f t="shared" si="264"/>
        <v>0</v>
      </c>
      <c r="X436" s="14" t="str">
        <f t="shared" si="265"/>
        <v xml:space="preserve"> R-Y Positive Gain Control for HD-Analog(0 ~ 0xFF) &lt;MODE_CVBS&gt; </v>
      </c>
    </row>
    <row r="437" spans="1:24" x14ac:dyDescent="0.3">
      <c r="A437" s="15" t="s">
        <v>126</v>
      </c>
      <c r="B437" s="1">
        <f t="shared" si="253"/>
        <v>8</v>
      </c>
      <c r="C437" s="1">
        <f t="shared" si="254"/>
        <v>9</v>
      </c>
      <c r="D437" s="10" t="str">
        <f t="shared" si="255"/>
        <v>1</v>
      </c>
      <c r="E437" s="1">
        <f t="shared" si="256"/>
        <v>11</v>
      </c>
      <c r="F437" s="1">
        <f t="shared" si="257"/>
        <v>0</v>
      </c>
      <c r="G437" s="1">
        <f t="shared" si="258"/>
        <v>29</v>
      </c>
      <c r="H437" s="1">
        <f t="shared" si="266"/>
        <v>29</v>
      </c>
      <c r="I437" s="10" t="str">
        <f t="shared" si="259"/>
        <v>UpENC_RYGAINN_CVBS</v>
      </c>
      <c r="J437" s="1">
        <f t="shared" si="267"/>
        <v>0</v>
      </c>
      <c r="K437" s="1">
        <f t="shared" si="268"/>
        <v>0</v>
      </c>
      <c r="L437" s="1" t="str">
        <f t="shared" si="269"/>
        <v>0</v>
      </c>
      <c r="M437" s="10">
        <f t="shared" si="270"/>
        <v>0</v>
      </c>
      <c r="N437" s="1">
        <f t="shared" si="260"/>
        <v>32</v>
      </c>
      <c r="O437" s="1">
        <f t="shared" si="252"/>
        <v>0</v>
      </c>
      <c r="P437" s="1">
        <f t="shared" si="271"/>
        <v>95</v>
      </c>
      <c r="Q437" s="3" t="str">
        <f t="shared" si="251"/>
        <v xml:space="preserve"> R-Y Negative Gain Control for HD-Analog(0 ~ 0xFF) &lt;MODE_CVBS&gt; </v>
      </c>
      <c r="R437" s="11">
        <f t="shared" si="272"/>
        <v>814</v>
      </c>
      <c r="T437" s="13" t="str">
        <f t="shared" si="261"/>
        <v>32E</v>
      </c>
      <c r="U437" s="14" t="str">
        <f t="shared" si="262"/>
        <v>UpENC_RYGAINN_CVBS</v>
      </c>
      <c r="V437" s="13" t="str">
        <f t="shared" si="263"/>
        <v>1</v>
      </c>
      <c r="W437" s="13">
        <f t="shared" si="264"/>
        <v>0</v>
      </c>
      <c r="X437" s="14" t="str">
        <f t="shared" si="265"/>
        <v xml:space="preserve"> R-Y Negative Gain Control for HD-Analog(0 ~ 0xFF) &lt;MODE_CVBS&gt; </v>
      </c>
    </row>
    <row r="438" spans="1:24" x14ac:dyDescent="0.3">
      <c r="A438" s="15" t="s">
        <v>127</v>
      </c>
      <c r="B438" s="1">
        <f t="shared" si="253"/>
        <v>8</v>
      </c>
      <c r="C438" s="1">
        <f t="shared" si="254"/>
        <v>9</v>
      </c>
      <c r="D438" s="10" t="str">
        <f t="shared" si="255"/>
        <v>1</v>
      </c>
      <c r="E438" s="1">
        <f t="shared" si="256"/>
        <v>11</v>
      </c>
      <c r="F438" s="1">
        <f t="shared" si="257"/>
        <v>0</v>
      </c>
      <c r="G438" s="1">
        <f t="shared" si="258"/>
        <v>29</v>
      </c>
      <c r="H438" s="1">
        <f t="shared" si="266"/>
        <v>29</v>
      </c>
      <c r="I438" s="10" t="str">
        <f t="shared" si="259"/>
        <v>UpENC_BYGAINP_CVBS</v>
      </c>
      <c r="J438" s="1">
        <f t="shared" si="267"/>
        <v>0</v>
      </c>
      <c r="K438" s="1">
        <f t="shared" si="268"/>
        <v>0</v>
      </c>
      <c r="L438" s="1" t="str">
        <f t="shared" si="269"/>
        <v>0</v>
      </c>
      <c r="M438" s="10">
        <f t="shared" si="270"/>
        <v>0</v>
      </c>
      <c r="N438" s="1">
        <f t="shared" si="260"/>
        <v>32</v>
      </c>
      <c r="O438" s="1">
        <f t="shared" si="252"/>
        <v>0</v>
      </c>
      <c r="P438" s="1">
        <f t="shared" si="271"/>
        <v>95</v>
      </c>
      <c r="Q438" s="3" t="str">
        <f t="shared" si="251"/>
        <v xml:space="preserve"> B-Y Positive Gain Control for HD-Analog(0 ~ 0xFF) &lt;MODE_CVBS&gt; </v>
      </c>
      <c r="R438" s="11">
        <f t="shared" si="272"/>
        <v>815</v>
      </c>
      <c r="T438" s="13" t="str">
        <f t="shared" si="261"/>
        <v>32F</v>
      </c>
      <c r="U438" s="14" t="str">
        <f t="shared" si="262"/>
        <v>UpENC_BYGAINP_CVBS</v>
      </c>
      <c r="V438" s="13" t="str">
        <f t="shared" si="263"/>
        <v>1</v>
      </c>
      <c r="W438" s="13">
        <f t="shared" si="264"/>
        <v>0</v>
      </c>
      <c r="X438" s="14" t="str">
        <f t="shared" si="265"/>
        <v xml:space="preserve"> B-Y Positive Gain Control for HD-Analog(0 ~ 0xFF) &lt;MODE_CVBS&gt; </v>
      </c>
    </row>
    <row r="439" spans="1:24" x14ac:dyDescent="0.3">
      <c r="A439" s="15" t="s">
        <v>128</v>
      </c>
      <c r="B439" s="1">
        <f t="shared" si="253"/>
        <v>8</v>
      </c>
      <c r="C439" s="1">
        <f t="shared" si="254"/>
        <v>9</v>
      </c>
      <c r="D439" s="10" t="str">
        <f t="shared" si="255"/>
        <v>1</v>
      </c>
      <c r="E439" s="1">
        <f t="shared" si="256"/>
        <v>11</v>
      </c>
      <c r="F439" s="1">
        <f t="shared" si="257"/>
        <v>0</v>
      </c>
      <c r="G439" s="1">
        <f t="shared" si="258"/>
        <v>29</v>
      </c>
      <c r="H439" s="1">
        <f t="shared" si="266"/>
        <v>29</v>
      </c>
      <c r="I439" s="10" t="str">
        <f t="shared" si="259"/>
        <v>UpENC_BYGAINN_CVBS</v>
      </c>
      <c r="J439" s="1">
        <f t="shared" si="267"/>
        <v>0</v>
      </c>
      <c r="K439" s="1">
        <f t="shared" si="268"/>
        <v>0</v>
      </c>
      <c r="L439" s="1" t="str">
        <f t="shared" si="269"/>
        <v>0</v>
      </c>
      <c r="M439" s="10">
        <f t="shared" si="270"/>
        <v>0</v>
      </c>
      <c r="N439" s="1">
        <f t="shared" si="260"/>
        <v>32</v>
      </c>
      <c r="O439" s="1">
        <f t="shared" si="252"/>
        <v>0</v>
      </c>
      <c r="P439" s="1">
        <f t="shared" si="271"/>
        <v>95</v>
      </c>
      <c r="Q439" s="3" t="str">
        <f t="shared" si="251"/>
        <v xml:space="preserve"> B-Y Negative Gain Control for HD-Analog(0 ~ 0xFF) &lt;MODE_CVBS&gt; </v>
      </c>
      <c r="R439" s="11">
        <f t="shared" si="272"/>
        <v>816</v>
      </c>
      <c r="T439" s="13" t="str">
        <f t="shared" si="261"/>
        <v>330</v>
      </c>
      <c r="U439" s="14" t="str">
        <f t="shared" si="262"/>
        <v>UpENC_BYGAINN_CVBS</v>
      </c>
      <c r="V439" s="13" t="str">
        <f t="shared" si="263"/>
        <v>1</v>
      </c>
      <c r="W439" s="13">
        <f t="shared" si="264"/>
        <v>0</v>
      </c>
      <c r="X439" s="14" t="str">
        <f t="shared" si="265"/>
        <v xml:space="preserve"> B-Y Negative Gain Control for HD-Analog(0 ~ 0xFF) &lt;MODE_CVBS&gt; </v>
      </c>
    </row>
    <row r="440" spans="1:24" x14ac:dyDescent="0.3">
      <c r="A440" s="15" t="s">
        <v>129</v>
      </c>
      <c r="B440" s="1">
        <f t="shared" si="253"/>
        <v>8</v>
      </c>
      <c r="C440" s="1">
        <f t="shared" si="254"/>
        <v>9</v>
      </c>
      <c r="D440" s="10" t="str">
        <f t="shared" si="255"/>
        <v>1</v>
      </c>
      <c r="E440" s="1">
        <f t="shared" si="256"/>
        <v>11</v>
      </c>
      <c r="F440" s="1">
        <f t="shared" si="257"/>
        <v>0</v>
      </c>
      <c r="G440" s="1">
        <f t="shared" si="258"/>
        <v>28</v>
      </c>
      <c r="H440" s="1">
        <f t="shared" si="266"/>
        <v>28</v>
      </c>
      <c r="I440" s="10" t="str">
        <f t="shared" si="259"/>
        <v>UpENC_RYHUEP_CVBS</v>
      </c>
      <c r="J440" s="1">
        <f t="shared" si="267"/>
        <v>0</v>
      </c>
      <c r="K440" s="1">
        <f t="shared" si="268"/>
        <v>0</v>
      </c>
      <c r="L440" s="1" t="str">
        <f t="shared" si="269"/>
        <v>0</v>
      </c>
      <c r="M440" s="10">
        <f t="shared" si="270"/>
        <v>0</v>
      </c>
      <c r="N440" s="1">
        <f t="shared" si="260"/>
        <v>31</v>
      </c>
      <c r="O440" s="1">
        <f t="shared" si="252"/>
        <v>0</v>
      </c>
      <c r="P440" s="1">
        <f t="shared" si="271"/>
        <v>83</v>
      </c>
      <c r="Q440" s="3" t="str">
        <f t="shared" si="251"/>
        <v xml:space="preserve"> R-Y Positive Hue Control for HD-Analog &lt;MODE_CVBS&gt; </v>
      </c>
      <c r="R440" s="11">
        <f t="shared" si="272"/>
        <v>817</v>
      </c>
      <c r="T440" s="13" t="str">
        <f t="shared" si="261"/>
        <v>331</v>
      </c>
      <c r="U440" s="14" t="str">
        <f t="shared" si="262"/>
        <v>UpENC_RYHUEP_CVBS</v>
      </c>
      <c r="V440" s="13" t="str">
        <f t="shared" si="263"/>
        <v>1</v>
      </c>
      <c r="W440" s="13">
        <f t="shared" si="264"/>
        <v>0</v>
      </c>
      <c r="X440" s="14" t="str">
        <f t="shared" si="265"/>
        <v xml:space="preserve"> R-Y Positive Hue Control for HD-Analog &lt;MODE_CVBS&gt; </v>
      </c>
    </row>
    <row r="441" spans="1:24" x14ac:dyDescent="0.3">
      <c r="A441" s="15" t="s">
        <v>130</v>
      </c>
      <c r="B441" s="1">
        <f t="shared" si="253"/>
        <v>8</v>
      </c>
      <c r="C441" s="1">
        <f t="shared" si="254"/>
        <v>9</v>
      </c>
      <c r="D441" s="10" t="str">
        <f t="shared" si="255"/>
        <v>1</v>
      </c>
      <c r="E441" s="1">
        <f t="shared" si="256"/>
        <v>11</v>
      </c>
      <c r="F441" s="1">
        <f t="shared" si="257"/>
        <v>0</v>
      </c>
      <c r="G441" s="1">
        <f t="shared" si="258"/>
        <v>28</v>
      </c>
      <c r="H441" s="1">
        <f t="shared" si="266"/>
        <v>28</v>
      </c>
      <c r="I441" s="10" t="str">
        <f t="shared" si="259"/>
        <v>UpENC_RYHUEN_CVBS</v>
      </c>
      <c r="J441" s="1">
        <f t="shared" si="267"/>
        <v>0</v>
      </c>
      <c r="K441" s="1">
        <f t="shared" si="268"/>
        <v>0</v>
      </c>
      <c r="L441" s="1" t="str">
        <f t="shared" si="269"/>
        <v>0</v>
      </c>
      <c r="M441" s="10">
        <f t="shared" si="270"/>
        <v>0</v>
      </c>
      <c r="N441" s="1">
        <f t="shared" si="260"/>
        <v>31</v>
      </c>
      <c r="O441" s="1">
        <f t="shared" si="252"/>
        <v>0</v>
      </c>
      <c r="P441" s="1">
        <f t="shared" si="271"/>
        <v>83</v>
      </c>
      <c r="Q441" s="3" t="str">
        <f t="shared" si="251"/>
        <v xml:space="preserve"> R-Y Negative Hue Control for HD-Analog &lt;MODE_CVBS&gt; </v>
      </c>
      <c r="R441" s="11">
        <f t="shared" si="272"/>
        <v>818</v>
      </c>
      <c r="T441" s="13" t="str">
        <f t="shared" si="261"/>
        <v>332</v>
      </c>
      <c r="U441" s="14" t="str">
        <f t="shared" si="262"/>
        <v>UpENC_RYHUEN_CVBS</v>
      </c>
      <c r="V441" s="13" t="str">
        <f t="shared" si="263"/>
        <v>1</v>
      </c>
      <c r="W441" s="13">
        <f t="shared" si="264"/>
        <v>0</v>
      </c>
      <c r="X441" s="14" t="str">
        <f t="shared" si="265"/>
        <v xml:space="preserve"> R-Y Negative Hue Control for HD-Analog &lt;MODE_CVBS&gt; </v>
      </c>
    </row>
    <row r="442" spans="1:24" x14ac:dyDescent="0.3">
      <c r="A442" s="15" t="s">
        <v>131</v>
      </c>
      <c r="B442" s="1">
        <f t="shared" si="253"/>
        <v>8</v>
      </c>
      <c r="C442" s="1">
        <f t="shared" si="254"/>
        <v>9</v>
      </c>
      <c r="D442" s="10" t="str">
        <f t="shared" si="255"/>
        <v>1</v>
      </c>
      <c r="E442" s="1">
        <f t="shared" si="256"/>
        <v>11</v>
      </c>
      <c r="F442" s="1">
        <f t="shared" si="257"/>
        <v>0</v>
      </c>
      <c r="G442" s="1">
        <f t="shared" si="258"/>
        <v>28</v>
      </c>
      <c r="H442" s="1">
        <f t="shared" si="266"/>
        <v>28</v>
      </c>
      <c r="I442" s="10" t="str">
        <f t="shared" si="259"/>
        <v>UpENC_BYHUEP_CVBS</v>
      </c>
      <c r="J442" s="1">
        <f t="shared" si="267"/>
        <v>0</v>
      </c>
      <c r="K442" s="1">
        <f t="shared" si="268"/>
        <v>0</v>
      </c>
      <c r="L442" s="1" t="str">
        <f t="shared" si="269"/>
        <v>0</v>
      </c>
      <c r="M442" s="10">
        <f t="shared" si="270"/>
        <v>0</v>
      </c>
      <c r="N442" s="1">
        <f t="shared" si="260"/>
        <v>31</v>
      </c>
      <c r="O442" s="1">
        <f t="shared" si="252"/>
        <v>0</v>
      </c>
      <c r="P442" s="1">
        <f t="shared" si="271"/>
        <v>83</v>
      </c>
      <c r="Q442" s="3" t="str">
        <f t="shared" si="251"/>
        <v xml:space="preserve"> B-Y Positive Hue Control for HD-Analog &lt;MODE_CVBS&gt; </v>
      </c>
      <c r="R442" s="11">
        <f t="shared" si="272"/>
        <v>819</v>
      </c>
      <c r="T442" s="13" t="str">
        <f t="shared" si="261"/>
        <v>333</v>
      </c>
      <c r="U442" s="14" t="str">
        <f t="shared" si="262"/>
        <v>UpENC_BYHUEP_CVBS</v>
      </c>
      <c r="V442" s="13" t="str">
        <f t="shared" si="263"/>
        <v>1</v>
      </c>
      <c r="W442" s="13">
        <f t="shared" si="264"/>
        <v>0</v>
      </c>
      <c r="X442" s="14" t="str">
        <f t="shared" si="265"/>
        <v xml:space="preserve"> B-Y Positive Hue Control for HD-Analog &lt;MODE_CVBS&gt; </v>
      </c>
    </row>
    <row r="443" spans="1:24" x14ac:dyDescent="0.3">
      <c r="A443" s="15" t="s">
        <v>394</v>
      </c>
      <c r="B443" s="1">
        <f t="shared" si="253"/>
        <v>8</v>
      </c>
      <c r="C443" s="1">
        <f t="shared" si="254"/>
        <v>9</v>
      </c>
      <c r="D443" s="10" t="str">
        <f t="shared" si="255"/>
        <v>1</v>
      </c>
      <c r="E443" s="1">
        <f t="shared" si="256"/>
        <v>11</v>
      </c>
      <c r="F443" s="1">
        <f t="shared" si="257"/>
        <v>0</v>
      </c>
      <c r="G443" s="1">
        <f t="shared" si="258"/>
        <v>28</v>
      </c>
      <c r="H443" s="1">
        <f t="shared" si="266"/>
        <v>28</v>
      </c>
      <c r="I443" s="10" t="str">
        <f t="shared" si="259"/>
        <v>UpENC_BYHUEN_CVBS</v>
      </c>
      <c r="J443" s="1">
        <f t="shared" si="267"/>
        <v>0</v>
      </c>
      <c r="K443" s="1">
        <f t="shared" si="268"/>
        <v>0</v>
      </c>
      <c r="L443" s="1" t="str">
        <f t="shared" si="269"/>
        <v>0</v>
      </c>
      <c r="M443" s="10">
        <f t="shared" si="270"/>
        <v>0</v>
      </c>
      <c r="N443" s="1">
        <f t="shared" si="260"/>
        <v>31</v>
      </c>
      <c r="O443" s="1">
        <f t="shared" si="252"/>
        <v>0</v>
      </c>
      <c r="P443" s="1">
        <f t="shared" si="271"/>
        <v>83</v>
      </c>
      <c r="Q443" s="3" t="str">
        <f t="shared" si="251"/>
        <v xml:space="preserve"> B-Y Negative Hue Control for HD-Analog &lt;MODE_CVBS&gt; </v>
      </c>
      <c r="R443" s="11">
        <f t="shared" si="272"/>
        <v>820</v>
      </c>
      <c r="T443" s="13" t="str">
        <f t="shared" si="261"/>
        <v>334</v>
      </c>
      <c r="U443" s="14" t="str">
        <f t="shared" si="262"/>
        <v>UpENC_BYHUEN_CVBS</v>
      </c>
      <c r="V443" s="13" t="str">
        <f t="shared" si="263"/>
        <v>1</v>
      </c>
      <c r="W443" s="13">
        <f t="shared" si="264"/>
        <v>0</v>
      </c>
      <c r="X443" s="14" t="str">
        <f t="shared" si="265"/>
        <v xml:space="preserve"> B-Y Negative Hue Control for HD-Analog &lt;MODE_CVBS&gt; </v>
      </c>
    </row>
    <row r="444" spans="1:24" x14ac:dyDescent="0.3">
      <c r="A444" s="15" t="s">
        <v>132</v>
      </c>
      <c r="B444" s="1">
        <f t="shared" si="253"/>
        <v>8</v>
      </c>
      <c r="C444" s="1">
        <f t="shared" si="254"/>
        <v>9</v>
      </c>
      <c r="D444" s="10" t="str">
        <f t="shared" si="255"/>
        <v>2</v>
      </c>
      <c r="E444" s="1">
        <f t="shared" si="256"/>
        <v>11</v>
      </c>
      <c r="F444" s="1">
        <f t="shared" si="257"/>
        <v>0</v>
      </c>
      <c r="G444" s="1">
        <f t="shared" si="258"/>
        <v>26</v>
      </c>
      <c r="H444" s="1">
        <f t="shared" si="266"/>
        <v>26</v>
      </c>
      <c r="I444" s="10" t="str">
        <f t="shared" si="259"/>
        <v>UpWHITE_LV_CVBS</v>
      </c>
      <c r="J444" s="1">
        <f t="shared" si="267"/>
        <v>0</v>
      </c>
      <c r="K444" s="1">
        <f t="shared" si="268"/>
        <v>0</v>
      </c>
      <c r="L444" s="1" t="str">
        <f t="shared" si="269"/>
        <v>0</v>
      </c>
      <c r="M444" s="10">
        <f t="shared" si="270"/>
        <v>0</v>
      </c>
      <c r="N444" s="1">
        <f t="shared" si="260"/>
        <v>29</v>
      </c>
      <c r="O444" s="1">
        <f t="shared" si="252"/>
        <v>0</v>
      </c>
      <c r="P444" s="1">
        <f t="shared" si="271"/>
        <v>72</v>
      </c>
      <c r="Q444" s="3" t="str">
        <f t="shared" si="251"/>
        <v xml:space="preserve"> White level control parameter &lt;MODE_CVBS&gt; </v>
      </c>
      <c r="R444" s="11">
        <f t="shared" si="272"/>
        <v>821</v>
      </c>
      <c r="T444" s="13" t="str">
        <f t="shared" si="261"/>
        <v>335</v>
      </c>
      <c r="U444" s="14" t="str">
        <f t="shared" si="262"/>
        <v>UpWHITE_LV_CVBS</v>
      </c>
      <c r="V444" s="13" t="str">
        <f t="shared" si="263"/>
        <v>2</v>
      </c>
      <c r="W444" s="13">
        <f t="shared" si="264"/>
        <v>0</v>
      </c>
      <c r="X444" s="14" t="str">
        <f t="shared" si="265"/>
        <v xml:space="preserve"> White level control parameter &lt;MODE_CVBS&gt; </v>
      </c>
    </row>
    <row r="445" spans="1:24" x14ac:dyDescent="0.3">
      <c r="A445" s="15" t="s">
        <v>133</v>
      </c>
      <c r="B445" s="1">
        <f t="shared" si="253"/>
        <v>8</v>
      </c>
      <c r="C445" s="1">
        <f t="shared" si="254"/>
        <v>9</v>
      </c>
      <c r="D445" s="10" t="str">
        <f t="shared" si="255"/>
        <v>2</v>
      </c>
      <c r="E445" s="1">
        <f t="shared" si="256"/>
        <v>11</v>
      </c>
      <c r="F445" s="1">
        <f t="shared" si="257"/>
        <v>0</v>
      </c>
      <c r="G445" s="1">
        <f t="shared" si="258"/>
        <v>26</v>
      </c>
      <c r="H445" s="1">
        <f t="shared" si="266"/>
        <v>26</v>
      </c>
      <c r="I445" s="10" t="str">
        <f t="shared" si="259"/>
        <v>UpBLANK_LV_CVBS</v>
      </c>
      <c r="J445" s="1">
        <f t="shared" si="267"/>
        <v>0</v>
      </c>
      <c r="K445" s="1">
        <f t="shared" si="268"/>
        <v>0</v>
      </c>
      <c r="L445" s="1" t="str">
        <f t="shared" si="269"/>
        <v>0</v>
      </c>
      <c r="M445" s="10">
        <f t="shared" si="270"/>
        <v>0</v>
      </c>
      <c r="N445" s="1">
        <f t="shared" si="260"/>
        <v>29</v>
      </c>
      <c r="O445" s="1">
        <f t="shared" si="252"/>
        <v>0</v>
      </c>
      <c r="P445" s="1">
        <f t="shared" si="271"/>
        <v>72</v>
      </c>
      <c r="Q445" s="3" t="str">
        <f t="shared" si="251"/>
        <v xml:space="preserve"> Blank level control parameter &lt;MODE_CVBS&gt; </v>
      </c>
      <c r="R445" s="11">
        <f t="shared" si="272"/>
        <v>823</v>
      </c>
      <c r="T445" s="13" t="str">
        <f t="shared" si="261"/>
        <v>337</v>
      </c>
      <c r="U445" s="14" t="str">
        <f t="shared" si="262"/>
        <v>UpBLANK_LV_CVBS</v>
      </c>
      <c r="V445" s="13" t="str">
        <f t="shared" si="263"/>
        <v>2</v>
      </c>
      <c r="W445" s="13">
        <f t="shared" si="264"/>
        <v>0</v>
      </c>
      <c r="X445" s="14" t="str">
        <f t="shared" si="265"/>
        <v xml:space="preserve"> Blank level control parameter &lt;MODE_CVBS&gt; </v>
      </c>
    </row>
    <row r="446" spans="1:24" x14ac:dyDescent="0.3">
      <c r="A446" s="15" t="s">
        <v>134</v>
      </c>
      <c r="B446" s="1">
        <f t="shared" si="253"/>
        <v>8</v>
      </c>
      <c r="C446" s="1">
        <f t="shared" si="254"/>
        <v>9</v>
      </c>
      <c r="D446" s="10" t="str">
        <f t="shared" si="255"/>
        <v>2</v>
      </c>
      <c r="E446" s="1">
        <f t="shared" si="256"/>
        <v>11</v>
      </c>
      <c r="F446" s="1">
        <f t="shared" si="257"/>
        <v>0</v>
      </c>
      <c r="G446" s="1">
        <f t="shared" si="258"/>
        <v>29</v>
      </c>
      <c r="H446" s="1">
        <f t="shared" si="266"/>
        <v>29</v>
      </c>
      <c r="I446" s="10" t="str">
        <f t="shared" si="259"/>
        <v>UpPEDESTAL_LV_CVBS</v>
      </c>
      <c r="J446" s="1">
        <f t="shared" si="267"/>
        <v>0</v>
      </c>
      <c r="K446" s="1">
        <f t="shared" si="268"/>
        <v>0</v>
      </c>
      <c r="L446" s="1" t="str">
        <f t="shared" si="269"/>
        <v>0</v>
      </c>
      <c r="M446" s="10">
        <f t="shared" si="270"/>
        <v>0</v>
      </c>
      <c r="N446" s="1">
        <f t="shared" si="260"/>
        <v>32</v>
      </c>
      <c r="O446" s="1">
        <f t="shared" si="252"/>
        <v>0</v>
      </c>
      <c r="P446" s="1">
        <f t="shared" si="271"/>
        <v>78</v>
      </c>
      <c r="Q446" s="3" t="str">
        <f t="shared" si="251"/>
        <v xml:space="preserve"> Pedestal level control parameter &lt;MODE_CVBS&gt; </v>
      </c>
      <c r="R446" s="11">
        <f t="shared" si="272"/>
        <v>825</v>
      </c>
      <c r="T446" s="13" t="str">
        <f t="shared" si="261"/>
        <v>339</v>
      </c>
      <c r="U446" s="14" t="str">
        <f t="shared" si="262"/>
        <v>UpPEDESTAL_LV_CVBS</v>
      </c>
      <c r="V446" s="13" t="str">
        <f t="shared" si="263"/>
        <v>2</v>
      </c>
      <c r="W446" s="13">
        <f t="shared" si="264"/>
        <v>0</v>
      </c>
      <c r="X446" s="14" t="str">
        <f t="shared" si="265"/>
        <v xml:space="preserve"> Pedestal level control parameter &lt;MODE_CVBS&gt; </v>
      </c>
    </row>
    <row r="447" spans="1:24" x14ac:dyDescent="0.3">
      <c r="A447" s="15" t="s">
        <v>395</v>
      </c>
      <c r="B447" s="1">
        <f t="shared" si="253"/>
        <v>8</v>
      </c>
      <c r="C447" s="1">
        <f t="shared" si="254"/>
        <v>9</v>
      </c>
      <c r="D447" s="10" t="str">
        <f t="shared" si="255"/>
        <v>4</v>
      </c>
      <c r="E447" s="1">
        <f t="shared" si="256"/>
        <v>11</v>
      </c>
      <c r="F447" s="1">
        <f t="shared" si="257"/>
        <v>0</v>
      </c>
      <c r="G447" s="1">
        <f t="shared" si="258"/>
        <v>25</v>
      </c>
      <c r="H447" s="1">
        <f t="shared" si="266"/>
        <v>25</v>
      </c>
      <c r="I447" s="10" t="str">
        <f t="shared" si="259"/>
        <v>UpFSC_TGT_CVBS</v>
      </c>
      <c r="J447" s="1">
        <f t="shared" si="267"/>
        <v>0</v>
      </c>
      <c r="K447" s="1">
        <f t="shared" si="268"/>
        <v>0</v>
      </c>
      <c r="L447" s="1" t="str">
        <f t="shared" si="269"/>
        <v>0</v>
      </c>
      <c r="M447" s="10">
        <f t="shared" si="270"/>
        <v>0</v>
      </c>
      <c r="N447" s="1">
        <f t="shared" si="260"/>
        <v>28</v>
      </c>
      <c r="O447" s="1">
        <f t="shared" si="252"/>
        <v>0</v>
      </c>
      <c r="P447" s="1">
        <f t="shared" si="271"/>
        <v>82</v>
      </c>
      <c r="Q447" s="3" t="str">
        <f t="shared" si="251"/>
        <v xml:space="preserve"> Deciding Target for SubCarrier Frequency &lt;MODE_CVBS&gt; </v>
      </c>
      <c r="R447" s="11">
        <f t="shared" si="272"/>
        <v>827</v>
      </c>
      <c r="T447" s="13" t="str">
        <f t="shared" si="261"/>
        <v>33B</v>
      </c>
      <c r="U447" s="14" t="str">
        <f t="shared" si="262"/>
        <v>UpFSC_TGT_CVBS</v>
      </c>
      <c r="V447" s="13" t="str">
        <f t="shared" si="263"/>
        <v>4</v>
      </c>
      <c r="W447" s="13">
        <f t="shared" si="264"/>
        <v>0</v>
      </c>
      <c r="X447" s="14" t="str">
        <f t="shared" si="265"/>
        <v xml:space="preserve"> Deciding Target for SubCarrier Frequency &lt;MODE_CVBS&gt; </v>
      </c>
    </row>
    <row r="448" spans="1:24" x14ac:dyDescent="0.3">
      <c r="A448" s="15" t="s">
        <v>396</v>
      </c>
      <c r="B448" s="1">
        <f t="shared" si="253"/>
        <v>8</v>
      </c>
      <c r="C448" s="1">
        <f t="shared" si="254"/>
        <v>9</v>
      </c>
      <c r="D448" s="10" t="str">
        <f t="shared" si="255"/>
        <v>2</v>
      </c>
      <c r="E448" s="1">
        <f t="shared" si="256"/>
        <v>11</v>
      </c>
      <c r="F448" s="1">
        <f t="shared" si="257"/>
        <v>0</v>
      </c>
      <c r="G448" s="1">
        <f t="shared" si="258"/>
        <v>25</v>
      </c>
      <c r="H448" s="1">
        <f t="shared" si="266"/>
        <v>25</v>
      </c>
      <c r="I448" s="10" t="str">
        <f t="shared" si="259"/>
        <v>UpY_MGAIN_CVBS</v>
      </c>
      <c r="J448" s="1">
        <f t="shared" si="267"/>
        <v>0</v>
      </c>
      <c r="K448" s="1">
        <f t="shared" si="268"/>
        <v>0</v>
      </c>
      <c r="L448" s="1" t="str">
        <f t="shared" si="269"/>
        <v>0</v>
      </c>
      <c r="M448" s="10">
        <f t="shared" si="270"/>
        <v>0</v>
      </c>
      <c r="N448" s="1">
        <f t="shared" si="260"/>
        <v>28</v>
      </c>
      <c r="O448" s="1">
        <f t="shared" si="252"/>
        <v>0</v>
      </c>
      <c r="P448" s="1">
        <f t="shared" si="271"/>
        <v>81</v>
      </c>
      <c r="Q448" s="3" t="str">
        <f t="shared" si="251"/>
        <v xml:space="preserve"> Gain to be Multiplied to Y Output Value &lt;MODE_CVBS&gt; </v>
      </c>
      <c r="R448" s="11">
        <f t="shared" si="272"/>
        <v>831</v>
      </c>
      <c r="T448" s="13" t="str">
        <f t="shared" si="261"/>
        <v>33F</v>
      </c>
      <c r="U448" s="14" t="str">
        <f t="shared" si="262"/>
        <v>UpY_MGAIN_CVBS</v>
      </c>
      <c r="V448" s="13" t="str">
        <f t="shared" si="263"/>
        <v>2</v>
      </c>
      <c r="W448" s="13">
        <f t="shared" si="264"/>
        <v>0</v>
      </c>
      <c r="X448" s="14" t="str">
        <f t="shared" si="265"/>
        <v xml:space="preserve"> Gain to be Multiplied to Y Output Value &lt;MODE_CVBS&gt; </v>
      </c>
    </row>
    <row r="449" spans="1:24" x14ac:dyDescent="0.3">
      <c r="A449" s="15" t="s">
        <v>397</v>
      </c>
      <c r="B449" s="1">
        <f t="shared" si="253"/>
        <v>8</v>
      </c>
      <c r="C449" s="1">
        <f t="shared" si="254"/>
        <v>9</v>
      </c>
      <c r="D449" s="10" t="str">
        <f t="shared" si="255"/>
        <v>2</v>
      </c>
      <c r="E449" s="1">
        <f t="shared" si="256"/>
        <v>11</v>
      </c>
      <c r="F449" s="1">
        <f t="shared" si="257"/>
        <v>0</v>
      </c>
      <c r="G449" s="1">
        <f t="shared" si="258"/>
        <v>26</v>
      </c>
      <c r="H449" s="1">
        <f t="shared" si="266"/>
        <v>26</v>
      </c>
      <c r="I449" s="10" t="str">
        <f t="shared" si="259"/>
        <v>UpCB_MGAIN_CVBS</v>
      </c>
      <c r="J449" s="1">
        <f t="shared" si="267"/>
        <v>0</v>
      </c>
      <c r="K449" s="1">
        <f t="shared" si="268"/>
        <v>0</v>
      </c>
      <c r="L449" s="1" t="str">
        <f t="shared" si="269"/>
        <v>0</v>
      </c>
      <c r="M449" s="10">
        <f t="shared" si="270"/>
        <v>0</v>
      </c>
      <c r="N449" s="1">
        <f t="shared" si="260"/>
        <v>29</v>
      </c>
      <c r="O449" s="1">
        <f t="shared" si="252"/>
        <v>0</v>
      </c>
      <c r="P449" s="1">
        <f t="shared" si="271"/>
        <v>76</v>
      </c>
      <c r="Q449" s="3" t="str">
        <f t="shared" si="251"/>
        <v xml:space="preserve"> Gain to be Multiplied to Cb Value &lt;MODE_CVBS&gt; </v>
      </c>
      <c r="R449" s="11">
        <f t="shared" si="272"/>
        <v>833</v>
      </c>
      <c r="T449" s="13" t="str">
        <f t="shared" si="261"/>
        <v>341</v>
      </c>
      <c r="U449" s="14" t="str">
        <f t="shared" si="262"/>
        <v>UpCB_MGAIN_CVBS</v>
      </c>
      <c r="V449" s="13" t="str">
        <f t="shared" si="263"/>
        <v>2</v>
      </c>
      <c r="W449" s="13">
        <f t="shared" si="264"/>
        <v>0</v>
      </c>
      <c r="X449" s="14" t="str">
        <f t="shared" si="265"/>
        <v xml:space="preserve"> Gain to be Multiplied to Cb Value &lt;MODE_CVBS&gt; </v>
      </c>
    </row>
    <row r="450" spans="1:24" x14ac:dyDescent="0.3">
      <c r="A450" s="15" t="s">
        <v>398</v>
      </c>
      <c r="B450" s="1">
        <f t="shared" si="253"/>
        <v>8</v>
      </c>
      <c r="C450" s="1">
        <f t="shared" si="254"/>
        <v>9</v>
      </c>
      <c r="D450" s="10" t="str">
        <f t="shared" si="255"/>
        <v>2</v>
      </c>
      <c r="E450" s="1">
        <f t="shared" si="256"/>
        <v>11</v>
      </c>
      <c r="F450" s="1">
        <f t="shared" si="257"/>
        <v>0</v>
      </c>
      <c r="G450" s="1">
        <f t="shared" si="258"/>
        <v>26</v>
      </c>
      <c r="H450" s="1">
        <f t="shared" si="266"/>
        <v>26</v>
      </c>
      <c r="I450" s="10" t="str">
        <f t="shared" si="259"/>
        <v>UpCR_MGAIN_CVBS</v>
      </c>
      <c r="J450" s="1">
        <f t="shared" si="267"/>
        <v>0</v>
      </c>
      <c r="K450" s="1">
        <f t="shared" si="268"/>
        <v>0</v>
      </c>
      <c r="L450" s="1" t="str">
        <f t="shared" si="269"/>
        <v>0</v>
      </c>
      <c r="M450" s="10">
        <f t="shared" si="270"/>
        <v>0</v>
      </c>
      <c r="N450" s="1">
        <f t="shared" si="260"/>
        <v>29</v>
      </c>
      <c r="O450" s="1">
        <f t="shared" si="252"/>
        <v>0</v>
      </c>
      <c r="P450" s="1">
        <f t="shared" si="271"/>
        <v>76</v>
      </c>
      <c r="Q450" s="3" t="str">
        <f t="shared" si="251"/>
        <v xml:space="preserve"> Gain to be Multiplied to Cr Value &lt;MODE_CVBS&gt; </v>
      </c>
      <c r="R450" s="11">
        <f t="shared" si="272"/>
        <v>835</v>
      </c>
      <c r="T450" s="13" t="str">
        <f t="shared" si="261"/>
        <v>343</v>
      </c>
      <c r="U450" s="14" t="str">
        <f t="shared" si="262"/>
        <v>UpCR_MGAIN_CVBS</v>
      </c>
      <c r="V450" s="13" t="str">
        <f t="shared" si="263"/>
        <v>2</v>
      </c>
      <c r="W450" s="13">
        <f t="shared" si="264"/>
        <v>0</v>
      </c>
      <c r="X450" s="14" t="str">
        <f t="shared" si="265"/>
        <v xml:space="preserve"> Gain to be Multiplied to Cr Value &lt;MODE_CVBS&gt; </v>
      </c>
    </row>
    <row r="451" spans="1:24" x14ac:dyDescent="0.3">
      <c r="A451" s="15" t="s">
        <v>135</v>
      </c>
      <c r="B451" s="1">
        <f t="shared" si="253"/>
        <v>8</v>
      </c>
      <c r="C451" s="1">
        <f t="shared" si="254"/>
        <v>9</v>
      </c>
      <c r="D451" s="10" t="str">
        <f t="shared" si="255"/>
        <v>2</v>
      </c>
      <c r="E451" s="1">
        <f t="shared" si="256"/>
        <v>11</v>
      </c>
      <c r="F451" s="1">
        <f t="shared" si="257"/>
        <v>0</v>
      </c>
      <c r="G451" s="1">
        <f t="shared" si="258"/>
        <v>24</v>
      </c>
      <c r="H451" s="1">
        <f t="shared" si="266"/>
        <v>24</v>
      </c>
      <c r="I451" s="10" t="str">
        <f t="shared" si="259"/>
        <v>UpCB_BST_CVBS</v>
      </c>
      <c r="J451" s="1">
        <f t="shared" si="267"/>
        <v>0</v>
      </c>
      <c r="K451" s="1">
        <f t="shared" si="268"/>
        <v>0</v>
      </c>
      <c r="L451" s="1" t="str">
        <f t="shared" si="269"/>
        <v>0</v>
      </c>
      <c r="M451" s="10">
        <f t="shared" si="270"/>
        <v>0</v>
      </c>
      <c r="N451" s="1">
        <f t="shared" si="260"/>
        <v>27</v>
      </c>
      <c r="O451" s="1">
        <f t="shared" si="252"/>
        <v>0</v>
      </c>
      <c r="P451" s="1">
        <f t="shared" si="271"/>
        <v>85</v>
      </c>
      <c r="Q451" s="3" t="str">
        <f t="shared" si="251"/>
        <v xml:space="preserve"> Burst amplitude &amp; phase select parameter(Cr) &lt;MODE_CVBS&gt; </v>
      </c>
      <c r="R451" s="11">
        <f t="shared" si="272"/>
        <v>837</v>
      </c>
      <c r="T451" s="13" t="str">
        <f t="shared" si="261"/>
        <v>345</v>
      </c>
      <c r="U451" s="14" t="str">
        <f t="shared" si="262"/>
        <v>UpCB_BST_CVBS</v>
      </c>
      <c r="V451" s="13" t="str">
        <f t="shared" si="263"/>
        <v>2</v>
      </c>
      <c r="W451" s="13">
        <f t="shared" si="264"/>
        <v>0</v>
      </c>
      <c r="X451" s="14" t="str">
        <f t="shared" si="265"/>
        <v xml:space="preserve"> Burst amplitude &amp; phase select parameter(Cr) &lt;MODE_CVBS&gt; </v>
      </c>
    </row>
    <row r="452" spans="1:24" x14ac:dyDescent="0.3">
      <c r="A452" s="15" t="s">
        <v>136</v>
      </c>
      <c r="B452" s="1">
        <f t="shared" si="253"/>
        <v>8</v>
      </c>
      <c r="C452" s="1">
        <f t="shared" si="254"/>
        <v>9</v>
      </c>
      <c r="D452" s="10" t="str">
        <f t="shared" si="255"/>
        <v>2</v>
      </c>
      <c r="E452" s="1">
        <f t="shared" si="256"/>
        <v>11</v>
      </c>
      <c r="F452" s="1">
        <f t="shared" si="257"/>
        <v>0</v>
      </c>
      <c r="G452" s="1">
        <f t="shared" si="258"/>
        <v>24</v>
      </c>
      <c r="H452" s="1">
        <f t="shared" si="266"/>
        <v>24</v>
      </c>
      <c r="I452" s="10" t="str">
        <f t="shared" si="259"/>
        <v>UpCR_BST_CVBS</v>
      </c>
      <c r="J452" s="1">
        <f t="shared" si="267"/>
        <v>0</v>
      </c>
      <c r="K452" s="1">
        <f t="shared" si="268"/>
        <v>0</v>
      </c>
      <c r="L452" s="1" t="str">
        <f t="shared" si="269"/>
        <v>0</v>
      </c>
      <c r="M452" s="10">
        <f t="shared" si="270"/>
        <v>0</v>
      </c>
      <c r="N452" s="1">
        <f t="shared" si="260"/>
        <v>27</v>
      </c>
      <c r="O452" s="1">
        <f t="shared" si="252"/>
        <v>0</v>
      </c>
      <c r="P452" s="1">
        <f t="shared" si="271"/>
        <v>85</v>
      </c>
      <c r="Q452" s="3" t="str">
        <f t="shared" ref="Q452:Q515" si="273">IF($N452&gt;0,MID($A452,($N452+$O452),$P452-($N452+$O452)),"")</f>
        <v xml:space="preserve"> Burst amplitude &amp; phase select parameter(Cb) &lt;MODE_CVBS&gt; </v>
      </c>
      <c r="R452" s="11">
        <f t="shared" si="272"/>
        <v>839</v>
      </c>
      <c r="T452" s="13" t="str">
        <f t="shared" si="261"/>
        <v>347</v>
      </c>
      <c r="U452" s="14" t="str">
        <f t="shared" si="262"/>
        <v>UpCR_BST_CVBS</v>
      </c>
      <c r="V452" s="13" t="str">
        <f t="shared" si="263"/>
        <v>2</v>
      </c>
      <c r="W452" s="13">
        <f t="shared" si="264"/>
        <v>0</v>
      </c>
      <c r="X452" s="14" t="str">
        <f t="shared" si="265"/>
        <v xml:space="preserve"> Burst amplitude &amp; phase select parameter(Cb) &lt;MODE_CVBS&gt; </v>
      </c>
    </row>
    <row r="453" spans="1:24" x14ac:dyDescent="0.3">
      <c r="A453" s="15" t="s">
        <v>137</v>
      </c>
      <c r="B453" s="1">
        <f t="shared" si="253"/>
        <v>8</v>
      </c>
      <c r="C453" s="1">
        <f t="shared" si="254"/>
        <v>9</v>
      </c>
      <c r="D453" s="10" t="str">
        <f t="shared" si="255"/>
        <v>2</v>
      </c>
      <c r="E453" s="1">
        <f t="shared" si="256"/>
        <v>11</v>
      </c>
      <c r="F453" s="1">
        <f t="shared" si="257"/>
        <v>0</v>
      </c>
      <c r="G453" s="1">
        <f t="shared" si="258"/>
        <v>23</v>
      </c>
      <c r="H453" s="1">
        <f t="shared" si="266"/>
        <v>23</v>
      </c>
      <c r="I453" s="10" t="str">
        <f t="shared" si="259"/>
        <v>UpHSC_K_CVBS</v>
      </c>
      <c r="J453" s="1">
        <f t="shared" si="267"/>
        <v>0</v>
      </c>
      <c r="K453" s="1">
        <f t="shared" si="268"/>
        <v>0</v>
      </c>
      <c r="L453" s="1" t="str">
        <f t="shared" si="269"/>
        <v>0</v>
      </c>
      <c r="M453" s="10">
        <f t="shared" si="270"/>
        <v>0</v>
      </c>
      <c r="N453" s="1">
        <f t="shared" si="260"/>
        <v>26</v>
      </c>
      <c r="O453" s="1">
        <f t="shared" ref="O453:O516" si="274">IFERROR(FIND("#",$A453)+1-N453,0)</f>
        <v>0</v>
      </c>
      <c r="P453" s="1">
        <f t="shared" si="271"/>
        <v>63</v>
      </c>
      <c r="Q453" s="3" t="str">
        <f t="shared" si="273"/>
        <v xml:space="preserve"> Horizontal Scaler Ratio &lt;MODE_CVBS&gt; </v>
      </c>
      <c r="R453" s="11">
        <f t="shared" si="272"/>
        <v>841</v>
      </c>
      <c r="T453" s="13" t="str">
        <f t="shared" si="261"/>
        <v>349</v>
      </c>
      <c r="U453" s="14" t="str">
        <f t="shared" si="262"/>
        <v>UpHSC_K_CVBS</v>
      </c>
      <c r="V453" s="13" t="str">
        <f t="shared" si="263"/>
        <v>2</v>
      </c>
      <c r="W453" s="13">
        <f t="shared" si="264"/>
        <v>0</v>
      </c>
      <c r="X453" s="14" t="str">
        <f t="shared" si="265"/>
        <v xml:space="preserve"> Horizontal Scaler Ratio &lt;MODE_CVBS&gt; </v>
      </c>
    </row>
    <row r="454" spans="1:24" x14ac:dyDescent="0.3">
      <c r="A454" s="15" t="s">
        <v>138</v>
      </c>
      <c r="B454" s="1">
        <f t="shared" si="253"/>
        <v>8</v>
      </c>
      <c r="C454" s="1">
        <f t="shared" si="254"/>
        <v>9</v>
      </c>
      <c r="D454" s="10" t="str">
        <f t="shared" si="255"/>
        <v>2</v>
      </c>
      <c r="E454" s="1">
        <f t="shared" si="256"/>
        <v>11</v>
      </c>
      <c r="F454" s="1">
        <f t="shared" si="257"/>
        <v>0</v>
      </c>
      <c r="G454" s="1">
        <f t="shared" si="258"/>
        <v>27</v>
      </c>
      <c r="H454" s="1">
        <f t="shared" si="266"/>
        <v>27</v>
      </c>
      <c r="I454" s="10" t="str">
        <f t="shared" si="259"/>
        <v>UpHLOCK_CAT_CVBS</v>
      </c>
      <c r="J454" s="1">
        <f t="shared" si="267"/>
        <v>0</v>
      </c>
      <c r="K454" s="1">
        <f t="shared" si="268"/>
        <v>0</v>
      </c>
      <c r="L454" s="1" t="str">
        <f t="shared" si="269"/>
        <v>0</v>
      </c>
      <c r="M454" s="10">
        <f t="shared" si="270"/>
        <v>0</v>
      </c>
      <c r="N454" s="1">
        <f t="shared" si="260"/>
        <v>30</v>
      </c>
      <c r="O454" s="1">
        <f t="shared" si="274"/>
        <v>0</v>
      </c>
      <c r="P454" s="1">
        <f t="shared" si="271"/>
        <v>111</v>
      </c>
      <c r="Q454" s="3" t="str">
        <f t="shared" si="273"/>
        <v xml:space="preserve"> Video Encoder internal H sync delay parameter based on input H sync &lt;MODE_CVBS&gt; </v>
      </c>
      <c r="R454" s="11">
        <f t="shared" si="272"/>
        <v>843</v>
      </c>
      <c r="T454" s="13" t="str">
        <f t="shared" si="261"/>
        <v>34B</v>
      </c>
      <c r="U454" s="14" t="str">
        <f t="shared" si="262"/>
        <v>UpHLOCK_CAT_CVBS</v>
      </c>
      <c r="V454" s="13" t="str">
        <f t="shared" si="263"/>
        <v>2</v>
      </c>
      <c r="W454" s="13">
        <f t="shared" si="264"/>
        <v>0</v>
      </c>
      <c r="X454" s="14" t="str">
        <f t="shared" si="265"/>
        <v xml:space="preserve"> Video Encoder internal H sync delay parameter based on input H sync &lt;MODE_CVBS&gt; </v>
      </c>
    </row>
    <row r="455" spans="1:24" x14ac:dyDescent="0.3">
      <c r="A455" s="15" t="s">
        <v>399</v>
      </c>
      <c r="B455" s="1">
        <f t="shared" ref="B455:B518" si="275">IFERROR(FIND("UP_SET(",$A455)+7,0)</f>
        <v>8</v>
      </c>
      <c r="C455" s="1">
        <f t="shared" ref="C455:C518" si="276">IF($B455&gt;0,FIND(",",$A455,$B455),0)</f>
        <v>9</v>
      </c>
      <c r="D455" s="10" t="str">
        <f t="shared" ref="D455:D518" si="277">IF($B455&gt;0,MID($A455,$B455,$C455-$B455),0)</f>
        <v>2</v>
      </c>
      <c r="E455" s="1">
        <f t="shared" ref="E455:E518" si="278">IF($B455&gt;0,FIND("Up",$A455,$C455),0)</f>
        <v>11</v>
      </c>
      <c r="F455" s="1">
        <f t="shared" ref="F455:F518" si="279">IF($B455&gt;0,IFERROR(FIND(",",$A455,$E455),0),0)</f>
        <v>0</v>
      </c>
      <c r="G455" s="1">
        <f t="shared" ref="G455:G518" si="280">IF($B455&gt;0,FIND(")",$A455,$B455),0)</f>
        <v>30</v>
      </c>
      <c r="H455" s="1">
        <f t="shared" si="266"/>
        <v>30</v>
      </c>
      <c r="I455" s="10" t="str">
        <f t="shared" ref="I455:I518" si="281">IF($B455&gt;0,MID($A455,$E455,$H455-$E455),0)</f>
        <v>UpVLOCK_CAT_EV_CVBS</v>
      </c>
      <c r="J455" s="1">
        <f t="shared" si="267"/>
        <v>0</v>
      </c>
      <c r="K455" s="1">
        <f t="shared" si="268"/>
        <v>0</v>
      </c>
      <c r="L455" s="1" t="str">
        <f t="shared" si="269"/>
        <v>0</v>
      </c>
      <c r="M455" s="10">
        <f t="shared" si="270"/>
        <v>0</v>
      </c>
      <c r="N455" s="1">
        <f t="shared" ref="N455:N518" si="282">IFERROR(FIND("/*",$A455)+2,0)</f>
        <v>33</v>
      </c>
      <c r="O455" s="1">
        <f t="shared" si="274"/>
        <v>0</v>
      </c>
      <c r="P455" s="1">
        <f t="shared" si="271"/>
        <v>98</v>
      </c>
      <c r="Q455" s="3" t="str">
        <f t="shared" si="273"/>
        <v xml:space="preserve"> Contolling Vertical Locking Catch Point(Even field) &lt;MODE_CVBS&gt; </v>
      </c>
      <c r="R455" s="11">
        <f t="shared" si="272"/>
        <v>845</v>
      </c>
      <c r="T455" s="13" t="str">
        <f t="shared" si="261"/>
        <v>34D</v>
      </c>
      <c r="U455" s="14" t="str">
        <f t="shared" si="262"/>
        <v>UpVLOCK_CAT_EV_CVBS</v>
      </c>
      <c r="V455" s="13" t="str">
        <f t="shared" si="263"/>
        <v>2</v>
      </c>
      <c r="W455" s="13">
        <f t="shared" si="264"/>
        <v>0</v>
      </c>
      <c r="X455" s="14" t="str">
        <f t="shared" si="265"/>
        <v xml:space="preserve"> Contolling Vertical Locking Catch Point(Even field) &lt;MODE_CVBS&gt; </v>
      </c>
    </row>
    <row r="456" spans="1:24" x14ac:dyDescent="0.3">
      <c r="A456" s="15" t="s">
        <v>400</v>
      </c>
      <c r="B456" s="1">
        <f t="shared" si="275"/>
        <v>8</v>
      </c>
      <c r="C456" s="1">
        <f t="shared" si="276"/>
        <v>9</v>
      </c>
      <c r="D456" s="10" t="str">
        <f t="shared" si="277"/>
        <v>2</v>
      </c>
      <c r="E456" s="1">
        <f t="shared" si="278"/>
        <v>11</v>
      </c>
      <c r="F456" s="1">
        <f t="shared" si="279"/>
        <v>0</v>
      </c>
      <c r="G456" s="1">
        <f t="shared" si="280"/>
        <v>30</v>
      </c>
      <c r="H456" s="1">
        <f t="shared" si="266"/>
        <v>30</v>
      </c>
      <c r="I456" s="10" t="str">
        <f t="shared" si="281"/>
        <v>UpVLOCK_CAT_OD_CVBS</v>
      </c>
      <c r="J456" s="1">
        <f t="shared" si="267"/>
        <v>0</v>
      </c>
      <c r="K456" s="1">
        <f t="shared" si="268"/>
        <v>0</v>
      </c>
      <c r="L456" s="1" t="str">
        <f t="shared" si="269"/>
        <v>0</v>
      </c>
      <c r="M456" s="10">
        <f t="shared" si="270"/>
        <v>0</v>
      </c>
      <c r="N456" s="1">
        <f t="shared" si="282"/>
        <v>33</v>
      </c>
      <c r="O456" s="1">
        <f t="shared" si="274"/>
        <v>0</v>
      </c>
      <c r="P456" s="1">
        <f t="shared" si="271"/>
        <v>97</v>
      </c>
      <c r="Q456" s="3" t="str">
        <f t="shared" si="273"/>
        <v xml:space="preserve"> Contolling Vertical Locking Catch Point(Odd field) &lt;MODE_CVBS&gt; </v>
      </c>
      <c r="R456" s="11">
        <f t="shared" si="272"/>
        <v>847</v>
      </c>
      <c r="T456" s="13" t="str">
        <f t="shared" si="261"/>
        <v>34F</v>
      </c>
      <c r="U456" s="14" t="str">
        <f t="shared" si="262"/>
        <v>UpVLOCK_CAT_OD_CVBS</v>
      </c>
      <c r="V456" s="13" t="str">
        <f t="shared" si="263"/>
        <v>2</v>
      </c>
      <c r="W456" s="13">
        <f t="shared" si="264"/>
        <v>0</v>
      </c>
      <c r="X456" s="14" t="str">
        <f t="shared" si="265"/>
        <v xml:space="preserve"> Contolling Vertical Locking Catch Point(Odd field) &lt;MODE_CVBS&gt; </v>
      </c>
    </row>
    <row r="457" spans="1:24" x14ac:dyDescent="0.3">
      <c r="A457" s="15" t="s">
        <v>401</v>
      </c>
      <c r="B457" s="1">
        <f t="shared" si="275"/>
        <v>8</v>
      </c>
      <c r="C457" s="1">
        <f t="shared" si="276"/>
        <v>9</v>
      </c>
      <c r="D457" s="10" t="str">
        <f t="shared" si="277"/>
        <v>2</v>
      </c>
      <c r="E457" s="1">
        <f t="shared" si="278"/>
        <v>11</v>
      </c>
      <c r="F457" s="1">
        <f t="shared" si="279"/>
        <v>132</v>
      </c>
      <c r="G457" s="1">
        <f t="shared" si="280"/>
        <v>30</v>
      </c>
      <c r="H457" s="1">
        <f t="shared" si="266"/>
        <v>30</v>
      </c>
      <c r="I457" s="10" t="str">
        <f t="shared" si="281"/>
        <v>UpCRX_AUTO_CAT_CVBS</v>
      </c>
      <c r="J457" s="1">
        <f t="shared" si="267"/>
        <v>0</v>
      </c>
      <c r="K457" s="1">
        <f t="shared" si="268"/>
        <v>0</v>
      </c>
      <c r="L457" s="1" t="str">
        <f t="shared" si="269"/>
        <v>0</v>
      </c>
      <c r="M457" s="10">
        <f t="shared" si="270"/>
        <v>0</v>
      </c>
      <c r="N457" s="1">
        <f t="shared" si="282"/>
        <v>33</v>
      </c>
      <c r="O457" s="1">
        <f t="shared" si="274"/>
        <v>0</v>
      </c>
      <c r="P457" s="1">
        <f t="shared" si="271"/>
        <v>267</v>
      </c>
      <c r="Q457" s="3" t="str">
        <f t="shared" si="273"/>
        <v xml:space="preserve"> Delays the UTC data catching point of the corresponding parameter value from the first high signal, and the following datas are catched of the period of BITRATE (proceeded in the range of [UpCRX_HPOSEVS ~ UpCRX_HPOSEVE]) &lt;MODE_CVBS&gt; </v>
      </c>
      <c r="R457" s="11">
        <f t="shared" si="272"/>
        <v>849</v>
      </c>
      <c r="T457" s="13" t="str">
        <f t="shared" si="261"/>
        <v>351</v>
      </c>
      <c r="U457" s="14" t="str">
        <f t="shared" si="262"/>
        <v>UpCRX_AUTO_CAT_CVBS</v>
      </c>
      <c r="V457" s="13" t="str">
        <f t="shared" si="263"/>
        <v>2</v>
      </c>
      <c r="W457" s="13">
        <f t="shared" si="264"/>
        <v>0</v>
      </c>
      <c r="X457" s="14" t="str">
        <f t="shared" si="265"/>
        <v xml:space="preserve"> Delays the UTC data catching point of the corresponding parameter value from the first high signal, and the following datas are catched of the period of BITRATE (proceeded in the range of [UpCRX_HPOSEVS ~ UpCRX_HPOSEVE]) &lt;MODE_CVBS&gt; </v>
      </c>
    </row>
    <row r="458" spans="1:24" x14ac:dyDescent="0.3">
      <c r="A458" s="15" t="s">
        <v>402</v>
      </c>
      <c r="B458" s="1">
        <f t="shared" si="275"/>
        <v>8</v>
      </c>
      <c r="C458" s="1">
        <f t="shared" si="276"/>
        <v>9</v>
      </c>
      <c r="D458" s="10" t="str">
        <f t="shared" si="277"/>
        <v>2</v>
      </c>
      <c r="E458" s="1">
        <f t="shared" si="278"/>
        <v>11</v>
      </c>
      <c r="F458" s="1">
        <f t="shared" si="279"/>
        <v>55</v>
      </c>
      <c r="G458" s="1">
        <f t="shared" si="280"/>
        <v>29</v>
      </c>
      <c r="H458" s="1">
        <f t="shared" si="266"/>
        <v>29</v>
      </c>
      <c r="I458" s="10" t="str">
        <f t="shared" si="281"/>
        <v>UpCRX_HPOSEVS_CVBS</v>
      </c>
      <c r="J458" s="1">
        <f t="shared" si="267"/>
        <v>0</v>
      </c>
      <c r="K458" s="1">
        <f t="shared" si="268"/>
        <v>0</v>
      </c>
      <c r="L458" s="1" t="str">
        <f t="shared" si="269"/>
        <v>0</v>
      </c>
      <c r="M458" s="10">
        <f t="shared" si="270"/>
        <v>0</v>
      </c>
      <c r="N458" s="1">
        <f t="shared" si="282"/>
        <v>32</v>
      </c>
      <c r="O458" s="1">
        <f t="shared" si="274"/>
        <v>0</v>
      </c>
      <c r="P458" s="1">
        <f t="shared" si="271"/>
        <v>107</v>
      </c>
      <c r="Q458" s="3" t="str">
        <f t="shared" si="273"/>
        <v xml:space="preserve"> When UTC Communication, Start Position of Data Catching Point &lt;MODE_CVBS&gt; </v>
      </c>
      <c r="R458" s="11">
        <f t="shared" si="272"/>
        <v>851</v>
      </c>
      <c r="T458" s="13" t="str">
        <f t="shared" si="261"/>
        <v>353</v>
      </c>
      <c r="U458" s="14" t="str">
        <f t="shared" si="262"/>
        <v>UpCRX_HPOSEVS_CVBS</v>
      </c>
      <c r="V458" s="13" t="str">
        <f t="shared" si="263"/>
        <v>2</v>
      </c>
      <c r="W458" s="13">
        <f t="shared" si="264"/>
        <v>0</v>
      </c>
      <c r="X458" s="14" t="str">
        <f t="shared" si="265"/>
        <v xml:space="preserve"> When UTC Communication, Start Position of Data Catching Point &lt;MODE_CVBS&gt; </v>
      </c>
    </row>
    <row r="459" spans="1:24" x14ac:dyDescent="0.3">
      <c r="A459" s="15" t="s">
        <v>403</v>
      </c>
      <c r="B459" s="1">
        <f t="shared" si="275"/>
        <v>8</v>
      </c>
      <c r="C459" s="1">
        <f t="shared" si="276"/>
        <v>9</v>
      </c>
      <c r="D459" s="10" t="str">
        <f t="shared" si="277"/>
        <v>2</v>
      </c>
      <c r="E459" s="1">
        <f t="shared" si="278"/>
        <v>11</v>
      </c>
      <c r="F459" s="1">
        <f t="shared" si="279"/>
        <v>55</v>
      </c>
      <c r="G459" s="1">
        <f t="shared" si="280"/>
        <v>29</v>
      </c>
      <c r="H459" s="1">
        <f t="shared" si="266"/>
        <v>29</v>
      </c>
      <c r="I459" s="10" t="str">
        <f t="shared" si="281"/>
        <v>UpCRX_HPOSEVE_CVBS</v>
      </c>
      <c r="J459" s="1">
        <f t="shared" si="267"/>
        <v>0</v>
      </c>
      <c r="K459" s="1">
        <f t="shared" si="268"/>
        <v>0</v>
      </c>
      <c r="L459" s="1" t="str">
        <f t="shared" si="269"/>
        <v>0</v>
      </c>
      <c r="M459" s="10">
        <f t="shared" si="270"/>
        <v>0</v>
      </c>
      <c r="N459" s="1">
        <f t="shared" si="282"/>
        <v>32</v>
      </c>
      <c r="O459" s="1">
        <f t="shared" si="274"/>
        <v>0</v>
      </c>
      <c r="P459" s="1">
        <f t="shared" si="271"/>
        <v>105</v>
      </c>
      <c r="Q459" s="3" t="str">
        <f t="shared" si="273"/>
        <v xml:space="preserve"> When UTC Communication, End Position of Data Catching Point &lt;MODE_CVBS&gt; </v>
      </c>
      <c r="R459" s="11">
        <f t="shared" si="272"/>
        <v>853</v>
      </c>
      <c r="T459" s="13" t="str">
        <f t="shared" si="261"/>
        <v>355</v>
      </c>
      <c r="U459" s="14" t="str">
        <f t="shared" si="262"/>
        <v>UpCRX_HPOSEVE_CVBS</v>
      </c>
      <c r="V459" s="13" t="str">
        <f t="shared" si="263"/>
        <v>2</v>
      </c>
      <c r="W459" s="13">
        <f t="shared" si="264"/>
        <v>0</v>
      </c>
      <c r="X459" s="14" t="str">
        <f t="shared" si="265"/>
        <v xml:space="preserve"> When UTC Communication, End Position of Data Catching Point &lt;MODE_CVBS&gt; </v>
      </c>
    </row>
    <row r="460" spans="1:24" x14ac:dyDescent="0.3">
      <c r="A460" s="15" t="s">
        <v>404</v>
      </c>
      <c r="B460" s="1">
        <f t="shared" si="275"/>
        <v>8</v>
      </c>
      <c r="C460" s="1">
        <f t="shared" si="276"/>
        <v>9</v>
      </c>
      <c r="D460" s="10" t="str">
        <f t="shared" si="277"/>
        <v>2</v>
      </c>
      <c r="E460" s="1">
        <f t="shared" si="278"/>
        <v>11</v>
      </c>
      <c r="F460" s="1">
        <f t="shared" si="279"/>
        <v>0</v>
      </c>
      <c r="G460" s="1">
        <f t="shared" si="280"/>
        <v>29</v>
      </c>
      <c r="H460" s="1">
        <f t="shared" si="266"/>
        <v>29</v>
      </c>
      <c r="I460" s="10" t="str">
        <f t="shared" si="281"/>
        <v>UpCRX_BITRATE_CVBS</v>
      </c>
      <c r="J460" s="1">
        <f t="shared" si="267"/>
        <v>0</v>
      </c>
      <c r="K460" s="1">
        <f t="shared" si="268"/>
        <v>0</v>
      </c>
      <c r="L460" s="1" t="str">
        <f t="shared" si="269"/>
        <v>0</v>
      </c>
      <c r="M460" s="10">
        <f t="shared" si="270"/>
        <v>0</v>
      </c>
      <c r="N460" s="1">
        <f t="shared" si="282"/>
        <v>32</v>
      </c>
      <c r="O460" s="1">
        <f t="shared" si="274"/>
        <v>0</v>
      </c>
      <c r="P460" s="1">
        <f t="shared" si="271"/>
        <v>85</v>
      </c>
      <c r="Q460" s="3" t="str">
        <f t="shared" si="273"/>
        <v xml:space="preserve"> Decides the Catching Period of UTC Data &lt;MODE_CVBS&gt; </v>
      </c>
      <c r="R460" s="11">
        <f t="shared" si="272"/>
        <v>855</v>
      </c>
      <c r="T460" s="13" t="str">
        <f t="shared" si="261"/>
        <v>357</v>
      </c>
      <c r="U460" s="14" t="str">
        <f t="shared" si="262"/>
        <v>UpCRX_BITRATE_CVBS</v>
      </c>
      <c r="V460" s="13" t="str">
        <f t="shared" si="263"/>
        <v>2</v>
      </c>
      <c r="W460" s="13">
        <f t="shared" si="264"/>
        <v>0</v>
      </c>
      <c r="X460" s="14" t="str">
        <f t="shared" si="265"/>
        <v xml:space="preserve"> Decides the Catching Period of UTC Data &lt;MODE_CVBS&gt; </v>
      </c>
    </row>
    <row r="461" spans="1:24" x14ac:dyDescent="0.3">
      <c r="A461" s="15" t="s">
        <v>405</v>
      </c>
      <c r="B461" s="1">
        <f t="shared" si="275"/>
        <v>8</v>
      </c>
      <c r="C461" s="1">
        <f t="shared" si="276"/>
        <v>9</v>
      </c>
      <c r="D461" s="10" t="str">
        <f t="shared" si="277"/>
        <v>1</v>
      </c>
      <c r="E461" s="1">
        <f t="shared" si="278"/>
        <v>11</v>
      </c>
      <c r="F461" s="1">
        <f t="shared" si="279"/>
        <v>0</v>
      </c>
      <c r="G461" s="1">
        <f t="shared" si="280"/>
        <v>16</v>
      </c>
      <c r="H461" s="1">
        <f t="shared" si="266"/>
        <v>16</v>
      </c>
      <c r="I461" s="10" t="str">
        <f t="shared" si="281"/>
        <v>UpDKX</v>
      </c>
      <c r="J461" s="1">
        <f t="shared" si="267"/>
        <v>0</v>
      </c>
      <c r="K461" s="1">
        <f t="shared" si="268"/>
        <v>0</v>
      </c>
      <c r="L461" s="1" t="str">
        <f t="shared" si="269"/>
        <v>0</v>
      </c>
      <c r="M461" s="10">
        <f t="shared" si="270"/>
        <v>0</v>
      </c>
      <c r="N461" s="1">
        <f t="shared" si="282"/>
        <v>19</v>
      </c>
      <c r="O461" s="1">
        <f t="shared" si="274"/>
        <v>0</v>
      </c>
      <c r="P461" s="1">
        <f t="shared" si="271"/>
        <v>87</v>
      </c>
      <c r="Q461" s="3" t="str">
        <f t="shared" si="273"/>
        <v xml:space="preserve"> Horizontal coefficient applied when DownScaler is used &lt;MODE_CVBS&gt; </v>
      </c>
      <c r="R461" s="11">
        <f t="shared" si="272"/>
        <v>857</v>
      </c>
      <c r="T461" s="13" t="str">
        <f t="shared" si="261"/>
        <v>359</v>
      </c>
      <c r="U461" s="14" t="str">
        <f t="shared" si="262"/>
        <v>UpDKX</v>
      </c>
      <c r="V461" s="13" t="str">
        <f t="shared" si="263"/>
        <v>1</v>
      </c>
      <c r="W461" s="13">
        <f t="shared" si="264"/>
        <v>0</v>
      </c>
      <c r="X461" s="14" t="str">
        <f t="shared" si="265"/>
        <v xml:space="preserve"> Horizontal coefficient applied when DownScaler is used &lt;MODE_CVBS&gt; </v>
      </c>
    </row>
    <row r="462" spans="1:24" x14ac:dyDescent="0.3">
      <c r="A462" s="15" t="s">
        <v>406</v>
      </c>
      <c r="B462" s="1">
        <f t="shared" si="275"/>
        <v>8</v>
      </c>
      <c r="C462" s="1">
        <f t="shared" si="276"/>
        <v>9</v>
      </c>
      <c r="D462" s="10" t="str">
        <f t="shared" si="277"/>
        <v>1</v>
      </c>
      <c r="E462" s="1">
        <f t="shared" si="278"/>
        <v>11</v>
      </c>
      <c r="F462" s="1">
        <f t="shared" si="279"/>
        <v>0</v>
      </c>
      <c r="G462" s="1">
        <f t="shared" si="280"/>
        <v>16</v>
      </c>
      <c r="H462" s="1">
        <f t="shared" si="266"/>
        <v>16</v>
      </c>
      <c r="I462" s="10" t="str">
        <f t="shared" si="281"/>
        <v>UpDKY</v>
      </c>
      <c r="J462" s="1">
        <f t="shared" si="267"/>
        <v>0</v>
      </c>
      <c r="K462" s="1">
        <f t="shared" si="268"/>
        <v>0</v>
      </c>
      <c r="L462" s="1" t="str">
        <f t="shared" si="269"/>
        <v>0</v>
      </c>
      <c r="M462" s="10">
        <f t="shared" si="270"/>
        <v>0</v>
      </c>
      <c r="N462" s="1">
        <f t="shared" si="282"/>
        <v>19</v>
      </c>
      <c r="O462" s="1">
        <f t="shared" si="274"/>
        <v>0</v>
      </c>
      <c r="P462" s="1">
        <f t="shared" si="271"/>
        <v>85</v>
      </c>
      <c r="Q462" s="3" t="str">
        <f t="shared" si="273"/>
        <v xml:space="preserve"> Vertical coefficient applied when DownScaler is used &lt;MODE_CVBS&gt; </v>
      </c>
      <c r="R462" s="11">
        <f t="shared" si="272"/>
        <v>858</v>
      </c>
      <c r="T462" s="13" t="str">
        <f t="shared" si="261"/>
        <v>35A</v>
      </c>
      <c r="U462" s="14" t="str">
        <f t="shared" si="262"/>
        <v>UpDKY</v>
      </c>
      <c r="V462" s="13" t="str">
        <f t="shared" si="263"/>
        <v>1</v>
      </c>
      <c r="W462" s="13">
        <f t="shared" si="264"/>
        <v>0</v>
      </c>
      <c r="X462" s="14" t="str">
        <f t="shared" si="265"/>
        <v xml:space="preserve"> Vertical coefficient applied when DownScaler is used &lt;MODE_CVBS&gt; </v>
      </c>
    </row>
    <row r="463" spans="1:24" x14ac:dyDescent="0.3">
      <c r="A463" s="15" t="s">
        <v>407</v>
      </c>
      <c r="B463" s="1">
        <f t="shared" si="275"/>
        <v>8</v>
      </c>
      <c r="C463" s="1">
        <f t="shared" si="276"/>
        <v>9</v>
      </c>
      <c r="D463" s="10" t="str">
        <f t="shared" si="277"/>
        <v>2</v>
      </c>
      <c r="E463" s="1">
        <f t="shared" si="278"/>
        <v>11</v>
      </c>
      <c r="F463" s="1">
        <f t="shared" si="279"/>
        <v>0</v>
      </c>
      <c r="G463" s="1">
        <f t="shared" si="280"/>
        <v>20</v>
      </c>
      <c r="H463" s="1">
        <f t="shared" si="266"/>
        <v>20</v>
      </c>
      <c r="I463" s="10" t="str">
        <f t="shared" si="281"/>
        <v>UpDS_HOFF</v>
      </c>
      <c r="J463" s="1">
        <f t="shared" si="267"/>
        <v>0</v>
      </c>
      <c r="K463" s="1">
        <f t="shared" si="268"/>
        <v>0</v>
      </c>
      <c r="L463" s="1" t="str">
        <f t="shared" si="269"/>
        <v>0</v>
      </c>
      <c r="M463" s="10">
        <f t="shared" si="270"/>
        <v>0</v>
      </c>
      <c r="N463" s="1">
        <f t="shared" si="282"/>
        <v>23</v>
      </c>
      <c r="O463" s="1">
        <f t="shared" si="274"/>
        <v>0</v>
      </c>
      <c r="P463" s="1">
        <f t="shared" si="271"/>
        <v>86</v>
      </c>
      <c r="Q463" s="3" t="str">
        <f t="shared" si="273"/>
        <v xml:space="preserve"> Horizontal offset applied when DownScaler is used &lt;MODE_CVBS&gt; </v>
      </c>
      <c r="R463" s="11">
        <f t="shared" si="272"/>
        <v>859</v>
      </c>
      <c r="T463" s="13" t="str">
        <f t="shared" si="261"/>
        <v>35B</v>
      </c>
      <c r="U463" s="14" t="str">
        <f t="shared" si="262"/>
        <v>UpDS_HOFF</v>
      </c>
      <c r="V463" s="13" t="str">
        <f t="shared" si="263"/>
        <v>2</v>
      </c>
      <c r="W463" s="13">
        <f t="shared" si="264"/>
        <v>0</v>
      </c>
      <c r="X463" s="14" t="str">
        <f t="shared" si="265"/>
        <v xml:space="preserve"> Horizontal offset applied when DownScaler is used &lt;MODE_CVBS&gt; </v>
      </c>
    </row>
    <row r="464" spans="1:24" x14ac:dyDescent="0.3">
      <c r="A464" s="15" t="s">
        <v>408</v>
      </c>
      <c r="B464" s="1">
        <f t="shared" si="275"/>
        <v>8</v>
      </c>
      <c r="C464" s="1">
        <f t="shared" si="276"/>
        <v>9</v>
      </c>
      <c r="D464" s="10" t="str">
        <f t="shared" si="277"/>
        <v>2</v>
      </c>
      <c r="E464" s="1">
        <f t="shared" si="278"/>
        <v>11</v>
      </c>
      <c r="F464" s="1">
        <f t="shared" si="279"/>
        <v>0</v>
      </c>
      <c r="G464" s="1">
        <f t="shared" si="280"/>
        <v>20</v>
      </c>
      <c r="H464" s="1">
        <f t="shared" si="266"/>
        <v>20</v>
      </c>
      <c r="I464" s="10" t="str">
        <f t="shared" si="281"/>
        <v>UpDS_VOFF</v>
      </c>
      <c r="J464" s="1">
        <f t="shared" si="267"/>
        <v>0</v>
      </c>
      <c r="K464" s="1">
        <f t="shared" si="268"/>
        <v>0</v>
      </c>
      <c r="L464" s="1" t="str">
        <f t="shared" si="269"/>
        <v>0</v>
      </c>
      <c r="M464" s="10">
        <f t="shared" si="270"/>
        <v>0</v>
      </c>
      <c r="N464" s="1">
        <f t="shared" si="282"/>
        <v>23</v>
      </c>
      <c r="O464" s="1">
        <f t="shared" si="274"/>
        <v>0</v>
      </c>
      <c r="P464" s="1">
        <f t="shared" si="271"/>
        <v>84</v>
      </c>
      <c r="Q464" s="3" t="str">
        <f t="shared" si="273"/>
        <v xml:space="preserve"> Vertical offset applied when DownScaler is used &lt;MODE_CVBS&gt; </v>
      </c>
      <c r="R464" s="11">
        <f t="shared" si="272"/>
        <v>861</v>
      </c>
      <c r="T464" s="13" t="str">
        <f t="shared" si="261"/>
        <v>35D</v>
      </c>
      <c r="U464" s="14" t="str">
        <f t="shared" si="262"/>
        <v>UpDS_VOFF</v>
      </c>
      <c r="V464" s="13" t="str">
        <f t="shared" si="263"/>
        <v>2</v>
      </c>
      <c r="W464" s="13">
        <f t="shared" si="264"/>
        <v>0</v>
      </c>
      <c r="X464" s="14" t="str">
        <f t="shared" si="265"/>
        <v xml:space="preserve"> Vertical offset applied when DownScaler is used &lt;MODE_CVBS&gt; </v>
      </c>
    </row>
    <row r="465" spans="1:24" x14ac:dyDescent="0.3">
      <c r="A465" s="15" t="s">
        <v>522</v>
      </c>
      <c r="B465" s="1">
        <f t="shared" si="275"/>
        <v>0</v>
      </c>
      <c r="C465" s="1">
        <f t="shared" si="276"/>
        <v>0</v>
      </c>
      <c r="D465" s="10">
        <f t="shared" si="277"/>
        <v>0</v>
      </c>
      <c r="E465" s="1">
        <f t="shared" si="278"/>
        <v>0</v>
      </c>
      <c r="F465" s="1">
        <f t="shared" si="279"/>
        <v>0</v>
      </c>
      <c r="G465" s="1">
        <f t="shared" si="280"/>
        <v>0</v>
      </c>
      <c r="H465" s="1">
        <f t="shared" si="266"/>
        <v>0</v>
      </c>
      <c r="I465" s="10">
        <f t="shared" si="281"/>
        <v>0</v>
      </c>
      <c r="J465" s="1">
        <f t="shared" si="267"/>
        <v>0</v>
      </c>
      <c r="K465" s="1">
        <f t="shared" si="268"/>
        <v>0</v>
      </c>
      <c r="L465" s="1" t="str">
        <f t="shared" si="269"/>
        <v>0</v>
      </c>
      <c r="M465" s="10">
        <f t="shared" si="270"/>
        <v>0</v>
      </c>
      <c r="N465" s="1">
        <f t="shared" si="282"/>
        <v>3</v>
      </c>
      <c r="O465" s="1">
        <f t="shared" si="274"/>
        <v>0</v>
      </c>
      <c r="P465" s="1">
        <f t="shared" si="271"/>
        <v>53</v>
      </c>
      <c r="Q465" s="3" t="str">
        <f t="shared" si="273"/>
        <v>---------------　PARKING-GUIDE-LINE　---------------</v>
      </c>
      <c r="R465" s="11">
        <f t="shared" si="272"/>
        <v>863</v>
      </c>
      <c r="T465" s="13" t="str">
        <f t="shared" si="261"/>
        <v>*</v>
      </c>
      <c r="U465" s="14" t="str">
        <f t="shared" si="262"/>
        <v>---------------　PARKING-GUIDE-LINE　---------------</v>
      </c>
      <c r="V465" s="13">
        <f t="shared" si="263"/>
        <v>1</v>
      </c>
      <c r="W465" s="13">
        <f t="shared" si="264"/>
        <v>0</v>
      </c>
      <c r="X465" s="14" t="str">
        <f t="shared" si="265"/>
        <v>-</v>
      </c>
    </row>
    <row r="466" spans="1:24" x14ac:dyDescent="0.3">
      <c r="A466" s="15" t="s">
        <v>523</v>
      </c>
      <c r="B466" s="1">
        <f t="shared" si="275"/>
        <v>8</v>
      </c>
      <c r="C466" s="1">
        <f t="shared" si="276"/>
        <v>9</v>
      </c>
      <c r="D466" s="10" t="str">
        <f t="shared" si="277"/>
        <v>1</v>
      </c>
      <c r="E466" s="1">
        <f t="shared" si="278"/>
        <v>11</v>
      </c>
      <c r="F466" s="1">
        <f t="shared" si="279"/>
        <v>25</v>
      </c>
      <c r="G466" s="1">
        <f t="shared" si="280"/>
        <v>30</v>
      </c>
      <c r="H466" s="1">
        <f t="shared" si="266"/>
        <v>25</v>
      </c>
      <c r="I466" s="10" t="str">
        <f t="shared" si="281"/>
        <v>UpPARK_LINE0_Y</v>
      </c>
      <c r="J466" s="1">
        <f t="shared" si="267"/>
        <v>27</v>
      </c>
      <c r="K466" s="1" t="str">
        <f t="shared" si="268"/>
        <v>880</v>
      </c>
      <c r="L466" s="1" t="str">
        <f t="shared" si="269"/>
        <v>370</v>
      </c>
      <c r="M466" s="10">
        <f t="shared" si="270"/>
        <v>880</v>
      </c>
      <c r="N466" s="1">
        <f t="shared" si="282"/>
        <v>33</v>
      </c>
      <c r="O466" s="1">
        <f t="shared" si="274"/>
        <v>0</v>
      </c>
      <c r="P466" s="1">
        <f t="shared" si="271"/>
        <v>34</v>
      </c>
      <c r="Q466" s="3" t="str">
        <f t="shared" si="273"/>
        <v xml:space="preserve"> </v>
      </c>
      <c r="R466" s="11">
        <f t="shared" si="272"/>
        <v>880</v>
      </c>
      <c r="T466" s="13" t="str">
        <f t="shared" si="261"/>
        <v>370</v>
      </c>
      <c r="U466" s="14" t="str">
        <f t="shared" si="262"/>
        <v>UpPARK_LINE0_Y</v>
      </c>
      <c r="V466" s="13" t="str">
        <f t="shared" si="263"/>
        <v>1</v>
      </c>
      <c r="W466" s="13">
        <f t="shared" si="264"/>
        <v>0</v>
      </c>
      <c r="X466" s="14" t="str">
        <f t="shared" si="265"/>
        <v xml:space="preserve"> </v>
      </c>
    </row>
    <row r="467" spans="1:24" x14ac:dyDescent="0.3">
      <c r="A467" s="15" t="s">
        <v>524</v>
      </c>
      <c r="B467" s="1">
        <f t="shared" si="275"/>
        <v>8</v>
      </c>
      <c r="C467" s="1">
        <f t="shared" si="276"/>
        <v>9</v>
      </c>
      <c r="D467" s="10" t="str">
        <f t="shared" si="277"/>
        <v>1</v>
      </c>
      <c r="E467" s="1">
        <f t="shared" si="278"/>
        <v>11</v>
      </c>
      <c r="F467" s="1">
        <f t="shared" si="279"/>
        <v>0</v>
      </c>
      <c r="G467" s="1">
        <f t="shared" si="280"/>
        <v>26</v>
      </c>
      <c r="H467" s="1">
        <f t="shared" si="266"/>
        <v>26</v>
      </c>
      <c r="I467" s="10" t="str">
        <f t="shared" si="281"/>
        <v>UpPARK_LINE0_CB</v>
      </c>
      <c r="J467" s="1">
        <f t="shared" si="267"/>
        <v>0</v>
      </c>
      <c r="K467" s="1">
        <f t="shared" si="268"/>
        <v>0</v>
      </c>
      <c r="L467" s="1" t="str">
        <f t="shared" si="269"/>
        <v>0</v>
      </c>
      <c r="M467" s="10">
        <f t="shared" si="270"/>
        <v>0</v>
      </c>
      <c r="N467" s="1">
        <f t="shared" si="282"/>
        <v>29</v>
      </c>
      <c r="O467" s="1">
        <f t="shared" si="274"/>
        <v>0</v>
      </c>
      <c r="P467" s="1">
        <f t="shared" si="271"/>
        <v>30</v>
      </c>
      <c r="Q467" s="3" t="str">
        <f t="shared" si="273"/>
        <v xml:space="preserve"> </v>
      </c>
      <c r="R467" s="11">
        <f t="shared" si="272"/>
        <v>881</v>
      </c>
      <c r="T467" s="13" t="str">
        <f t="shared" ref="T467:T530" si="283">IF(A467="",IF(A466="","",$T$1),IF(O467=1,"#",IF(B467=0,"*",DEC2HEX(R467))))</f>
        <v>371</v>
      </c>
      <c r="U467" s="14" t="str">
        <f t="shared" ref="U467:U530" si="284">IF(A467="",IF(A466="","",$U$1),  IF(B467=0,Q467,I467)  )</f>
        <v>UpPARK_LINE0_CB</v>
      </c>
      <c r="V467" s="13" t="str">
        <f t="shared" ref="V467:V530" si="285">IF(U467=$U$1,"",IF(A467="",IF(A466="","",1),  IF(B467=0,1,D467)  ))</f>
        <v>1</v>
      </c>
      <c r="W467" s="13">
        <f t="shared" ref="W467:W530" si="286">IF(U467=$U$1,"",IF(A467="",IF(A466="","",0),  IF(C467=0,0,0)  ))</f>
        <v>0</v>
      </c>
      <c r="X467" s="14" t="str">
        <f t="shared" ref="X467:X530" si="287">IF(U467=$U$1,"",IF(U467="","",IF(B467&gt;0,IF(Q467&lt;&gt;"",Q467,"No description"),"-")))</f>
        <v xml:space="preserve"> </v>
      </c>
    </row>
    <row r="468" spans="1:24" x14ac:dyDescent="0.3">
      <c r="A468" s="15" t="s">
        <v>525</v>
      </c>
      <c r="B468" s="1">
        <f t="shared" si="275"/>
        <v>8</v>
      </c>
      <c r="C468" s="1">
        <f t="shared" si="276"/>
        <v>9</v>
      </c>
      <c r="D468" s="10" t="str">
        <f t="shared" si="277"/>
        <v>1</v>
      </c>
      <c r="E468" s="1">
        <f t="shared" si="278"/>
        <v>11</v>
      </c>
      <c r="F468" s="1">
        <f t="shared" si="279"/>
        <v>0</v>
      </c>
      <c r="G468" s="1">
        <f t="shared" si="280"/>
        <v>26</v>
      </c>
      <c r="H468" s="1">
        <f t="shared" si="266"/>
        <v>26</v>
      </c>
      <c r="I468" s="10" t="str">
        <f t="shared" si="281"/>
        <v>UpPARK_LINE0_CR</v>
      </c>
      <c r="J468" s="1">
        <f t="shared" si="267"/>
        <v>0</v>
      </c>
      <c r="K468" s="1">
        <f t="shared" si="268"/>
        <v>0</v>
      </c>
      <c r="L468" s="1" t="str">
        <f t="shared" si="269"/>
        <v>0</v>
      </c>
      <c r="M468" s="10">
        <f t="shared" si="270"/>
        <v>0</v>
      </c>
      <c r="N468" s="1">
        <f t="shared" si="282"/>
        <v>29</v>
      </c>
      <c r="O468" s="1">
        <f t="shared" si="274"/>
        <v>0</v>
      </c>
      <c r="P468" s="1">
        <f t="shared" si="271"/>
        <v>30</v>
      </c>
      <c r="Q468" s="3" t="str">
        <f t="shared" si="273"/>
        <v xml:space="preserve"> </v>
      </c>
      <c r="R468" s="11">
        <f t="shared" si="272"/>
        <v>882</v>
      </c>
      <c r="T468" s="13" t="str">
        <f t="shared" si="283"/>
        <v>372</v>
      </c>
      <c r="U468" s="14" t="str">
        <f t="shared" si="284"/>
        <v>UpPARK_LINE0_CR</v>
      </c>
      <c r="V468" s="13" t="str">
        <f t="shared" si="285"/>
        <v>1</v>
      </c>
      <c r="W468" s="13">
        <f t="shared" si="286"/>
        <v>0</v>
      </c>
      <c r="X468" s="14" t="str">
        <f t="shared" si="287"/>
        <v xml:space="preserve"> </v>
      </c>
    </row>
    <row r="469" spans="1:24" x14ac:dyDescent="0.3">
      <c r="A469" s="15" t="s">
        <v>526</v>
      </c>
      <c r="B469" s="1">
        <f t="shared" si="275"/>
        <v>8</v>
      </c>
      <c r="C469" s="1">
        <f t="shared" si="276"/>
        <v>9</v>
      </c>
      <c r="D469" s="10" t="str">
        <f t="shared" si="277"/>
        <v>1</v>
      </c>
      <c r="E469" s="1">
        <f t="shared" si="278"/>
        <v>11</v>
      </c>
      <c r="F469" s="1">
        <f t="shared" si="279"/>
        <v>0</v>
      </c>
      <c r="G469" s="1">
        <f t="shared" si="280"/>
        <v>25</v>
      </c>
      <c r="H469" s="1">
        <f t="shared" si="266"/>
        <v>25</v>
      </c>
      <c r="I469" s="10" t="str">
        <f t="shared" si="281"/>
        <v>UpPARK_LINE1_Y</v>
      </c>
      <c r="J469" s="1">
        <f t="shared" si="267"/>
        <v>0</v>
      </c>
      <c r="K469" s="1">
        <f t="shared" si="268"/>
        <v>0</v>
      </c>
      <c r="L469" s="1" t="str">
        <f t="shared" si="269"/>
        <v>0</v>
      </c>
      <c r="M469" s="10">
        <f t="shared" si="270"/>
        <v>0</v>
      </c>
      <c r="N469" s="1">
        <f t="shared" si="282"/>
        <v>28</v>
      </c>
      <c r="O469" s="1">
        <f t="shared" si="274"/>
        <v>0</v>
      </c>
      <c r="P469" s="1">
        <f t="shared" si="271"/>
        <v>29</v>
      </c>
      <c r="Q469" s="3" t="str">
        <f t="shared" si="273"/>
        <v xml:space="preserve"> </v>
      </c>
      <c r="R469" s="11">
        <f t="shared" si="272"/>
        <v>883</v>
      </c>
      <c r="T469" s="13" t="str">
        <f t="shared" si="283"/>
        <v>373</v>
      </c>
      <c r="U469" s="14" t="str">
        <f t="shared" si="284"/>
        <v>UpPARK_LINE1_Y</v>
      </c>
      <c r="V469" s="13" t="str">
        <f t="shared" si="285"/>
        <v>1</v>
      </c>
      <c r="W469" s="13">
        <f t="shared" si="286"/>
        <v>0</v>
      </c>
      <c r="X469" s="14" t="str">
        <f t="shared" si="287"/>
        <v xml:space="preserve"> </v>
      </c>
    </row>
    <row r="470" spans="1:24" x14ac:dyDescent="0.3">
      <c r="A470" s="15" t="s">
        <v>527</v>
      </c>
      <c r="B470" s="1">
        <f t="shared" si="275"/>
        <v>8</v>
      </c>
      <c r="C470" s="1">
        <f t="shared" si="276"/>
        <v>9</v>
      </c>
      <c r="D470" s="10" t="str">
        <f t="shared" si="277"/>
        <v>1</v>
      </c>
      <c r="E470" s="1">
        <f t="shared" si="278"/>
        <v>11</v>
      </c>
      <c r="F470" s="1">
        <f t="shared" si="279"/>
        <v>0</v>
      </c>
      <c r="G470" s="1">
        <f t="shared" si="280"/>
        <v>26</v>
      </c>
      <c r="H470" s="1">
        <f t="shared" si="266"/>
        <v>26</v>
      </c>
      <c r="I470" s="10" t="str">
        <f t="shared" si="281"/>
        <v>UpPARK_LINE1_CB</v>
      </c>
      <c r="J470" s="1">
        <f t="shared" si="267"/>
        <v>0</v>
      </c>
      <c r="K470" s="1">
        <f t="shared" si="268"/>
        <v>0</v>
      </c>
      <c r="L470" s="1" t="str">
        <f t="shared" si="269"/>
        <v>0</v>
      </c>
      <c r="M470" s="10">
        <f t="shared" si="270"/>
        <v>0</v>
      </c>
      <c r="N470" s="1">
        <f t="shared" si="282"/>
        <v>29</v>
      </c>
      <c r="O470" s="1">
        <f t="shared" si="274"/>
        <v>0</v>
      </c>
      <c r="P470" s="1">
        <f t="shared" si="271"/>
        <v>30</v>
      </c>
      <c r="Q470" s="3" t="str">
        <f t="shared" si="273"/>
        <v xml:space="preserve"> </v>
      </c>
      <c r="R470" s="11">
        <f t="shared" si="272"/>
        <v>884</v>
      </c>
      <c r="T470" s="13" t="str">
        <f t="shared" si="283"/>
        <v>374</v>
      </c>
      <c r="U470" s="14" t="str">
        <f t="shared" si="284"/>
        <v>UpPARK_LINE1_CB</v>
      </c>
      <c r="V470" s="13" t="str">
        <f t="shared" si="285"/>
        <v>1</v>
      </c>
      <c r="W470" s="13">
        <f t="shared" si="286"/>
        <v>0</v>
      </c>
      <c r="X470" s="14" t="str">
        <f t="shared" si="287"/>
        <v xml:space="preserve"> </v>
      </c>
    </row>
    <row r="471" spans="1:24" x14ac:dyDescent="0.3">
      <c r="A471" s="15" t="s">
        <v>528</v>
      </c>
      <c r="B471" s="1">
        <f t="shared" si="275"/>
        <v>8</v>
      </c>
      <c r="C471" s="1">
        <f t="shared" si="276"/>
        <v>9</v>
      </c>
      <c r="D471" s="10" t="str">
        <f t="shared" si="277"/>
        <v>1</v>
      </c>
      <c r="E471" s="1">
        <f t="shared" si="278"/>
        <v>11</v>
      </c>
      <c r="F471" s="1">
        <f t="shared" si="279"/>
        <v>0</v>
      </c>
      <c r="G471" s="1">
        <f t="shared" si="280"/>
        <v>26</v>
      </c>
      <c r="H471" s="1">
        <f t="shared" si="266"/>
        <v>26</v>
      </c>
      <c r="I471" s="10" t="str">
        <f t="shared" si="281"/>
        <v>UpPARK_LINE1_CR</v>
      </c>
      <c r="J471" s="1">
        <f t="shared" si="267"/>
        <v>0</v>
      </c>
      <c r="K471" s="1">
        <f t="shared" si="268"/>
        <v>0</v>
      </c>
      <c r="L471" s="1" t="str">
        <f t="shared" si="269"/>
        <v>0</v>
      </c>
      <c r="M471" s="10">
        <f t="shared" si="270"/>
        <v>0</v>
      </c>
      <c r="N471" s="1">
        <f t="shared" si="282"/>
        <v>29</v>
      </c>
      <c r="O471" s="1">
        <f t="shared" si="274"/>
        <v>0</v>
      </c>
      <c r="P471" s="1">
        <f t="shared" si="271"/>
        <v>30</v>
      </c>
      <c r="Q471" s="3" t="str">
        <f t="shared" si="273"/>
        <v xml:space="preserve"> </v>
      </c>
      <c r="R471" s="11">
        <f t="shared" si="272"/>
        <v>885</v>
      </c>
      <c r="T471" s="13" t="str">
        <f t="shared" si="283"/>
        <v>375</v>
      </c>
      <c r="U471" s="14" t="str">
        <f t="shared" si="284"/>
        <v>UpPARK_LINE1_CR</v>
      </c>
      <c r="V471" s="13" t="str">
        <f t="shared" si="285"/>
        <v>1</v>
      </c>
      <c r="W471" s="13">
        <f t="shared" si="286"/>
        <v>0</v>
      </c>
      <c r="X471" s="14" t="str">
        <f t="shared" si="287"/>
        <v xml:space="preserve"> </v>
      </c>
    </row>
    <row r="472" spans="1:24" x14ac:dyDescent="0.3">
      <c r="A472" s="15" t="s">
        <v>529</v>
      </c>
      <c r="B472" s="1">
        <f t="shared" si="275"/>
        <v>8</v>
      </c>
      <c r="C472" s="1">
        <f t="shared" si="276"/>
        <v>9</v>
      </c>
      <c r="D472" s="10" t="str">
        <f t="shared" si="277"/>
        <v>1</v>
      </c>
      <c r="E472" s="1">
        <f t="shared" si="278"/>
        <v>11</v>
      </c>
      <c r="F472" s="1">
        <f t="shared" si="279"/>
        <v>0</v>
      </c>
      <c r="G472" s="1">
        <f t="shared" si="280"/>
        <v>25</v>
      </c>
      <c r="H472" s="1">
        <f t="shared" si="266"/>
        <v>25</v>
      </c>
      <c r="I472" s="10" t="str">
        <f t="shared" si="281"/>
        <v>UpPARK_LINE2_Y</v>
      </c>
      <c r="J472" s="1">
        <f t="shared" si="267"/>
        <v>0</v>
      </c>
      <c r="K472" s="1">
        <f t="shared" si="268"/>
        <v>0</v>
      </c>
      <c r="L472" s="1" t="str">
        <f t="shared" si="269"/>
        <v>0</v>
      </c>
      <c r="M472" s="10">
        <f t="shared" si="270"/>
        <v>0</v>
      </c>
      <c r="N472" s="1">
        <f t="shared" si="282"/>
        <v>28</v>
      </c>
      <c r="O472" s="1">
        <f t="shared" si="274"/>
        <v>0</v>
      </c>
      <c r="P472" s="1">
        <f t="shared" si="271"/>
        <v>29</v>
      </c>
      <c r="Q472" s="3" t="str">
        <f t="shared" si="273"/>
        <v xml:space="preserve"> </v>
      </c>
      <c r="R472" s="11">
        <f t="shared" si="272"/>
        <v>886</v>
      </c>
      <c r="T472" s="13" t="str">
        <f t="shared" si="283"/>
        <v>376</v>
      </c>
      <c r="U472" s="14" t="str">
        <f t="shared" si="284"/>
        <v>UpPARK_LINE2_Y</v>
      </c>
      <c r="V472" s="13" t="str">
        <f t="shared" si="285"/>
        <v>1</v>
      </c>
      <c r="W472" s="13">
        <f t="shared" si="286"/>
        <v>0</v>
      </c>
      <c r="X472" s="14" t="str">
        <f t="shared" si="287"/>
        <v xml:space="preserve"> </v>
      </c>
    </row>
    <row r="473" spans="1:24" x14ac:dyDescent="0.3">
      <c r="A473" s="15" t="s">
        <v>530</v>
      </c>
      <c r="B473" s="1">
        <f t="shared" si="275"/>
        <v>8</v>
      </c>
      <c r="C473" s="1">
        <f t="shared" si="276"/>
        <v>9</v>
      </c>
      <c r="D473" s="10" t="str">
        <f t="shared" si="277"/>
        <v>1</v>
      </c>
      <c r="E473" s="1">
        <f t="shared" si="278"/>
        <v>11</v>
      </c>
      <c r="F473" s="1">
        <f t="shared" si="279"/>
        <v>0</v>
      </c>
      <c r="G473" s="1">
        <f t="shared" si="280"/>
        <v>26</v>
      </c>
      <c r="H473" s="1">
        <f t="shared" si="266"/>
        <v>26</v>
      </c>
      <c r="I473" s="10" t="str">
        <f t="shared" si="281"/>
        <v>UpPARK_LINE2_CB</v>
      </c>
      <c r="J473" s="1">
        <f t="shared" si="267"/>
        <v>0</v>
      </c>
      <c r="K473" s="1">
        <f t="shared" si="268"/>
        <v>0</v>
      </c>
      <c r="L473" s="1" t="str">
        <f t="shared" si="269"/>
        <v>0</v>
      </c>
      <c r="M473" s="10">
        <f t="shared" si="270"/>
        <v>0</v>
      </c>
      <c r="N473" s="1">
        <f t="shared" si="282"/>
        <v>29</v>
      </c>
      <c r="O473" s="1">
        <f t="shared" si="274"/>
        <v>0</v>
      </c>
      <c r="P473" s="1">
        <f t="shared" si="271"/>
        <v>30</v>
      </c>
      <c r="Q473" s="3" t="str">
        <f t="shared" si="273"/>
        <v xml:space="preserve"> </v>
      </c>
      <c r="R473" s="11">
        <f t="shared" si="272"/>
        <v>887</v>
      </c>
      <c r="T473" s="13" t="str">
        <f t="shared" si="283"/>
        <v>377</v>
      </c>
      <c r="U473" s="14" t="str">
        <f t="shared" si="284"/>
        <v>UpPARK_LINE2_CB</v>
      </c>
      <c r="V473" s="13" t="str">
        <f t="shared" si="285"/>
        <v>1</v>
      </c>
      <c r="W473" s="13">
        <f t="shared" si="286"/>
        <v>0</v>
      </c>
      <c r="X473" s="14" t="str">
        <f t="shared" si="287"/>
        <v xml:space="preserve"> </v>
      </c>
    </row>
    <row r="474" spans="1:24" x14ac:dyDescent="0.3">
      <c r="A474" s="15" t="s">
        <v>531</v>
      </c>
      <c r="B474" s="1">
        <f t="shared" si="275"/>
        <v>8</v>
      </c>
      <c r="C474" s="1">
        <f t="shared" si="276"/>
        <v>9</v>
      </c>
      <c r="D474" s="10" t="str">
        <f t="shared" si="277"/>
        <v>1</v>
      </c>
      <c r="E474" s="1">
        <f t="shared" si="278"/>
        <v>11</v>
      </c>
      <c r="F474" s="1">
        <f t="shared" si="279"/>
        <v>0</v>
      </c>
      <c r="G474" s="1">
        <f t="shared" si="280"/>
        <v>26</v>
      </c>
      <c r="H474" s="1">
        <f t="shared" si="266"/>
        <v>26</v>
      </c>
      <c r="I474" s="10" t="str">
        <f t="shared" si="281"/>
        <v>UpPARK_LINE2_CR</v>
      </c>
      <c r="J474" s="1">
        <f t="shared" si="267"/>
        <v>0</v>
      </c>
      <c r="K474" s="1">
        <f t="shared" si="268"/>
        <v>0</v>
      </c>
      <c r="L474" s="1" t="str">
        <f t="shared" si="269"/>
        <v>0</v>
      </c>
      <c r="M474" s="10">
        <f t="shared" si="270"/>
        <v>0</v>
      </c>
      <c r="N474" s="1">
        <f t="shared" si="282"/>
        <v>29</v>
      </c>
      <c r="O474" s="1">
        <f t="shared" si="274"/>
        <v>0</v>
      </c>
      <c r="P474" s="1">
        <f t="shared" si="271"/>
        <v>30</v>
      </c>
      <c r="Q474" s="3" t="str">
        <f t="shared" si="273"/>
        <v xml:space="preserve"> </v>
      </c>
      <c r="R474" s="11">
        <f t="shared" si="272"/>
        <v>888</v>
      </c>
      <c r="T474" s="13" t="str">
        <f t="shared" si="283"/>
        <v>378</v>
      </c>
      <c r="U474" s="14" t="str">
        <f t="shared" si="284"/>
        <v>UpPARK_LINE2_CR</v>
      </c>
      <c r="V474" s="13" t="str">
        <f t="shared" si="285"/>
        <v>1</v>
      </c>
      <c r="W474" s="13">
        <f t="shared" si="286"/>
        <v>0</v>
      </c>
      <c r="X474" s="14" t="str">
        <f t="shared" si="287"/>
        <v xml:space="preserve"> </v>
      </c>
    </row>
    <row r="475" spans="1:24" x14ac:dyDescent="0.3">
      <c r="A475" s="15" t="s">
        <v>163</v>
      </c>
      <c r="B475" s="1">
        <f t="shared" si="275"/>
        <v>0</v>
      </c>
      <c r="C475" s="1">
        <f t="shared" si="276"/>
        <v>0</v>
      </c>
      <c r="D475" s="10">
        <f t="shared" si="277"/>
        <v>0</v>
      </c>
      <c r="E475" s="1">
        <f t="shared" si="278"/>
        <v>0</v>
      </c>
      <c r="F475" s="1">
        <f t="shared" si="279"/>
        <v>0</v>
      </c>
      <c r="G475" s="1">
        <f t="shared" si="280"/>
        <v>0</v>
      </c>
      <c r="H475" s="1">
        <f t="shared" si="266"/>
        <v>0</v>
      </c>
      <c r="I475" s="10">
        <f t="shared" si="281"/>
        <v>0</v>
      </c>
      <c r="J475" s="1">
        <f t="shared" si="267"/>
        <v>0</v>
      </c>
      <c r="K475" s="1">
        <f t="shared" si="268"/>
        <v>0</v>
      </c>
      <c r="L475" s="1" t="str">
        <f t="shared" si="269"/>
        <v>0</v>
      </c>
      <c r="M475" s="10">
        <f t="shared" si="270"/>
        <v>0</v>
      </c>
      <c r="N475" s="1">
        <f t="shared" si="282"/>
        <v>3</v>
      </c>
      <c r="O475" s="1">
        <f t="shared" si="274"/>
        <v>0</v>
      </c>
      <c r="P475" s="1">
        <f t="shared" si="271"/>
        <v>52</v>
      </c>
      <c r="Q475" s="3" t="str">
        <f t="shared" si="273"/>
        <v>---------------　ADAPTIVE-LIGHTING　---------------</v>
      </c>
      <c r="R475" s="11">
        <f t="shared" si="272"/>
        <v>889</v>
      </c>
      <c r="T475" s="13" t="str">
        <f t="shared" si="283"/>
        <v>*</v>
      </c>
      <c r="U475" s="14" t="str">
        <f t="shared" si="284"/>
        <v>---------------　ADAPTIVE-LIGHTING　---------------</v>
      </c>
      <c r="V475" s="13">
        <f t="shared" si="285"/>
        <v>1</v>
      </c>
      <c r="W475" s="13">
        <f t="shared" si="286"/>
        <v>0</v>
      </c>
      <c r="X475" s="14" t="str">
        <f t="shared" si="287"/>
        <v>-</v>
      </c>
    </row>
    <row r="476" spans="1:24" x14ac:dyDescent="0.3">
      <c r="A476" s="15" t="s">
        <v>512</v>
      </c>
      <c r="B476" s="1">
        <f t="shared" si="275"/>
        <v>8</v>
      </c>
      <c r="C476" s="1">
        <f t="shared" si="276"/>
        <v>9</v>
      </c>
      <c r="D476" s="10" t="str">
        <f t="shared" si="277"/>
        <v>1</v>
      </c>
      <c r="E476" s="1">
        <f t="shared" si="278"/>
        <v>11</v>
      </c>
      <c r="F476" s="1">
        <f t="shared" si="279"/>
        <v>28</v>
      </c>
      <c r="G476" s="1">
        <f t="shared" si="280"/>
        <v>33</v>
      </c>
      <c r="H476" s="1">
        <f t="shared" si="266"/>
        <v>28</v>
      </c>
      <c r="I476" s="10" t="str">
        <f t="shared" si="281"/>
        <v>UpAE_LED_TuningOn</v>
      </c>
      <c r="J476" s="1">
        <f t="shared" si="267"/>
        <v>30</v>
      </c>
      <c r="K476" s="1" t="str">
        <f t="shared" si="268"/>
        <v>960</v>
      </c>
      <c r="L476" s="1" t="str">
        <f t="shared" si="269"/>
        <v>3C0</v>
      </c>
      <c r="M476" s="10">
        <f t="shared" si="270"/>
        <v>960</v>
      </c>
      <c r="N476" s="1">
        <f t="shared" si="282"/>
        <v>36</v>
      </c>
      <c r="O476" s="1">
        <f t="shared" si="274"/>
        <v>0</v>
      </c>
      <c r="P476" s="1">
        <f t="shared" si="271"/>
        <v>56</v>
      </c>
      <c r="Q476" s="3" t="str">
        <f t="shared" si="273"/>
        <v xml:space="preserve"> Tuning Mode Enable </v>
      </c>
      <c r="R476" s="11">
        <f t="shared" si="272"/>
        <v>960</v>
      </c>
      <c r="T476" s="13" t="str">
        <f t="shared" si="283"/>
        <v>3C0</v>
      </c>
      <c r="U476" s="14" t="str">
        <f t="shared" si="284"/>
        <v>UpAE_LED_TuningOn</v>
      </c>
      <c r="V476" s="13" t="str">
        <f t="shared" si="285"/>
        <v>1</v>
      </c>
      <c r="W476" s="13">
        <f t="shared" si="286"/>
        <v>0</v>
      </c>
      <c r="X476" s="14" t="str">
        <f t="shared" si="287"/>
        <v xml:space="preserve"> Tuning Mode Enable </v>
      </c>
    </row>
    <row r="477" spans="1:24" x14ac:dyDescent="0.3">
      <c r="A477" s="15" t="s">
        <v>409</v>
      </c>
      <c r="B477" s="1">
        <f t="shared" si="275"/>
        <v>8</v>
      </c>
      <c r="C477" s="1">
        <f t="shared" si="276"/>
        <v>9</v>
      </c>
      <c r="D477" s="10" t="str">
        <f t="shared" si="277"/>
        <v>2</v>
      </c>
      <c r="E477" s="1">
        <f t="shared" si="278"/>
        <v>11</v>
      </c>
      <c r="F477" s="1">
        <f t="shared" si="279"/>
        <v>0</v>
      </c>
      <c r="G477" s="1">
        <f t="shared" si="280"/>
        <v>29</v>
      </c>
      <c r="H477" s="1">
        <f t="shared" si="266"/>
        <v>29</v>
      </c>
      <c r="I477" s="10" t="str">
        <f t="shared" si="281"/>
        <v>UpAE_LED_TEST_STEP</v>
      </c>
      <c r="J477" s="1">
        <f t="shared" si="267"/>
        <v>0</v>
      </c>
      <c r="K477" s="1">
        <f t="shared" si="268"/>
        <v>0</v>
      </c>
      <c r="L477" s="1" t="str">
        <f t="shared" si="269"/>
        <v>0</v>
      </c>
      <c r="M477" s="10">
        <f t="shared" si="270"/>
        <v>0</v>
      </c>
      <c r="N477" s="1">
        <f t="shared" si="282"/>
        <v>32</v>
      </c>
      <c r="O477" s="1">
        <f t="shared" si="274"/>
        <v>0</v>
      </c>
      <c r="P477" s="1">
        <f t="shared" si="271"/>
        <v>62</v>
      </c>
      <c r="Q477" s="3" t="str">
        <f t="shared" si="273"/>
        <v xml:space="preserve"> LED_TEST_STEP (0x0 ~ 0xFFFF) </v>
      </c>
      <c r="R477" s="11">
        <f t="shared" si="272"/>
        <v>961</v>
      </c>
      <c r="T477" s="13" t="str">
        <f t="shared" si="283"/>
        <v>3C1</v>
      </c>
      <c r="U477" s="14" t="str">
        <f t="shared" si="284"/>
        <v>UpAE_LED_TEST_STEP</v>
      </c>
      <c r="V477" s="13" t="str">
        <f t="shared" si="285"/>
        <v>2</v>
      </c>
      <c r="W477" s="13">
        <f t="shared" si="286"/>
        <v>0</v>
      </c>
      <c r="X477" s="14" t="str">
        <f t="shared" si="287"/>
        <v xml:space="preserve"> LED_TEST_STEP (0x0 ~ 0xFFFF) </v>
      </c>
    </row>
    <row r="478" spans="1:24" x14ac:dyDescent="0.3">
      <c r="A478" s="15" t="s">
        <v>410</v>
      </c>
      <c r="B478" s="1">
        <f t="shared" si="275"/>
        <v>8</v>
      </c>
      <c r="C478" s="1">
        <f t="shared" si="276"/>
        <v>9</v>
      </c>
      <c r="D478" s="10" t="str">
        <f t="shared" si="277"/>
        <v>3</v>
      </c>
      <c r="E478" s="1">
        <f t="shared" si="278"/>
        <v>11</v>
      </c>
      <c r="F478" s="1">
        <f t="shared" si="279"/>
        <v>0</v>
      </c>
      <c r="G478" s="1">
        <f t="shared" si="280"/>
        <v>28</v>
      </c>
      <c r="H478" s="1">
        <f t="shared" si="266"/>
        <v>28</v>
      </c>
      <c r="I478" s="10" t="str">
        <f t="shared" si="281"/>
        <v>UpAE_LED_TEST_MIN</v>
      </c>
      <c r="J478" s="1">
        <f t="shared" si="267"/>
        <v>0</v>
      </c>
      <c r="K478" s="1">
        <f t="shared" si="268"/>
        <v>0</v>
      </c>
      <c r="L478" s="1" t="str">
        <f t="shared" si="269"/>
        <v>0</v>
      </c>
      <c r="M478" s="10">
        <f t="shared" si="270"/>
        <v>0</v>
      </c>
      <c r="N478" s="1">
        <f t="shared" si="282"/>
        <v>31</v>
      </c>
      <c r="O478" s="1">
        <f t="shared" si="274"/>
        <v>0</v>
      </c>
      <c r="P478" s="1">
        <f t="shared" si="271"/>
        <v>62</v>
      </c>
      <c r="Q478" s="3" t="str">
        <f t="shared" si="273"/>
        <v xml:space="preserve"> LED_TEST_MIN (0x0 ~ 0x12E1FC) </v>
      </c>
      <c r="R478" s="11">
        <f t="shared" si="272"/>
        <v>963</v>
      </c>
      <c r="T478" s="13" t="str">
        <f t="shared" si="283"/>
        <v>3C3</v>
      </c>
      <c r="U478" s="14" t="str">
        <f t="shared" si="284"/>
        <v>UpAE_LED_TEST_MIN</v>
      </c>
      <c r="V478" s="13" t="str">
        <f t="shared" si="285"/>
        <v>3</v>
      </c>
      <c r="W478" s="13">
        <f t="shared" si="286"/>
        <v>0</v>
      </c>
      <c r="X478" s="14" t="str">
        <f t="shared" si="287"/>
        <v xml:space="preserve"> LED_TEST_MIN (0x0 ~ 0x12E1FC) </v>
      </c>
    </row>
    <row r="479" spans="1:24" x14ac:dyDescent="0.3">
      <c r="A479" s="15" t="s">
        <v>411</v>
      </c>
      <c r="B479" s="1">
        <f t="shared" si="275"/>
        <v>8</v>
      </c>
      <c r="C479" s="1">
        <f t="shared" si="276"/>
        <v>9</v>
      </c>
      <c r="D479" s="10" t="str">
        <f t="shared" si="277"/>
        <v>3</v>
      </c>
      <c r="E479" s="1">
        <f t="shared" si="278"/>
        <v>11</v>
      </c>
      <c r="F479" s="1">
        <f t="shared" si="279"/>
        <v>0</v>
      </c>
      <c r="G479" s="1">
        <f t="shared" si="280"/>
        <v>28</v>
      </c>
      <c r="H479" s="1">
        <f t="shared" si="266"/>
        <v>28</v>
      </c>
      <c r="I479" s="10" t="str">
        <f t="shared" si="281"/>
        <v>UpAE_LED_TEST_MAX</v>
      </c>
      <c r="J479" s="1">
        <f t="shared" si="267"/>
        <v>0</v>
      </c>
      <c r="K479" s="1">
        <f t="shared" si="268"/>
        <v>0</v>
      </c>
      <c r="L479" s="1" t="str">
        <f t="shared" si="269"/>
        <v>0</v>
      </c>
      <c r="M479" s="10">
        <f t="shared" si="270"/>
        <v>0</v>
      </c>
      <c r="N479" s="1">
        <f t="shared" si="282"/>
        <v>31</v>
      </c>
      <c r="O479" s="1">
        <f t="shared" si="274"/>
        <v>0</v>
      </c>
      <c r="P479" s="1">
        <f t="shared" si="271"/>
        <v>62</v>
      </c>
      <c r="Q479" s="3" t="str">
        <f t="shared" si="273"/>
        <v xml:space="preserve"> LED_TEST_MAX (0x0 ~ 0x12E1FC) </v>
      </c>
      <c r="R479" s="11">
        <f t="shared" si="272"/>
        <v>966</v>
      </c>
      <c r="T479" s="13" t="str">
        <f t="shared" si="283"/>
        <v>3C6</v>
      </c>
      <c r="U479" s="14" t="str">
        <f t="shared" si="284"/>
        <v>UpAE_LED_TEST_MAX</v>
      </c>
      <c r="V479" s="13" t="str">
        <f t="shared" si="285"/>
        <v>3</v>
      </c>
      <c r="W479" s="13">
        <f t="shared" si="286"/>
        <v>0</v>
      </c>
      <c r="X479" s="14" t="str">
        <f t="shared" si="287"/>
        <v xml:space="preserve"> LED_TEST_MAX (0x0 ~ 0x12E1FC) </v>
      </c>
    </row>
    <row r="480" spans="1:24" x14ac:dyDescent="0.3">
      <c r="A480" s="15" t="s">
        <v>76</v>
      </c>
      <c r="B480" s="1">
        <f t="shared" si="275"/>
        <v>8</v>
      </c>
      <c r="C480" s="1">
        <f t="shared" si="276"/>
        <v>9</v>
      </c>
      <c r="D480" s="10" t="str">
        <f t="shared" si="277"/>
        <v>1</v>
      </c>
      <c r="E480" s="1">
        <f t="shared" si="278"/>
        <v>11</v>
      </c>
      <c r="F480" s="1">
        <f t="shared" si="279"/>
        <v>0</v>
      </c>
      <c r="G480" s="1">
        <f t="shared" si="280"/>
        <v>28</v>
      </c>
      <c r="H480" s="1">
        <f t="shared" si="266"/>
        <v>28</v>
      </c>
      <c r="I480" s="10" t="str">
        <f t="shared" si="281"/>
        <v>UpAE_LED_TEST_RUN</v>
      </c>
      <c r="J480" s="1">
        <f t="shared" si="267"/>
        <v>0</v>
      </c>
      <c r="K480" s="1">
        <f t="shared" si="268"/>
        <v>0</v>
      </c>
      <c r="L480" s="1" t="str">
        <f t="shared" si="269"/>
        <v>0</v>
      </c>
      <c r="M480" s="10">
        <f t="shared" si="270"/>
        <v>0</v>
      </c>
      <c r="N480" s="1">
        <f t="shared" si="282"/>
        <v>31</v>
      </c>
      <c r="O480" s="1">
        <f t="shared" si="274"/>
        <v>0</v>
      </c>
      <c r="P480" s="1">
        <f t="shared" si="271"/>
        <v>43</v>
      </c>
      <c r="Q480" s="3" t="str">
        <f t="shared" si="273"/>
        <v xml:space="preserve"> Start Test </v>
      </c>
      <c r="R480" s="11">
        <f t="shared" si="272"/>
        <v>969</v>
      </c>
      <c r="T480" s="13" t="str">
        <f t="shared" si="283"/>
        <v>3C9</v>
      </c>
      <c r="U480" s="14" t="str">
        <f t="shared" si="284"/>
        <v>UpAE_LED_TEST_RUN</v>
      </c>
      <c r="V480" s="13" t="str">
        <f t="shared" si="285"/>
        <v>1</v>
      </c>
      <c r="W480" s="13">
        <f t="shared" si="286"/>
        <v>0</v>
      </c>
      <c r="X480" s="14" t="str">
        <f t="shared" si="287"/>
        <v xml:space="preserve"> Start Test </v>
      </c>
    </row>
    <row r="481" spans="1:24" x14ac:dyDescent="0.3">
      <c r="A481" s="15" t="s">
        <v>77</v>
      </c>
      <c r="B481" s="1">
        <f t="shared" si="275"/>
        <v>8</v>
      </c>
      <c r="C481" s="1">
        <f t="shared" si="276"/>
        <v>9</v>
      </c>
      <c r="D481" s="10" t="str">
        <f t="shared" si="277"/>
        <v>1</v>
      </c>
      <c r="E481" s="1">
        <f t="shared" si="278"/>
        <v>11</v>
      </c>
      <c r="F481" s="1">
        <f t="shared" si="279"/>
        <v>0</v>
      </c>
      <c r="G481" s="1">
        <f t="shared" si="280"/>
        <v>30</v>
      </c>
      <c r="H481" s="1">
        <f t="shared" si="266"/>
        <v>30</v>
      </c>
      <c r="I481" s="10" t="str">
        <f t="shared" si="281"/>
        <v>UpAE_LED_AePos_STOP</v>
      </c>
      <c r="J481" s="1">
        <f t="shared" si="267"/>
        <v>0</v>
      </c>
      <c r="K481" s="1">
        <f t="shared" si="268"/>
        <v>0</v>
      </c>
      <c r="L481" s="1" t="str">
        <f t="shared" si="269"/>
        <v>0</v>
      </c>
      <c r="M481" s="10">
        <f t="shared" si="270"/>
        <v>0</v>
      </c>
      <c r="N481" s="1">
        <f t="shared" si="282"/>
        <v>33</v>
      </c>
      <c r="O481" s="1">
        <f t="shared" si="274"/>
        <v>0</v>
      </c>
      <c r="P481" s="1">
        <f t="shared" si="271"/>
        <v>70</v>
      </c>
      <c r="Q481" s="3" t="str">
        <f t="shared" si="273"/>
        <v xml:space="preserve"> Fix ae position to current position </v>
      </c>
      <c r="R481" s="11">
        <f t="shared" si="272"/>
        <v>970</v>
      </c>
      <c r="T481" s="13" t="str">
        <f t="shared" si="283"/>
        <v>3CA</v>
      </c>
      <c r="U481" s="14" t="str">
        <f t="shared" si="284"/>
        <v>UpAE_LED_AePos_STOP</v>
      </c>
      <c r="V481" s="13" t="str">
        <f t="shared" si="285"/>
        <v>1</v>
      </c>
      <c r="W481" s="13">
        <f t="shared" si="286"/>
        <v>0</v>
      </c>
      <c r="X481" s="14" t="str">
        <f t="shared" si="287"/>
        <v xml:space="preserve"> Fix ae position to current position </v>
      </c>
    </row>
    <row r="482" spans="1:24" x14ac:dyDescent="0.3">
      <c r="A482" s="15" t="s">
        <v>78</v>
      </c>
      <c r="B482" s="1">
        <f t="shared" si="275"/>
        <v>8</v>
      </c>
      <c r="C482" s="1">
        <f t="shared" si="276"/>
        <v>9</v>
      </c>
      <c r="D482" s="10" t="str">
        <f t="shared" si="277"/>
        <v>3</v>
      </c>
      <c r="E482" s="1">
        <f t="shared" si="278"/>
        <v>11</v>
      </c>
      <c r="F482" s="1">
        <f t="shared" si="279"/>
        <v>0</v>
      </c>
      <c r="G482" s="1">
        <f t="shared" si="280"/>
        <v>23</v>
      </c>
      <c r="H482" s="1">
        <f t="shared" si="266"/>
        <v>23</v>
      </c>
      <c r="I482" s="10" t="str">
        <f t="shared" si="281"/>
        <v>UpAE_LED_LED</v>
      </c>
      <c r="J482" s="1">
        <f t="shared" si="267"/>
        <v>0</v>
      </c>
      <c r="K482" s="1">
        <f t="shared" si="268"/>
        <v>0</v>
      </c>
      <c r="L482" s="1" t="str">
        <f t="shared" si="269"/>
        <v>0</v>
      </c>
      <c r="M482" s="10">
        <f t="shared" si="270"/>
        <v>0</v>
      </c>
      <c r="N482" s="1">
        <f t="shared" si="282"/>
        <v>26</v>
      </c>
      <c r="O482" s="1">
        <f t="shared" si="274"/>
        <v>0</v>
      </c>
      <c r="P482" s="1">
        <f t="shared" si="271"/>
        <v>61</v>
      </c>
      <c r="Q482" s="3" t="str">
        <f t="shared" si="273"/>
        <v xml:space="preserve"> PWM duty control (0x0 ~ 0x12E1FC) </v>
      </c>
      <c r="R482" s="11">
        <f t="shared" si="272"/>
        <v>971</v>
      </c>
      <c r="T482" s="13" t="str">
        <f t="shared" si="283"/>
        <v>3CB</v>
      </c>
      <c r="U482" s="14" t="str">
        <f t="shared" si="284"/>
        <v>UpAE_LED_LED</v>
      </c>
      <c r="V482" s="13" t="str">
        <f t="shared" si="285"/>
        <v>3</v>
      </c>
      <c r="W482" s="13">
        <f t="shared" si="286"/>
        <v>0</v>
      </c>
      <c r="X482" s="14" t="str">
        <f t="shared" si="287"/>
        <v xml:space="preserve"> PWM duty control (0x0 ~ 0x12E1FC) </v>
      </c>
    </row>
    <row r="483" spans="1:24" x14ac:dyDescent="0.3">
      <c r="A483" s="15" t="s">
        <v>79</v>
      </c>
      <c r="B483" s="1">
        <f t="shared" si="275"/>
        <v>8</v>
      </c>
      <c r="C483" s="1">
        <f t="shared" si="276"/>
        <v>9</v>
      </c>
      <c r="D483" s="10" t="str">
        <f t="shared" si="277"/>
        <v>2</v>
      </c>
      <c r="E483" s="1">
        <f t="shared" si="278"/>
        <v>11</v>
      </c>
      <c r="F483" s="1">
        <f t="shared" si="279"/>
        <v>0</v>
      </c>
      <c r="G483" s="1">
        <f t="shared" si="280"/>
        <v>23</v>
      </c>
      <c r="H483" s="1">
        <f t="shared" si="266"/>
        <v>23</v>
      </c>
      <c r="I483" s="10" t="str">
        <f t="shared" si="281"/>
        <v>UpAE_LED_AGC</v>
      </c>
      <c r="J483" s="1">
        <f t="shared" si="267"/>
        <v>0</v>
      </c>
      <c r="K483" s="1">
        <f t="shared" si="268"/>
        <v>0</v>
      </c>
      <c r="L483" s="1" t="str">
        <f t="shared" si="269"/>
        <v>0</v>
      </c>
      <c r="M483" s="10">
        <f t="shared" si="270"/>
        <v>0</v>
      </c>
      <c r="N483" s="1">
        <f t="shared" si="282"/>
        <v>26</v>
      </c>
      <c r="O483" s="1">
        <f t="shared" si="274"/>
        <v>0</v>
      </c>
      <c r="P483" s="1">
        <f t="shared" si="271"/>
        <v>67</v>
      </c>
      <c r="Q483" s="3" t="str">
        <f t="shared" si="273"/>
        <v xml:space="preserve"> Apply AGC value manually (0x0 ~ 0xFFFF) </v>
      </c>
      <c r="R483" s="11">
        <f t="shared" si="272"/>
        <v>974</v>
      </c>
      <c r="T483" s="13" t="str">
        <f t="shared" si="283"/>
        <v>3CE</v>
      </c>
      <c r="U483" s="14" t="str">
        <f t="shared" si="284"/>
        <v>UpAE_LED_AGC</v>
      </c>
      <c r="V483" s="13" t="str">
        <f t="shared" si="285"/>
        <v>2</v>
      </c>
      <c r="W483" s="13">
        <f t="shared" si="286"/>
        <v>0</v>
      </c>
      <c r="X483" s="14" t="str">
        <f t="shared" si="287"/>
        <v xml:space="preserve"> Apply AGC value manually (0x0 ~ 0xFFFF) </v>
      </c>
    </row>
    <row r="484" spans="1:24" x14ac:dyDescent="0.3">
      <c r="A484" s="15" t="s">
        <v>80</v>
      </c>
      <c r="B484" s="1">
        <f t="shared" si="275"/>
        <v>8</v>
      </c>
      <c r="C484" s="1">
        <f t="shared" si="276"/>
        <v>9</v>
      </c>
      <c r="D484" s="10" t="str">
        <f t="shared" si="277"/>
        <v>2</v>
      </c>
      <c r="E484" s="1">
        <f t="shared" si="278"/>
        <v>11</v>
      </c>
      <c r="F484" s="1">
        <f t="shared" si="279"/>
        <v>0</v>
      </c>
      <c r="G484" s="1">
        <f t="shared" si="280"/>
        <v>26</v>
      </c>
      <c r="H484" s="1">
        <f t="shared" si="266"/>
        <v>26</v>
      </c>
      <c r="I484" s="10" t="str">
        <f t="shared" si="281"/>
        <v>UpAE_LED_HEP_Hz</v>
      </c>
      <c r="J484" s="1">
        <f t="shared" si="267"/>
        <v>0</v>
      </c>
      <c r="K484" s="1">
        <f t="shared" si="268"/>
        <v>0</v>
      </c>
      <c r="L484" s="1" t="str">
        <f t="shared" si="269"/>
        <v>0</v>
      </c>
      <c r="M484" s="10">
        <f t="shared" si="270"/>
        <v>0</v>
      </c>
      <c r="N484" s="1">
        <f t="shared" si="282"/>
        <v>29</v>
      </c>
      <c r="O484" s="1">
        <f t="shared" si="274"/>
        <v>0</v>
      </c>
      <c r="P484" s="1">
        <f t="shared" si="271"/>
        <v>67</v>
      </c>
      <c r="Q484" s="3" t="str">
        <f t="shared" si="273"/>
        <v xml:space="preserve"> PWM frequency control (0x0 ~ 0xFFFF) </v>
      </c>
      <c r="R484" s="11">
        <f t="shared" si="272"/>
        <v>976</v>
      </c>
      <c r="T484" s="13" t="str">
        <f t="shared" si="283"/>
        <v>3D0</v>
      </c>
      <c r="U484" s="14" t="str">
        <f t="shared" si="284"/>
        <v>UpAE_LED_HEP_Hz</v>
      </c>
      <c r="V484" s="13" t="str">
        <f t="shared" si="285"/>
        <v>2</v>
      </c>
      <c r="W484" s="13">
        <f t="shared" si="286"/>
        <v>0</v>
      </c>
      <c r="X484" s="14" t="str">
        <f t="shared" si="287"/>
        <v xml:space="preserve"> PWM frequency control (0x0 ~ 0xFFFF) </v>
      </c>
    </row>
    <row r="485" spans="1:24" x14ac:dyDescent="0.3">
      <c r="A485" s="15" t="s">
        <v>412</v>
      </c>
      <c r="B485" s="1">
        <f t="shared" si="275"/>
        <v>0</v>
      </c>
      <c r="C485" s="1">
        <f t="shared" si="276"/>
        <v>0</v>
      </c>
      <c r="D485" s="10">
        <f t="shared" si="277"/>
        <v>0</v>
      </c>
      <c r="E485" s="1">
        <f t="shared" si="278"/>
        <v>0</v>
      </c>
      <c r="F485" s="1">
        <f t="shared" si="279"/>
        <v>0</v>
      </c>
      <c r="G485" s="1">
        <f t="shared" si="280"/>
        <v>0</v>
      </c>
      <c r="H485" s="1">
        <f t="shared" si="266"/>
        <v>0</v>
      </c>
      <c r="I485" s="10">
        <f t="shared" si="281"/>
        <v>0</v>
      </c>
      <c r="J485" s="1">
        <f t="shared" si="267"/>
        <v>0</v>
      </c>
      <c r="K485" s="1">
        <f t="shared" si="268"/>
        <v>0</v>
      </c>
      <c r="L485" s="1" t="str">
        <f t="shared" si="269"/>
        <v>0</v>
      </c>
      <c r="M485" s="10">
        <f t="shared" si="270"/>
        <v>0</v>
      </c>
      <c r="N485" s="1">
        <f t="shared" si="282"/>
        <v>3</v>
      </c>
      <c r="O485" s="1">
        <f t="shared" si="274"/>
        <v>0</v>
      </c>
      <c r="P485" s="1">
        <f t="shared" si="271"/>
        <v>45</v>
      </c>
      <c r="Q485" s="3" t="str">
        <f t="shared" si="273"/>
        <v>---------------　HV-REVERSE　---------------</v>
      </c>
      <c r="R485" s="11">
        <f t="shared" si="272"/>
        <v>978</v>
      </c>
      <c r="T485" s="13" t="str">
        <f t="shared" si="283"/>
        <v>*</v>
      </c>
      <c r="U485" s="14" t="str">
        <f t="shared" si="284"/>
        <v>---------------　HV-REVERSE　---------------</v>
      </c>
      <c r="V485" s="13">
        <f t="shared" si="285"/>
        <v>1</v>
      </c>
      <c r="W485" s="13">
        <f t="shared" si="286"/>
        <v>0</v>
      </c>
      <c r="X485" s="14" t="str">
        <f t="shared" si="287"/>
        <v>-</v>
      </c>
    </row>
    <row r="486" spans="1:24" x14ac:dyDescent="0.3">
      <c r="A486" s="15" t="s">
        <v>513</v>
      </c>
      <c r="B486" s="1">
        <f t="shared" si="275"/>
        <v>8</v>
      </c>
      <c r="C486" s="1">
        <f t="shared" si="276"/>
        <v>9</v>
      </c>
      <c r="D486" s="10" t="str">
        <f t="shared" si="277"/>
        <v>1</v>
      </c>
      <c r="E486" s="1">
        <f t="shared" si="278"/>
        <v>11</v>
      </c>
      <c r="F486" s="1">
        <f t="shared" si="279"/>
        <v>19</v>
      </c>
      <c r="G486" s="1">
        <f t="shared" si="280"/>
        <v>25</v>
      </c>
      <c r="H486" s="1">
        <f t="shared" si="266"/>
        <v>19</v>
      </c>
      <c r="I486" s="10" t="str">
        <f t="shared" si="281"/>
        <v>UpMirror</v>
      </c>
      <c r="J486" s="1">
        <f t="shared" si="267"/>
        <v>21</v>
      </c>
      <c r="K486" s="1" t="str">
        <f t="shared" si="268"/>
        <v>1000</v>
      </c>
      <c r="L486" s="1" t="str">
        <f t="shared" si="269"/>
        <v>3E8</v>
      </c>
      <c r="M486" s="10">
        <f t="shared" si="270"/>
        <v>1000</v>
      </c>
      <c r="N486" s="1">
        <f t="shared" si="282"/>
        <v>28</v>
      </c>
      <c r="O486" s="1">
        <f t="shared" si="274"/>
        <v>0</v>
      </c>
      <c r="P486" s="1">
        <f t="shared" si="271"/>
        <v>48</v>
      </c>
      <c r="Q486" s="3" t="str">
        <f t="shared" si="273"/>
        <v xml:space="preserve"> Horizontal Reverse </v>
      </c>
      <c r="R486" s="11">
        <f t="shared" si="272"/>
        <v>1000</v>
      </c>
      <c r="T486" s="13" t="str">
        <f t="shared" si="283"/>
        <v>3E8</v>
      </c>
      <c r="U486" s="14" t="str">
        <f t="shared" si="284"/>
        <v>UpMirror</v>
      </c>
      <c r="V486" s="13" t="str">
        <f t="shared" si="285"/>
        <v>1</v>
      </c>
      <c r="W486" s="13">
        <f t="shared" si="286"/>
        <v>0</v>
      </c>
      <c r="X486" s="14" t="str">
        <f t="shared" si="287"/>
        <v xml:space="preserve"> Horizontal Reverse </v>
      </c>
    </row>
    <row r="487" spans="1:24" x14ac:dyDescent="0.3">
      <c r="A487" s="15" t="s">
        <v>413</v>
      </c>
      <c r="B487" s="1">
        <f t="shared" si="275"/>
        <v>8</v>
      </c>
      <c r="C487" s="1">
        <f t="shared" si="276"/>
        <v>9</v>
      </c>
      <c r="D487" s="10" t="str">
        <f t="shared" si="277"/>
        <v>1</v>
      </c>
      <c r="E487" s="1">
        <f t="shared" si="278"/>
        <v>11</v>
      </c>
      <c r="F487" s="1">
        <f t="shared" si="279"/>
        <v>0</v>
      </c>
      <c r="G487" s="1">
        <f t="shared" si="280"/>
        <v>17</v>
      </c>
      <c r="H487" s="1">
        <f t="shared" si="266"/>
        <v>17</v>
      </c>
      <c r="I487" s="10" t="str">
        <f t="shared" si="281"/>
        <v>UpFlip</v>
      </c>
      <c r="J487" s="1">
        <f t="shared" si="267"/>
        <v>0</v>
      </c>
      <c r="K487" s="1">
        <f t="shared" si="268"/>
        <v>0</v>
      </c>
      <c r="L487" s="1" t="str">
        <f t="shared" si="269"/>
        <v>0</v>
      </c>
      <c r="M487" s="10">
        <f t="shared" si="270"/>
        <v>0</v>
      </c>
      <c r="N487" s="1">
        <f t="shared" si="282"/>
        <v>20</v>
      </c>
      <c r="O487" s="1">
        <f t="shared" si="274"/>
        <v>0</v>
      </c>
      <c r="P487" s="1">
        <f t="shared" si="271"/>
        <v>38</v>
      </c>
      <c r="Q487" s="3" t="str">
        <f t="shared" si="273"/>
        <v xml:space="preserve"> Vertical Reverse </v>
      </c>
      <c r="R487" s="11">
        <f t="shared" si="272"/>
        <v>1001</v>
      </c>
      <c r="T487" s="13" t="str">
        <f t="shared" si="283"/>
        <v>3E9</v>
      </c>
      <c r="U487" s="14" t="str">
        <f t="shared" si="284"/>
        <v>UpFlip</v>
      </c>
      <c r="V487" s="13" t="str">
        <f t="shared" si="285"/>
        <v>1</v>
      </c>
      <c r="W487" s="13">
        <f t="shared" si="286"/>
        <v>0</v>
      </c>
      <c r="X487" s="14" t="str">
        <f t="shared" si="287"/>
        <v xml:space="preserve"> Vertical Reverse </v>
      </c>
    </row>
    <row r="488" spans="1:24" x14ac:dyDescent="0.3">
      <c r="A488" s="15" t="s">
        <v>514</v>
      </c>
      <c r="B488" s="1">
        <f t="shared" si="275"/>
        <v>0</v>
      </c>
      <c r="C488" s="1">
        <f t="shared" si="276"/>
        <v>0</v>
      </c>
      <c r="D488" s="10">
        <f t="shared" si="277"/>
        <v>0</v>
      </c>
      <c r="E488" s="1">
        <f t="shared" si="278"/>
        <v>0</v>
      </c>
      <c r="F488" s="1">
        <f t="shared" si="279"/>
        <v>0</v>
      </c>
      <c r="G488" s="1">
        <f t="shared" si="280"/>
        <v>0</v>
      </c>
      <c r="H488" s="1">
        <f t="shared" si="266"/>
        <v>0</v>
      </c>
      <c r="I488" s="10">
        <f t="shared" si="281"/>
        <v>0</v>
      </c>
      <c r="J488" s="1">
        <f t="shared" si="267"/>
        <v>0</v>
      </c>
      <c r="K488" s="1">
        <f t="shared" si="268"/>
        <v>0</v>
      </c>
      <c r="L488" s="1" t="str">
        <f t="shared" si="269"/>
        <v>0</v>
      </c>
      <c r="M488" s="10">
        <f t="shared" si="270"/>
        <v>0</v>
      </c>
      <c r="N488" s="1">
        <f t="shared" si="282"/>
        <v>3</v>
      </c>
      <c r="O488" s="1">
        <f t="shared" si="274"/>
        <v>0</v>
      </c>
      <c r="P488" s="1">
        <f t="shared" si="271"/>
        <v>44</v>
      </c>
      <c r="Q488" s="3" t="str">
        <f t="shared" si="273"/>
        <v>---------------　PAR-RESET　---------------</v>
      </c>
      <c r="R488" s="11">
        <f t="shared" si="272"/>
        <v>1002</v>
      </c>
      <c r="T488" s="13" t="str">
        <f t="shared" si="283"/>
        <v>*</v>
      </c>
      <c r="U488" s="14" t="str">
        <f t="shared" si="284"/>
        <v>---------------　PAR-RESET　---------------</v>
      </c>
      <c r="V488" s="13">
        <f t="shared" si="285"/>
        <v>1</v>
      </c>
      <c r="W488" s="13">
        <f t="shared" si="286"/>
        <v>0</v>
      </c>
      <c r="X488" s="14" t="str">
        <f t="shared" si="287"/>
        <v>-</v>
      </c>
    </row>
    <row r="489" spans="1:24" x14ac:dyDescent="0.3">
      <c r="A489" s="15" t="s">
        <v>516</v>
      </c>
      <c r="B489" s="1">
        <f t="shared" si="275"/>
        <v>8</v>
      </c>
      <c r="C489" s="1">
        <f t="shared" si="276"/>
        <v>9</v>
      </c>
      <c r="D489" s="10" t="str">
        <f t="shared" si="277"/>
        <v>1</v>
      </c>
      <c r="E489" s="1">
        <f t="shared" si="278"/>
        <v>11</v>
      </c>
      <c r="F489" s="1">
        <f t="shared" si="279"/>
        <v>22</v>
      </c>
      <c r="G489" s="1">
        <f t="shared" si="280"/>
        <v>28</v>
      </c>
      <c r="H489" s="1">
        <f t="shared" si="266"/>
        <v>22</v>
      </c>
      <c r="I489" s="10" t="str">
        <f t="shared" si="281"/>
        <v>UpUsrParRst</v>
      </c>
      <c r="J489" s="1">
        <f t="shared" si="267"/>
        <v>24</v>
      </c>
      <c r="K489" s="1" t="str">
        <f t="shared" si="268"/>
        <v>1020</v>
      </c>
      <c r="L489" s="1" t="str">
        <f t="shared" si="269"/>
        <v>3FC</v>
      </c>
      <c r="M489" s="10">
        <f t="shared" si="270"/>
        <v>1020</v>
      </c>
      <c r="N489" s="1">
        <f t="shared" si="282"/>
        <v>31</v>
      </c>
      <c r="O489" s="1">
        <f t="shared" si="274"/>
        <v>0</v>
      </c>
      <c r="P489" s="1">
        <f t="shared" si="271"/>
        <v>53</v>
      </c>
      <c r="Q489" s="3" t="str">
        <f t="shared" si="273"/>
        <v xml:space="preserve"> User Parameter Reset </v>
      </c>
      <c r="R489" s="11">
        <f t="shared" si="272"/>
        <v>1020</v>
      </c>
      <c r="T489" s="13" t="str">
        <f t="shared" si="283"/>
        <v>3FC</v>
      </c>
      <c r="U489" s="14" t="str">
        <f t="shared" si="284"/>
        <v>UpUsrParRst</v>
      </c>
      <c r="V489" s="13" t="str">
        <f t="shared" si="285"/>
        <v>1</v>
      </c>
      <c r="W489" s="13">
        <f t="shared" si="286"/>
        <v>0</v>
      </c>
      <c r="X489" s="14" t="str">
        <f t="shared" si="287"/>
        <v xml:space="preserve"> User Parameter Reset </v>
      </c>
    </row>
    <row r="490" spans="1:24" x14ac:dyDescent="0.3">
      <c r="A490" s="15" t="s">
        <v>515</v>
      </c>
      <c r="B490" s="1">
        <f t="shared" si="275"/>
        <v>8</v>
      </c>
      <c r="C490" s="1">
        <f t="shared" si="276"/>
        <v>9</v>
      </c>
      <c r="D490" s="10" t="str">
        <f t="shared" si="277"/>
        <v>1</v>
      </c>
      <c r="E490" s="1">
        <f t="shared" si="278"/>
        <v>11</v>
      </c>
      <c r="F490" s="1">
        <f t="shared" si="279"/>
        <v>48</v>
      </c>
      <c r="G490" s="1">
        <f t="shared" si="280"/>
        <v>22</v>
      </c>
      <c r="H490" s="1">
        <f t="shared" si="266"/>
        <v>22</v>
      </c>
      <c r="I490" s="10" t="str">
        <f t="shared" si="281"/>
        <v>UpUsrDatRst</v>
      </c>
      <c r="J490" s="1">
        <f t="shared" si="267"/>
        <v>0</v>
      </c>
      <c r="K490" s="1">
        <f t="shared" si="268"/>
        <v>0</v>
      </c>
      <c r="L490" s="1" t="str">
        <f t="shared" si="269"/>
        <v>0</v>
      </c>
      <c r="M490" s="10">
        <f t="shared" si="270"/>
        <v>0</v>
      </c>
      <c r="N490" s="1">
        <f t="shared" si="282"/>
        <v>25</v>
      </c>
      <c r="O490" s="1">
        <f t="shared" si="274"/>
        <v>0</v>
      </c>
      <c r="P490" s="1">
        <f t="shared" si="271"/>
        <v>60</v>
      </c>
      <c r="Q490" s="3" t="str">
        <f t="shared" si="273"/>
        <v xml:space="preserve"> User Data Reset (Gamma, ColorMap) </v>
      </c>
      <c r="R490" s="11">
        <f t="shared" si="272"/>
        <v>1021</v>
      </c>
      <c r="T490" s="13" t="str">
        <f t="shared" si="283"/>
        <v>3FD</v>
      </c>
      <c r="U490" s="14" t="str">
        <f t="shared" si="284"/>
        <v>UpUsrDatRst</v>
      </c>
      <c r="V490" s="13" t="str">
        <f t="shared" si="285"/>
        <v>1</v>
      </c>
      <c r="W490" s="13">
        <f t="shared" si="286"/>
        <v>0</v>
      </c>
      <c r="X490" s="14" t="str">
        <f t="shared" si="287"/>
        <v xml:space="preserve"> User Data Reset (Gamma, ColorMap) </v>
      </c>
    </row>
    <row r="491" spans="1:24" x14ac:dyDescent="0.3">
      <c r="A491" s="15" t="s">
        <v>427</v>
      </c>
      <c r="B491" s="1">
        <f t="shared" si="275"/>
        <v>0</v>
      </c>
      <c r="C491" s="1">
        <f t="shared" si="276"/>
        <v>0</v>
      </c>
      <c r="D491" s="10">
        <f t="shared" si="277"/>
        <v>0</v>
      </c>
      <c r="E491" s="1">
        <f t="shared" si="278"/>
        <v>0</v>
      </c>
      <c r="F491" s="1">
        <f t="shared" si="279"/>
        <v>0</v>
      </c>
      <c r="G491" s="1">
        <f t="shared" si="280"/>
        <v>0</v>
      </c>
      <c r="H491" s="1">
        <f t="shared" si="266"/>
        <v>0</v>
      </c>
      <c r="I491" s="10">
        <f t="shared" si="281"/>
        <v>0</v>
      </c>
      <c r="J491" s="1">
        <f t="shared" si="267"/>
        <v>0</v>
      </c>
      <c r="K491" s="1">
        <f t="shared" si="268"/>
        <v>0</v>
      </c>
      <c r="L491" s="1" t="str">
        <f t="shared" si="269"/>
        <v>0</v>
      </c>
      <c r="M491" s="10">
        <f t="shared" si="270"/>
        <v>0</v>
      </c>
      <c r="N491" s="1">
        <f t="shared" si="282"/>
        <v>3</v>
      </c>
      <c r="O491" s="1">
        <f t="shared" si="274"/>
        <v>0</v>
      </c>
      <c r="P491" s="1">
        <f t="shared" si="271"/>
        <v>46</v>
      </c>
      <c r="Q491" s="3" t="str">
        <f t="shared" si="273"/>
        <v>---------------　ALL　(0x7202)---------------</v>
      </c>
      <c r="R491" s="11">
        <f t="shared" si="272"/>
        <v>1022</v>
      </c>
      <c r="T491" s="13" t="str">
        <f t="shared" si="283"/>
        <v>*</v>
      </c>
      <c r="U491" s="14" t="str">
        <f t="shared" si="284"/>
        <v>---------------　ALL　(0x7202)---------------</v>
      </c>
      <c r="V491" s="13">
        <f t="shared" si="285"/>
        <v>1</v>
      </c>
      <c r="W491" s="13">
        <f t="shared" si="286"/>
        <v>0</v>
      </c>
      <c r="X491" s="14" t="str">
        <f t="shared" si="287"/>
        <v>-</v>
      </c>
    </row>
    <row r="492" spans="1:24" x14ac:dyDescent="0.3">
      <c r="B492" s="1">
        <f t="shared" si="275"/>
        <v>0</v>
      </c>
      <c r="C492" s="1">
        <f t="shared" si="276"/>
        <v>0</v>
      </c>
      <c r="D492" s="10">
        <f t="shared" si="277"/>
        <v>0</v>
      </c>
      <c r="E492" s="1">
        <f t="shared" si="278"/>
        <v>0</v>
      </c>
      <c r="F492" s="1">
        <f t="shared" si="279"/>
        <v>0</v>
      </c>
      <c r="G492" s="1">
        <f t="shared" si="280"/>
        <v>0</v>
      </c>
      <c r="H492" s="1">
        <f t="shared" ref="H492:H552" si="288">IF(AND(F492&gt;0,F492&lt;G492),F492,G492)</f>
        <v>0</v>
      </c>
      <c r="I492" s="10">
        <f t="shared" si="281"/>
        <v>0</v>
      </c>
      <c r="J492" s="1">
        <f t="shared" ref="J492:J552" si="289">IF(AND(F492&gt;0,F492&lt;G492),FIND("=",A492,F492)+1,0)</f>
        <v>0</v>
      </c>
      <c r="K492" s="1">
        <f t="shared" ref="K492:K552" si="290">IF(J492&gt;0,MID(A492,J492,G492-J492),0)</f>
        <v>0</v>
      </c>
      <c r="L492" s="1" t="str">
        <f t="shared" ref="L492:L552" si="291">IFERROR(RIGHT(K492,LEN(K492)-FIND("0x",K492)-1),DEC2HEX(K492))</f>
        <v>0</v>
      </c>
      <c r="M492" s="10">
        <f t="shared" ref="M492:M552" si="292">HEX2DEC(L492)</f>
        <v>0</v>
      </c>
      <c r="N492" s="1">
        <f t="shared" si="282"/>
        <v>0</v>
      </c>
      <c r="O492" s="1">
        <f t="shared" si="274"/>
        <v>0</v>
      </c>
      <c r="P492" s="1">
        <f t="shared" ref="P492:P552" si="293">IFERROR(FIND("*/",$A492,N492+1),0)</f>
        <v>0</v>
      </c>
      <c r="Q492" s="3" t="str">
        <f t="shared" si="273"/>
        <v/>
      </c>
      <c r="R492" s="11">
        <f t="shared" ref="R492:R552" si="294">IF(M492&gt;0,M492,D491+R491)</f>
        <v>1022</v>
      </c>
      <c r="T492" s="13">
        <f t="shared" si="283"/>
        <v>400</v>
      </c>
      <c r="U492" s="14" t="str">
        <f t="shared" si="284"/>
        <v>END_ID</v>
      </c>
      <c r="V492" s="13" t="str">
        <f t="shared" si="285"/>
        <v/>
      </c>
      <c r="W492" s="13" t="str">
        <f t="shared" si="286"/>
        <v/>
      </c>
      <c r="X492" s="14" t="str">
        <f t="shared" si="287"/>
        <v/>
      </c>
    </row>
    <row r="493" spans="1:24" x14ac:dyDescent="0.3">
      <c r="B493" s="1">
        <f t="shared" si="275"/>
        <v>0</v>
      </c>
      <c r="C493" s="1">
        <f t="shared" si="276"/>
        <v>0</v>
      </c>
      <c r="D493" s="10">
        <f t="shared" si="277"/>
        <v>0</v>
      </c>
      <c r="E493" s="1">
        <f t="shared" si="278"/>
        <v>0</v>
      </c>
      <c r="F493" s="1">
        <f t="shared" si="279"/>
        <v>0</v>
      </c>
      <c r="G493" s="1">
        <f t="shared" si="280"/>
        <v>0</v>
      </c>
      <c r="H493" s="1">
        <f t="shared" si="288"/>
        <v>0</v>
      </c>
      <c r="I493" s="10">
        <f t="shared" si="281"/>
        <v>0</v>
      </c>
      <c r="J493" s="1">
        <f t="shared" si="289"/>
        <v>0</v>
      </c>
      <c r="K493" s="1">
        <f t="shared" si="290"/>
        <v>0</v>
      </c>
      <c r="L493" s="1" t="str">
        <f t="shared" si="291"/>
        <v>0</v>
      </c>
      <c r="M493" s="10">
        <f t="shared" si="292"/>
        <v>0</v>
      </c>
      <c r="N493" s="1">
        <f t="shared" si="282"/>
        <v>0</v>
      </c>
      <c r="O493" s="1">
        <f t="shared" si="274"/>
        <v>0</v>
      </c>
      <c r="P493" s="1">
        <f t="shared" si="293"/>
        <v>0</v>
      </c>
      <c r="Q493" s="3" t="str">
        <f t="shared" si="273"/>
        <v/>
      </c>
      <c r="R493" s="11">
        <f t="shared" si="294"/>
        <v>1022</v>
      </c>
      <c r="T493" s="13" t="str">
        <f t="shared" si="283"/>
        <v/>
      </c>
      <c r="U493" s="14" t="str">
        <f t="shared" si="284"/>
        <v/>
      </c>
      <c r="V493" s="13" t="str">
        <f t="shared" si="285"/>
        <v/>
      </c>
      <c r="W493" s="13" t="str">
        <f t="shared" si="286"/>
        <v/>
      </c>
      <c r="X493" s="14" t="str">
        <f t="shared" si="287"/>
        <v/>
      </c>
    </row>
    <row r="494" spans="1:24" x14ac:dyDescent="0.3">
      <c r="B494" s="1">
        <f t="shared" si="275"/>
        <v>0</v>
      </c>
      <c r="C494" s="1">
        <f t="shared" si="276"/>
        <v>0</v>
      </c>
      <c r="D494" s="10">
        <f t="shared" si="277"/>
        <v>0</v>
      </c>
      <c r="E494" s="1">
        <f t="shared" si="278"/>
        <v>0</v>
      </c>
      <c r="F494" s="1">
        <f t="shared" si="279"/>
        <v>0</v>
      </c>
      <c r="G494" s="1">
        <f t="shared" si="280"/>
        <v>0</v>
      </c>
      <c r="H494" s="1">
        <f t="shared" si="288"/>
        <v>0</v>
      </c>
      <c r="I494" s="10">
        <f t="shared" si="281"/>
        <v>0</v>
      </c>
      <c r="J494" s="1">
        <f t="shared" si="289"/>
        <v>0</v>
      </c>
      <c r="K494" s="1">
        <f t="shared" si="290"/>
        <v>0</v>
      </c>
      <c r="L494" s="1" t="str">
        <f t="shared" si="291"/>
        <v>0</v>
      </c>
      <c r="M494" s="10">
        <f t="shared" si="292"/>
        <v>0</v>
      </c>
      <c r="N494" s="1">
        <f t="shared" si="282"/>
        <v>0</v>
      </c>
      <c r="O494" s="1">
        <f t="shared" si="274"/>
        <v>0</v>
      </c>
      <c r="P494" s="1">
        <f t="shared" si="293"/>
        <v>0</v>
      </c>
      <c r="Q494" s="3" t="str">
        <f t="shared" si="273"/>
        <v/>
      </c>
      <c r="R494" s="11">
        <f t="shared" si="294"/>
        <v>1022</v>
      </c>
      <c r="T494" s="13" t="str">
        <f t="shared" si="283"/>
        <v/>
      </c>
      <c r="U494" s="14" t="str">
        <f t="shared" si="284"/>
        <v/>
      </c>
      <c r="V494" s="13" t="str">
        <f t="shared" si="285"/>
        <v/>
      </c>
      <c r="W494" s="13" t="str">
        <f t="shared" si="286"/>
        <v/>
      </c>
      <c r="X494" s="14" t="str">
        <f t="shared" si="287"/>
        <v/>
      </c>
    </row>
    <row r="495" spans="1:24" x14ac:dyDescent="0.3">
      <c r="B495" s="1">
        <f t="shared" si="275"/>
        <v>0</v>
      </c>
      <c r="C495" s="1">
        <f t="shared" si="276"/>
        <v>0</v>
      </c>
      <c r="D495" s="10">
        <f t="shared" si="277"/>
        <v>0</v>
      </c>
      <c r="E495" s="1">
        <f t="shared" si="278"/>
        <v>0</v>
      </c>
      <c r="F495" s="1">
        <f t="shared" si="279"/>
        <v>0</v>
      </c>
      <c r="G495" s="1">
        <f t="shared" si="280"/>
        <v>0</v>
      </c>
      <c r="H495" s="1">
        <f t="shared" si="288"/>
        <v>0</v>
      </c>
      <c r="I495" s="10">
        <f t="shared" si="281"/>
        <v>0</v>
      </c>
      <c r="J495" s="1">
        <f t="shared" si="289"/>
        <v>0</v>
      </c>
      <c r="K495" s="1">
        <f t="shared" si="290"/>
        <v>0</v>
      </c>
      <c r="L495" s="1" t="str">
        <f t="shared" si="291"/>
        <v>0</v>
      </c>
      <c r="M495" s="10">
        <f t="shared" si="292"/>
        <v>0</v>
      </c>
      <c r="N495" s="1">
        <f t="shared" si="282"/>
        <v>0</v>
      </c>
      <c r="O495" s="1">
        <f t="shared" si="274"/>
        <v>0</v>
      </c>
      <c r="P495" s="1">
        <f t="shared" si="293"/>
        <v>0</v>
      </c>
      <c r="Q495" s="3" t="str">
        <f t="shared" si="273"/>
        <v/>
      </c>
      <c r="R495" s="11">
        <f t="shared" si="294"/>
        <v>1022</v>
      </c>
      <c r="T495" s="13" t="str">
        <f t="shared" si="283"/>
        <v/>
      </c>
      <c r="U495" s="14" t="str">
        <f t="shared" si="284"/>
        <v/>
      </c>
      <c r="V495" s="13" t="str">
        <f t="shared" si="285"/>
        <v/>
      </c>
      <c r="W495" s="13" t="str">
        <f t="shared" si="286"/>
        <v/>
      </c>
      <c r="X495" s="14" t="str">
        <f t="shared" si="287"/>
        <v/>
      </c>
    </row>
    <row r="496" spans="1:24" x14ac:dyDescent="0.3">
      <c r="B496" s="1">
        <f t="shared" si="275"/>
        <v>0</v>
      </c>
      <c r="C496" s="1">
        <f t="shared" si="276"/>
        <v>0</v>
      </c>
      <c r="D496" s="10">
        <f t="shared" si="277"/>
        <v>0</v>
      </c>
      <c r="E496" s="1">
        <f t="shared" si="278"/>
        <v>0</v>
      </c>
      <c r="F496" s="1">
        <f t="shared" si="279"/>
        <v>0</v>
      </c>
      <c r="G496" s="1">
        <f t="shared" si="280"/>
        <v>0</v>
      </c>
      <c r="H496" s="1">
        <f t="shared" si="288"/>
        <v>0</v>
      </c>
      <c r="I496" s="10">
        <f t="shared" si="281"/>
        <v>0</v>
      </c>
      <c r="J496" s="1">
        <f t="shared" si="289"/>
        <v>0</v>
      </c>
      <c r="K496" s="1">
        <f t="shared" si="290"/>
        <v>0</v>
      </c>
      <c r="L496" s="1" t="str">
        <f t="shared" si="291"/>
        <v>0</v>
      </c>
      <c r="M496" s="10">
        <f t="shared" si="292"/>
        <v>0</v>
      </c>
      <c r="N496" s="1">
        <f t="shared" si="282"/>
        <v>0</v>
      </c>
      <c r="O496" s="1">
        <f t="shared" si="274"/>
        <v>0</v>
      </c>
      <c r="P496" s="1">
        <f t="shared" si="293"/>
        <v>0</v>
      </c>
      <c r="Q496" s="3" t="str">
        <f t="shared" si="273"/>
        <v/>
      </c>
      <c r="R496" s="11">
        <f t="shared" si="294"/>
        <v>1022</v>
      </c>
      <c r="T496" s="13" t="str">
        <f t="shared" si="283"/>
        <v/>
      </c>
      <c r="U496" s="14" t="str">
        <f t="shared" si="284"/>
        <v/>
      </c>
      <c r="V496" s="13" t="str">
        <f t="shared" si="285"/>
        <v/>
      </c>
      <c r="W496" s="13" t="str">
        <f t="shared" si="286"/>
        <v/>
      </c>
      <c r="X496" s="14" t="str">
        <f t="shared" si="287"/>
        <v/>
      </c>
    </row>
    <row r="497" spans="2:24" x14ac:dyDescent="0.3">
      <c r="B497" s="1">
        <f t="shared" si="275"/>
        <v>0</v>
      </c>
      <c r="C497" s="1">
        <f t="shared" si="276"/>
        <v>0</v>
      </c>
      <c r="D497" s="10">
        <f t="shared" si="277"/>
        <v>0</v>
      </c>
      <c r="E497" s="1">
        <f t="shared" si="278"/>
        <v>0</v>
      </c>
      <c r="F497" s="1">
        <f t="shared" si="279"/>
        <v>0</v>
      </c>
      <c r="G497" s="1">
        <f t="shared" si="280"/>
        <v>0</v>
      </c>
      <c r="H497" s="1">
        <f t="shared" si="288"/>
        <v>0</v>
      </c>
      <c r="I497" s="10">
        <f t="shared" si="281"/>
        <v>0</v>
      </c>
      <c r="J497" s="1">
        <f t="shared" si="289"/>
        <v>0</v>
      </c>
      <c r="K497" s="1">
        <f t="shared" si="290"/>
        <v>0</v>
      </c>
      <c r="L497" s="1" t="str">
        <f t="shared" si="291"/>
        <v>0</v>
      </c>
      <c r="M497" s="10">
        <f t="shared" si="292"/>
        <v>0</v>
      </c>
      <c r="N497" s="1">
        <f t="shared" si="282"/>
        <v>0</v>
      </c>
      <c r="O497" s="1">
        <f t="shared" si="274"/>
        <v>0</v>
      </c>
      <c r="P497" s="1">
        <f t="shared" si="293"/>
        <v>0</v>
      </c>
      <c r="Q497" s="3" t="str">
        <f t="shared" si="273"/>
        <v/>
      </c>
      <c r="R497" s="11">
        <f t="shared" si="294"/>
        <v>1022</v>
      </c>
      <c r="T497" s="13" t="str">
        <f t="shared" si="283"/>
        <v/>
      </c>
      <c r="U497" s="14" t="str">
        <f t="shared" si="284"/>
        <v/>
      </c>
      <c r="V497" s="13" t="str">
        <f t="shared" si="285"/>
        <v/>
      </c>
      <c r="W497" s="13" t="str">
        <f t="shared" si="286"/>
        <v/>
      </c>
      <c r="X497" s="14" t="str">
        <f t="shared" si="287"/>
        <v/>
      </c>
    </row>
    <row r="498" spans="2:24" x14ac:dyDescent="0.3">
      <c r="B498" s="1">
        <f t="shared" si="275"/>
        <v>0</v>
      </c>
      <c r="C498" s="1">
        <f t="shared" si="276"/>
        <v>0</v>
      </c>
      <c r="D498" s="10">
        <f t="shared" si="277"/>
        <v>0</v>
      </c>
      <c r="E498" s="1">
        <f t="shared" si="278"/>
        <v>0</v>
      </c>
      <c r="F498" s="1">
        <f t="shared" si="279"/>
        <v>0</v>
      </c>
      <c r="G498" s="1">
        <f t="shared" si="280"/>
        <v>0</v>
      </c>
      <c r="H498" s="1">
        <f t="shared" si="288"/>
        <v>0</v>
      </c>
      <c r="I498" s="10">
        <f t="shared" si="281"/>
        <v>0</v>
      </c>
      <c r="J498" s="1">
        <f t="shared" si="289"/>
        <v>0</v>
      </c>
      <c r="K498" s="1">
        <f t="shared" si="290"/>
        <v>0</v>
      </c>
      <c r="L498" s="1" t="str">
        <f t="shared" si="291"/>
        <v>0</v>
      </c>
      <c r="M498" s="10">
        <f t="shared" si="292"/>
        <v>0</v>
      </c>
      <c r="N498" s="1">
        <f t="shared" si="282"/>
        <v>0</v>
      </c>
      <c r="O498" s="1">
        <f t="shared" si="274"/>
        <v>0</v>
      </c>
      <c r="P498" s="1">
        <f t="shared" si="293"/>
        <v>0</v>
      </c>
      <c r="Q498" s="3" t="str">
        <f t="shared" si="273"/>
        <v/>
      </c>
      <c r="R498" s="11">
        <f t="shared" si="294"/>
        <v>1022</v>
      </c>
      <c r="T498" s="13" t="str">
        <f t="shared" si="283"/>
        <v/>
      </c>
      <c r="U498" s="14" t="str">
        <f t="shared" si="284"/>
        <v/>
      </c>
      <c r="V498" s="13" t="str">
        <f t="shared" si="285"/>
        <v/>
      </c>
      <c r="W498" s="13" t="str">
        <f t="shared" si="286"/>
        <v/>
      </c>
      <c r="X498" s="14" t="str">
        <f t="shared" si="287"/>
        <v/>
      </c>
    </row>
    <row r="499" spans="2:24" x14ac:dyDescent="0.3">
      <c r="B499" s="1">
        <f t="shared" si="275"/>
        <v>0</v>
      </c>
      <c r="C499" s="1">
        <f t="shared" si="276"/>
        <v>0</v>
      </c>
      <c r="D499" s="10">
        <f t="shared" si="277"/>
        <v>0</v>
      </c>
      <c r="E499" s="1">
        <f t="shared" si="278"/>
        <v>0</v>
      </c>
      <c r="F499" s="1">
        <f t="shared" si="279"/>
        <v>0</v>
      </c>
      <c r="G499" s="1">
        <f t="shared" si="280"/>
        <v>0</v>
      </c>
      <c r="H499" s="1">
        <f t="shared" si="288"/>
        <v>0</v>
      </c>
      <c r="I499" s="10">
        <f t="shared" si="281"/>
        <v>0</v>
      </c>
      <c r="J499" s="1">
        <f t="shared" si="289"/>
        <v>0</v>
      </c>
      <c r="K499" s="1">
        <f t="shared" si="290"/>
        <v>0</v>
      </c>
      <c r="L499" s="1" t="str">
        <f t="shared" si="291"/>
        <v>0</v>
      </c>
      <c r="M499" s="10">
        <f t="shared" si="292"/>
        <v>0</v>
      </c>
      <c r="N499" s="1">
        <f t="shared" si="282"/>
        <v>0</v>
      </c>
      <c r="O499" s="1">
        <f t="shared" si="274"/>
        <v>0</v>
      </c>
      <c r="P499" s="1">
        <f t="shared" si="293"/>
        <v>0</v>
      </c>
      <c r="Q499" s="3" t="str">
        <f t="shared" si="273"/>
        <v/>
      </c>
      <c r="R499" s="11">
        <f t="shared" si="294"/>
        <v>1022</v>
      </c>
      <c r="T499" s="13" t="str">
        <f t="shared" si="283"/>
        <v/>
      </c>
      <c r="U499" s="14" t="str">
        <f t="shared" si="284"/>
        <v/>
      </c>
      <c r="V499" s="13" t="str">
        <f t="shared" si="285"/>
        <v/>
      </c>
      <c r="W499" s="13" t="str">
        <f t="shared" si="286"/>
        <v/>
      </c>
      <c r="X499" s="14" t="str">
        <f t="shared" si="287"/>
        <v/>
      </c>
    </row>
    <row r="500" spans="2:24" x14ac:dyDescent="0.3">
      <c r="B500" s="1">
        <f t="shared" si="275"/>
        <v>0</v>
      </c>
      <c r="C500" s="1">
        <f t="shared" si="276"/>
        <v>0</v>
      </c>
      <c r="D500" s="10">
        <f t="shared" si="277"/>
        <v>0</v>
      </c>
      <c r="E500" s="1">
        <f t="shared" si="278"/>
        <v>0</v>
      </c>
      <c r="F500" s="1">
        <f t="shared" si="279"/>
        <v>0</v>
      </c>
      <c r="G500" s="1">
        <f t="shared" si="280"/>
        <v>0</v>
      </c>
      <c r="H500" s="1">
        <f t="shared" si="288"/>
        <v>0</v>
      </c>
      <c r="I500" s="10">
        <f t="shared" si="281"/>
        <v>0</v>
      </c>
      <c r="J500" s="1">
        <f t="shared" si="289"/>
        <v>0</v>
      </c>
      <c r="K500" s="1">
        <f t="shared" si="290"/>
        <v>0</v>
      </c>
      <c r="L500" s="1" t="str">
        <f t="shared" si="291"/>
        <v>0</v>
      </c>
      <c r="M500" s="10">
        <f t="shared" si="292"/>
        <v>0</v>
      </c>
      <c r="N500" s="1">
        <f t="shared" si="282"/>
        <v>0</v>
      </c>
      <c r="O500" s="1">
        <f t="shared" si="274"/>
        <v>0</v>
      </c>
      <c r="P500" s="1">
        <f t="shared" si="293"/>
        <v>0</v>
      </c>
      <c r="Q500" s="3" t="str">
        <f t="shared" si="273"/>
        <v/>
      </c>
      <c r="R500" s="11">
        <f t="shared" si="294"/>
        <v>1022</v>
      </c>
      <c r="T500" s="13" t="str">
        <f t="shared" si="283"/>
        <v/>
      </c>
      <c r="U500" s="14" t="str">
        <f t="shared" si="284"/>
        <v/>
      </c>
      <c r="V500" s="13" t="str">
        <f t="shared" si="285"/>
        <v/>
      </c>
      <c r="W500" s="13" t="str">
        <f t="shared" si="286"/>
        <v/>
      </c>
      <c r="X500" s="14" t="str">
        <f t="shared" si="287"/>
        <v/>
      </c>
    </row>
    <row r="501" spans="2:24" x14ac:dyDescent="0.3">
      <c r="B501" s="1">
        <f t="shared" si="275"/>
        <v>0</v>
      </c>
      <c r="C501" s="1">
        <f t="shared" si="276"/>
        <v>0</v>
      </c>
      <c r="D501" s="10">
        <f t="shared" si="277"/>
        <v>0</v>
      </c>
      <c r="E501" s="1">
        <f t="shared" si="278"/>
        <v>0</v>
      </c>
      <c r="F501" s="1">
        <f t="shared" si="279"/>
        <v>0</v>
      </c>
      <c r="G501" s="1">
        <f t="shared" si="280"/>
        <v>0</v>
      </c>
      <c r="H501" s="1">
        <f t="shared" si="288"/>
        <v>0</v>
      </c>
      <c r="I501" s="10">
        <f t="shared" si="281"/>
        <v>0</v>
      </c>
      <c r="J501" s="1">
        <f t="shared" si="289"/>
        <v>0</v>
      </c>
      <c r="K501" s="1">
        <f t="shared" si="290"/>
        <v>0</v>
      </c>
      <c r="L501" s="1" t="str">
        <f t="shared" si="291"/>
        <v>0</v>
      </c>
      <c r="M501" s="10">
        <f t="shared" si="292"/>
        <v>0</v>
      </c>
      <c r="N501" s="1">
        <f t="shared" si="282"/>
        <v>0</v>
      </c>
      <c r="O501" s="1">
        <f t="shared" si="274"/>
        <v>0</v>
      </c>
      <c r="P501" s="1">
        <f t="shared" si="293"/>
        <v>0</v>
      </c>
      <c r="Q501" s="3" t="str">
        <f t="shared" si="273"/>
        <v/>
      </c>
      <c r="R501" s="11">
        <f t="shared" si="294"/>
        <v>1022</v>
      </c>
      <c r="T501" s="13" t="str">
        <f t="shared" si="283"/>
        <v/>
      </c>
      <c r="U501" s="14" t="str">
        <f t="shared" si="284"/>
        <v/>
      </c>
      <c r="V501" s="13" t="str">
        <f t="shared" si="285"/>
        <v/>
      </c>
      <c r="W501" s="13" t="str">
        <f t="shared" si="286"/>
        <v/>
      </c>
      <c r="X501" s="14" t="str">
        <f t="shared" si="287"/>
        <v/>
      </c>
    </row>
    <row r="502" spans="2:24" x14ac:dyDescent="0.3">
      <c r="B502" s="1">
        <f t="shared" si="275"/>
        <v>0</v>
      </c>
      <c r="C502" s="1">
        <f t="shared" si="276"/>
        <v>0</v>
      </c>
      <c r="D502" s="10">
        <f t="shared" si="277"/>
        <v>0</v>
      </c>
      <c r="E502" s="1">
        <f t="shared" si="278"/>
        <v>0</v>
      </c>
      <c r="F502" s="1">
        <f t="shared" si="279"/>
        <v>0</v>
      </c>
      <c r="G502" s="1">
        <f t="shared" si="280"/>
        <v>0</v>
      </c>
      <c r="H502" s="1">
        <f t="shared" si="288"/>
        <v>0</v>
      </c>
      <c r="I502" s="10">
        <f t="shared" si="281"/>
        <v>0</v>
      </c>
      <c r="J502" s="1">
        <f t="shared" si="289"/>
        <v>0</v>
      </c>
      <c r="K502" s="1">
        <f t="shared" si="290"/>
        <v>0</v>
      </c>
      <c r="L502" s="1" t="str">
        <f t="shared" si="291"/>
        <v>0</v>
      </c>
      <c r="M502" s="10">
        <f t="shared" si="292"/>
        <v>0</v>
      </c>
      <c r="N502" s="1">
        <f t="shared" si="282"/>
        <v>0</v>
      </c>
      <c r="O502" s="1">
        <f t="shared" si="274"/>
        <v>0</v>
      </c>
      <c r="P502" s="1">
        <f t="shared" si="293"/>
        <v>0</v>
      </c>
      <c r="Q502" s="3" t="str">
        <f t="shared" si="273"/>
        <v/>
      </c>
      <c r="R502" s="11">
        <f t="shared" si="294"/>
        <v>1022</v>
      </c>
      <c r="T502" s="13" t="str">
        <f t="shared" si="283"/>
        <v/>
      </c>
      <c r="U502" s="14" t="str">
        <f t="shared" si="284"/>
        <v/>
      </c>
      <c r="V502" s="13" t="str">
        <f t="shared" si="285"/>
        <v/>
      </c>
      <c r="W502" s="13" t="str">
        <f t="shared" si="286"/>
        <v/>
      </c>
      <c r="X502" s="14" t="str">
        <f t="shared" si="287"/>
        <v/>
      </c>
    </row>
    <row r="503" spans="2:24" x14ac:dyDescent="0.3">
      <c r="B503" s="1">
        <f t="shared" si="275"/>
        <v>0</v>
      </c>
      <c r="C503" s="1">
        <f t="shared" si="276"/>
        <v>0</v>
      </c>
      <c r="D503" s="10">
        <f t="shared" si="277"/>
        <v>0</v>
      </c>
      <c r="E503" s="1">
        <f t="shared" si="278"/>
        <v>0</v>
      </c>
      <c r="F503" s="1">
        <f t="shared" si="279"/>
        <v>0</v>
      </c>
      <c r="G503" s="1">
        <f t="shared" si="280"/>
        <v>0</v>
      </c>
      <c r="H503" s="1">
        <f t="shared" si="288"/>
        <v>0</v>
      </c>
      <c r="I503" s="10">
        <f t="shared" si="281"/>
        <v>0</v>
      </c>
      <c r="J503" s="1">
        <f t="shared" si="289"/>
        <v>0</v>
      </c>
      <c r="K503" s="1">
        <f t="shared" si="290"/>
        <v>0</v>
      </c>
      <c r="L503" s="1" t="str">
        <f t="shared" si="291"/>
        <v>0</v>
      </c>
      <c r="M503" s="10">
        <f t="shared" si="292"/>
        <v>0</v>
      </c>
      <c r="N503" s="1">
        <f t="shared" si="282"/>
        <v>0</v>
      </c>
      <c r="O503" s="1">
        <f t="shared" si="274"/>
        <v>0</v>
      </c>
      <c r="P503" s="1">
        <f t="shared" si="293"/>
        <v>0</v>
      </c>
      <c r="Q503" s="3" t="str">
        <f t="shared" si="273"/>
        <v/>
      </c>
      <c r="R503" s="11">
        <f t="shared" si="294"/>
        <v>1022</v>
      </c>
      <c r="T503" s="13" t="str">
        <f t="shared" si="283"/>
        <v/>
      </c>
      <c r="U503" s="14" t="str">
        <f t="shared" si="284"/>
        <v/>
      </c>
      <c r="V503" s="13" t="str">
        <f t="shared" si="285"/>
        <v/>
      </c>
      <c r="W503" s="13" t="str">
        <f t="shared" si="286"/>
        <v/>
      </c>
      <c r="X503" s="14" t="str">
        <f t="shared" si="287"/>
        <v/>
      </c>
    </row>
    <row r="504" spans="2:24" x14ac:dyDescent="0.3">
      <c r="B504" s="1">
        <f t="shared" si="275"/>
        <v>0</v>
      </c>
      <c r="C504" s="1">
        <f t="shared" si="276"/>
        <v>0</v>
      </c>
      <c r="D504" s="10">
        <f t="shared" si="277"/>
        <v>0</v>
      </c>
      <c r="E504" s="1">
        <f t="shared" si="278"/>
        <v>0</v>
      </c>
      <c r="F504" s="1">
        <f t="shared" si="279"/>
        <v>0</v>
      </c>
      <c r="G504" s="1">
        <f t="shared" si="280"/>
        <v>0</v>
      </c>
      <c r="H504" s="1">
        <f t="shared" si="288"/>
        <v>0</v>
      </c>
      <c r="I504" s="10">
        <f t="shared" si="281"/>
        <v>0</v>
      </c>
      <c r="J504" s="1">
        <f t="shared" si="289"/>
        <v>0</v>
      </c>
      <c r="K504" s="1">
        <f t="shared" si="290"/>
        <v>0</v>
      </c>
      <c r="L504" s="1" t="str">
        <f t="shared" si="291"/>
        <v>0</v>
      </c>
      <c r="M504" s="10">
        <f t="shared" si="292"/>
        <v>0</v>
      </c>
      <c r="N504" s="1">
        <f t="shared" si="282"/>
        <v>0</v>
      </c>
      <c r="O504" s="1">
        <f t="shared" si="274"/>
        <v>0</v>
      </c>
      <c r="P504" s="1">
        <f t="shared" si="293"/>
        <v>0</v>
      </c>
      <c r="Q504" s="3" t="str">
        <f t="shared" si="273"/>
        <v/>
      </c>
      <c r="R504" s="11">
        <f t="shared" si="294"/>
        <v>1022</v>
      </c>
      <c r="T504" s="13" t="str">
        <f t="shared" si="283"/>
        <v/>
      </c>
      <c r="U504" s="14" t="str">
        <f t="shared" si="284"/>
        <v/>
      </c>
      <c r="V504" s="13" t="str">
        <f t="shared" si="285"/>
        <v/>
      </c>
      <c r="W504" s="13" t="str">
        <f t="shared" si="286"/>
        <v/>
      </c>
      <c r="X504" s="14" t="str">
        <f t="shared" si="287"/>
        <v/>
      </c>
    </row>
    <row r="505" spans="2:24" x14ac:dyDescent="0.3">
      <c r="B505" s="1">
        <f t="shared" si="275"/>
        <v>0</v>
      </c>
      <c r="C505" s="1">
        <f t="shared" si="276"/>
        <v>0</v>
      </c>
      <c r="D505" s="10">
        <f t="shared" si="277"/>
        <v>0</v>
      </c>
      <c r="E505" s="1">
        <f t="shared" si="278"/>
        <v>0</v>
      </c>
      <c r="F505" s="1">
        <f t="shared" si="279"/>
        <v>0</v>
      </c>
      <c r="G505" s="1">
        <f t="shared" si="280"/>
        <v>0</v>
      </c>
      <c r="H505" s="1">
        <f t="shared" si="288"/>
        <v>0</v>
      </c>
      <c r="I505" s="10">
        <f t="shared" si="281"/>
        <v>0</v>
      </c>
      <c r="J505" s="1">
        <f t="shared" si="289"/>
        <v>0</v>
      </c>
      <c r="K505" s="1">
        <f t="shared" si="290"/>
        <v>0</v>
      </c>
      <c r="L505" s="1" t="str">
        <f t="shared" si="291"/>
        <v>0</v>
      </c>
      <c r="M505" s="10">
        <f t="shared" si="292"/>
        <v>0</v>
      </c>
      <c r="N505" s="1">
        <f t="shared" si="282"/>
        <v>0</v>
      </c>
      <c r="O505" s="1">
        <f t="shared" si="274"/>
        <v>0</v>
      </c>
      <c r="P505" s="1">
        <f t="shared" si="293"/>
        <v>0</v>
      </c>
      <c r="Q505" s="3" t="str">
        <f t="shared" si="273"/>
        <v/>
      </c>
      <c r="R505" s="11">
        <f t="shared" si="294"/>
        <v>1022</v>
      </c>
      <c r="T505" s="13" t="str">
        <f t="shared" si="283"/>
        <v/>
      </c>
      <c r="U505" s="14" t="str">
        <f t="shared" si="284"/>
        <v/>
      </c>
      <c r="V505" s="13" t="str">
        <f t="shared" si="285"/>
        <v/>
      </c>
      <c r="W505" s="13" t="str">
        <f t="shared" si="286"/>
        <v/>
      </c>
      <c r="X505" s="14" t="str">
        <f t="shared" si="287"/>
        <v/>
      </c>
    </row>
    <row r="506" spans="2:24" x14ac:dyDescent="0.3">
      <c r="B506" s="1">
        <f t="shared" si="275"/>
        <v>0</v>
      </c>
      <c r="C506" s="1">
        <f t="shared" si="276"/>
        <v>0</v>
      </c>
      <c r="D506" s="10">
        <f t="shared" si="277"/>
        <v>0</v>
      </c>
      <c r="E506" s="1">
        <f t="shared" si="278"/>
        <v>0</v>
      </c>
      <c r="F506" s="1">
        <f t="shared" si="279"/>
        <v>0</v>
      </c>
      <c r="G506" s="1">
        <f t="shared" si="280"/>
        <v>0</v>
      </c>
      <c r="H506" s="1">
        <f t="shared" si="288"/>
        <v>0</v>
      </c>
      <c r="I506" s="10">
        <f t="shared" si="281"/>
        <v>0</v>
      </c>
      <c r="J506" s="1">
        <f t="shared" si="289"/>
        <v>0</v>
      </c>
      <c r="K506" s="1">
        <f t="shared" si="290"/>
        <v>0</v>
      </c>
      <c r="L506" s="1" t="str">
        <f t="shared" si="291"/>
        <v>0</v>
      </c>
      <c r="M506" s="10">
        <f t="shared" si="292"/>
        <v>0</v>
      </c>
      <c r="N506" s="1">
        <f t="shared" si="282"/>
        <v>0</v>
      </c>
      <c r="O506" s="1">
        <f t="shared" si="274"/>
        <v>0</v>
      </c>
      <c r="P506" s="1">
        <f t="shared" si="293"/>
        <v>0</v>
      </c>
      <c r="Q506" s="3" t="str">
        <f t="shared" si="273"/>
        <v/>
      </c>
      <c r="R506" s="11">
        <f t="shared" si="294"/>
        <v>1022</v>
      </c>
      <c r="T506" s="13" t="str">
        <f t="shared" si="283"/>
        <v/>
      </c>
      <c r="U506" s="14" t="str">
        <f t="shared" si="284"/>
        <v/>
      </c>
      <c r="V506" s="13" t="str">
        <f t="shared" si="285"/>
        <v/>
      </c>
      <c r="W506" s="13" t="str">
        <f t="shared" si="286"/>
        <v/>
      </c>
      <c r="X506" s="14" t="str">
        <f t="shared" si="287"/>
        <v/>
      </c>
    </row>
    <row r="507" spans="2:24" x14ac:dyDescent="0.3">
      <c r="B507" s="1">
        <f t="shared" si="275"/>
        <v>0</v>
      </c>
      <c r="C507" s="1">
        <f t="shared" si="276"/>
        <v>0</v>
      </c>
      <c r="D507" s="10">
        <f t="shared" si="277"/>
        <v>0</v>
      </c>
      <c r="E507" s="1">
        <f t="shared" si="278"/>
        <v>0</v>
      </c>
      <c r="F507" s="1">
        <f t="shared" si="279"/>
        <v>0</v>
      </c>
      <c r="G507" s="1">
        <f t="shared" si="280"/>
        <v>0</v>
      </c>
      <c r="H507" s="1">
        <f t="shared" si="288"/>
        <v>0</v>
      </c>
      <c r="I507" s="10">
        <f t="shared" si="281"/>
        <v>0</v>
      </c>
      <c r="J507" s="1">
        <f t="shared" si="289"/>
        <v>0</v>
      </c>
      <c r="K507" s="1">
        <f t="shared" si="290"/>
        <v>0</v>
      </c>
      <c r="L507" s="1" t="str">
        <f t="shared" si="291"/>
        <v>0</v>
      </c>
      <c r="M507" s="10">
        <f t="shared" si="292"/>
        <v>0</v>
      </c>
      <c r="N507" s="1">
        <f t="shared" si="282"/>
        <v>0</v>
      </c>
      <c r="O507" s="1">
        <f t="shared" si="274"/>
        <v>0</v>
      </c>
      <c r="P507" s="1">
        <f t="shared" si="293"/>
        <v>0</v>
      </c>
      <c r="Q507" s="3" t="str">
        <f t="shared" si="273"/>
        <v/>
      </c>
      <c r="R507" s="11">
        <f t="shared" si="294"/>
        <v>1022</v>
      </c>
      <c r="T507" s="13" t="str">
        <f t="shared" si="283"/>
        <v/>
      </c>
      <c r="U507" s="14" t="str">
        <f t="shared" si="284"/>
        <v/>
      </c>
      <c r="V507" s="13" t="str">
        <f t="shared" si="285"/>
        <v/>
      </c>
      <c r="W507" s="13" t="str">
        <f t="shared" si="286"/>
        <v/>
      </c>
      <c r="X507" s="14" t="str">
        <f t="shared" si="287"/>
        <v/>
      </c>
    </row>
    <row r="508" spans="2:24" x14ac:dyDescent="0.3">
      <c r="B508" s="1">
        <f t="shared" si="275"/>
        <v>0</v>
      </c>
      <c r="C508" s="1">
        <f t="shared" si="276"/>
        <v>0</v>
      </c>
      <c r="D508" s="10">
        <f t="shared" si="277"/>
        <v>0</v>
      </c>
      <c r="E508" s="1">
        <f t="shared" si="278"/>
        <v>0</v>
      </c>
      <c r="F508" s="1">
        <f t="shared" si="279"/>
        <v>0</v>
      </c>
      <c r="G508" s="1">
        <f t="shared" si="280"/>
        <v>0</v>
      </c>
      <c r="H508" s="1">
        <f t="shared" si="288"/>
        <v>0</v>
      </c>
      <c r="I508" s="10">
        <f t="shared" si="281"/>
        <v>0</v>
      </c>
      <c r="J508" s="1">
        <f t="shared" si="289"/>
        <v>0</v>
      </c>
      <c r="K508" s="1">
        <f t="shared" si="290"/>
        <v>0</v>
      </c>
      <c r="L508" s="1" t="str">
        <f t="shared" si="291"/>
        <v>0</v>
      </c>
      <c r="M508" s="10">
        <f t="shared" si="292"/>
        <v>0</v>
      </c>
      <c r="N508" s="1">
        <f t="shared" si="282"/>
        <v>0</v>
      </c>
      <c r="O508" s="1">
        <f t="shared" si="274"/>
        <v>0</v>
      </c>
      <c r="P508" s="1">
        <f t="shared" si="293"/>
        <v>0</v>
      </c>
      <c r="Q508" s="3" t="str">
        <f t="shared" si="273"/>
        <v/>
      </c>
      <c r="R508" s="11">
        <f t="shared" si="294"/>
        <v>1022</v>
      </c>
      <c r="T508" s="13" t="str">
        <f t="shared" si="283"/>
        <v/>
      </c>
      <c r="U508" s="14" t="str">
        <f t="shared" si="284"/>
        <v/>
      </c>
      <c r="V508" s="13" t="str">
        <f t="shared" si="285"/>
        <v/>
      </c>
      <c r="W508" s="13" t="str">
        <f t="shared" si="286"/>
        <v/>
      </c>
      <c r="X508" s="14" t="str">
        <f t="shared" si="287"/>
        <v/>
      </c>
    </row>
    <row r="509" spans="2:24" x14ac:dyDescent="0.3">
      <c r="B509" s="1">
        <f t="shared" si="275"/>
        <v>0</v>
      </c>
      <c r="C509" s="1">
        <f t="shared" si="276"/>
        <v>0</v>
      </c>
      <c r="D509" s="10">
        <f t="shared" si="277"/>
        <v>0</v>
      </c>
      <c r="E509" s="1">
        <f t="shared" si="278"/>
        <v>0</v>
      </c>
      <c r="F509" s="1">
        <f t="shared" si="279"/>
        <v>0</v>
      </c>
      <c r="G509" s="1">
        <f t="shared" si="280"/>
        <v>0</v>
      </c>
      <c r="H509" s="1">
        <f t="shared" si="288"/>
        <v>0</v>
      </c>
      <c r="I509" s="10">
        <f t="shared" si="281"/>
        <v>0</v>
      </c>
      <c r="J509" s="1">
        <f t="shared" si="289"/>
        <v>0</v>
      </c>
      <c r="K509" s="1">
        <f t="shared" si="290"/>
        <v>0</v>
      </c>
      <c r="L509" s="1" t="str">
        <f t="shared" si="291"/>
        <v>0</v>
      </c>
      <c r="M509" s="10">
        <f t="shared" si="292"/>
        <v>0</v>
      </c>
      <c r="N509" s="1">
        <f t="shared" si="282"/>
        <v>0</v>
      </c>
      <c r="O509" s="1">
        <f t="shared" si="274"/>
        <v>0</v>
      </c>
      <c r="P509" s="1">
        <f t="shared" si="293"/>
        <v>0</v>
      </c>
      <c r="Q509" s="3" t="str">
        <f t="shared" si="273"/>
        <v/>
      </c>
      <c r="R509" s="11">
        <f t="shared" si="294"/>
        <v>1022</v>
      </c>
      <c r="T509" s="13" t="str">
        <f t="shared" si="283"/>
        <v/>
      </c>
      <c r="U509" s="14" t="str">
        <f t="shared" si="284"/>
        <v/>
      </c>
      <c r="V509" s="13" t="str">
        <f t="shared" si="285"/>
        <v/>
      </c>
      <c r="W509" s="13" t="str">
        <f t="shared" si="286"/>
        <v/>
      </c>
      <c r="X509" s="14" t="str">
        <f t="shared" si="287"/>
        <v/>
      </c>
    </row>
    <row r="510" spans="2:24" x14ac:dyDescent="0.3">
      <c r="B510" s="1">
        <f t="shared" si="275"/>
        <v>0</v>
      </c>
      <c r="C510" s="1">
        <f t="shared" si="276"/>
        <v>0</v>
      </c>
      <c r="D510" s="10">
        <f t="shared" si="277"/>
        <v>0</v>
      </c>
      <c r="E510" s="1">
        <f t="shared" si="278"/>
        <v>0</v>
      </c>
      <c r="F510" s="1">
        <f t="shared" si="279"/>
        <v>0</v>
      </c>
      <c r="G510" s="1">
        <f t="shared" si="280"/>
        <v>0</v>
      </c>
      <c r="H510" s="1">
        <f t="shared" si="288"/>
        <v>0</v>
      </c>
      <c r="I510" s="10">
        <f t="shared" si="281"/>
        <v>0</v>
      </c>
      <c r="J510" s="1">
        <f t="shared" si="289"/>
        <v>0</v>
      </c>
      <c r="K510" s="1">
        <f t="shared" si="290"/>
        <v>0</v>
      </c>
      <c r="L510" s="1" t="str">
        <f t="shared" si="291"/>
        <v>0</v>
      </c>
      <c r="M510" s="10">
        <f t="shared" si="292"/>
        <v>0</v>
      </c>
      <c r="N510" s="1">
        <f t="shared" si="282"/>
        <v>0</v>
      </c>
      <c r="O510" s="1">
        <f t="shared" si="274"/>
        <v>0</v>
      </c>
      <c r="P510" s="1">
        <f t="shared" si="293"/>
        <v>0</v>
      </c>
      <c r="Q510" s="3" t="str">
        <f t="shared" si="273"/>
        <v/>
      </c>
      <c r="R510" s="11">
        <f t="shared" si="294"/>
        <v>1022</v>
      </c>
      <c r="T510" s="13" t="str">
        <f t="shared" si="283"/>
        <v/>
      </c>
      <c r="U510" s="14" t="str">
        <f t="shared" si="284"/>
        <v/>
      </c>
      <c r="V510" s="13" t="str">
        <f t="shared" si="285"/>
        <v/>
      </c>
      <c r="W510" s="13" t="str">
        <f t="shared" si="286"/>
        <v/>
      </c>
      <c r="X510" s="14" t="str">
        <f t="shared" si="287"/>
        <v/>
      </c>
    </row>
    <row r="511" spans="2:24" x14ac:dyDescent="0.3">
      <c r="B511" s="1">
        <f t="shared" si="275"/>
        <v>0</v>
      </c>
      <c r="C511" s="1">
        <f t="shared" si="276"/>
        <v>0</v>
      </c>
      <c r="D511" s="10">
        <f t="shared" si="277"/>
        <v>0</v>
      </c>
      <c r="E511" s="1">
        <f t="shared" si="278"/>
        <v>0</v>
      </c>
      <c r="F511" s="1">
        <f t="shared" si="279"/>
        <v>0</v>
      </c>
      <c r="G511" s="1">
        <f t="shared" si="280"/>
        <v>0</v>
      </c>
      <c r="H511" s="1">
        <f t="shared" si="288"/>
        <v>0</v>
      </c>
      <c r="I511" s="10">
        <f t="shared" si="281"/>
        <v>0</v>
      </c>
      <c r="J511" s="1">
        <f t="shared" si="289"/>
        <v>0</v>
      </c>
      <c r="K511" s="1">
        <f t="shared" si="290"/>
        <v>0</v>
      </c>
      <c r="L511" s="1" t="str">
        <f t="shared" si="291"/>
        <v>0</v>
      </c>
      <c r="M511" s="10">
        <f t="shared" si="292"/>
        <v>0</v>
      </c>
      <c r="N511" s="1">
        <f t="shared" si="282"/>
        <v>0</v>
      </c>
      <c r="O511" s="1">
        <f t="shared" si="274"/>
        <v>0</v>
      </c>
      <c r="P511" s="1">
        <f t="shared" si="293"/>
        <v>0</v>
      </c>
      <c r="Q511" s="3" t="str">
        <f t="shared" si="273"/>
        <v/>
      </c>
      <c r="R511" s="11">
        <f t="shared" si="294"/>
        <v>1022</v>
      </c>
      <c r="T511" s="13" t="str">
        <f t="shared" si="283"/>
        <v/>
      </c>
      <c r="U511" s="14" t="str">
        <f t="shared" si="284"/>
        <v/>
      </c>
      <c r="V511" s="13" t="str">
        <f t="shared" si="285"/>
        <v/>
      </c>
      <c r="W511" s="13" t="str">
        <f t="shared" si="286"/>
        <v/>
      </c>
      <c r="X511" s="14" t="str">
        <f t="shared" si="287"/>
        <v/>
      </c>
    </row>
    <row r="512" spans="2:24" x14ac:dyDescent="0.3">
      <c r="B512" s="1">
        <f t="shared" si="275"/>
        <v>0</v>
      </c>
      <c r="C512" s="1">
        <f t="shared" si="276"/>
        <v>0</v>
      </c>
      <c r="D512" s="10">
        <f t="shared" si="277"/>
        <v>0</v>
      </c>
      <c r="E512" s="1">
        <f t="shared" si="278"/>
        <v>0</v>
      </c>
      <c r="F512" s="1">
        <f t="shared" si="279"/>
        <v>0</v>
      </c>
      <c r="G512" s="1">
        <f t="shared" si="280"/>
        <v>0</v>
      </c>
      <c r="H512" s="1">
        <f t="shared" si="288"/>
        <v>0</v>
      </c>
      <c r="I512" s="10">
        <f t="shared" si="281"/>
        <v>0</v>
      </c>
      <c r="J512" s="1">
        <f t="shared" si="289"/>
        <v>0</v>
      </c>
      <c r="K512" s="1">
        <f t="shared" si="290"/>
        <v>0</v>
      </c>
      <c r="L512" s="1" t="str">
        <f t="shared" si="291"/>
        <v>0</v>
      </c>
      <c r="M512" s="10">
        <f t="shared" si="292"/>
        <v>0</v>
      </c>
      <c r="N512" s="1">
        <f t="shared" si="282"/>
        <v>0</v>
      </c>
      <c r="O512" s="1">
        <f t="shared" si="274"/>
        <v>0</v>
      </c>
      <c r="P512" s="1">
        <f t="shared" si="293"/>
        <v>0</v>
      </c>
      <c r="Q512" s="3" t="str">
        <f t="shared" si="273"/>
        <v/>
      </c>
      <c r="R512" s="11">
        <f t="shared" si="294"/>
        <v>1022</v>
      </c>
      <c r="T512" s="13" t="str">
        <f t="shared" si="283"/>
        <v/>
      </c>
      <c r="U512" s="14" t="str">
        <f t="shared" si="284"/>
        <v/>
      </c>
      <c r="V512" s="13" t="str">
        <f t="shared" si="285"/>
        <v/>
      </c>
      <c r="W512" s="13" t="str">
        <f t="shared" si="286"/>
        <v/>
      </c>
      <c r="X512" s="14" t="str">
        <f t="shared" si="287"/>
        <v/>
      </c>
    </row>
    <row r="513" spans="2:24" x14ac:dyDescent="0.3">
      <c r="B513" s="1">
        <f t="shared" si="275"/>
        <v>0</v>
      </c>
      <c r="C513" s="1">
        <f t="shared" si="276"/>
        <v>0</v>
      </c>
      <c r="D513" s="10">
        <f t="shared" si="277"/>
        <v>0</v>
      </c>
      <c r="E513" s="1">
        <f t="shared" si="278"/>
        <v>0</v>
      </c>
      <c r="F513" s="1">
        <f t="shared" si="279"/>
        <v>0</v>
      </c>
      <c r="G513" s="1">
        <f t="shared" si="280"/>
        <v>0</v>
      </c>
      <c r="H513" s="1">
        <f t="shared" si="288"/>
        <v>0</v>
      </c>
      <c r="I513" s="10">
        <f t="shared" si="281"/>
        <v>0</v>
      </c>
      <c r="J513" s="1">
        <f t="shared" si="289"/>
        <v>0</v>
      </c>
      <c r="K513" s="1">
        <f t="shared" si="290"/>
        <v>0</v>
      </c>
      <c r="L513" s="1" t="str">
        <f t="shared" si="291"/>
        <v>0</v>
      </c>
      <c r="M513" s="10">
        <f t="shared" si="292"/>
        <v>0</v>
      </c>
      <c r="N513" s="1">
        <f t="shared" si="282"/>
        <v>0</v>
      </c>
      <c r="O513" s="1">
        <f t="shared" si="274"/>
        <v>0</v>
      </c>
      <c r="P513" s="1">
        <f t="shared" si="293"/>
        <v>0</v>
      </c>
      <c r="Q513" s="3" t="str">
        <f t="shared" si="273"/>
        <v/>
      </c>
      <c r="R513" s="11">
        <f t="shared" si="294"/>
        <v>1022</v>
      </c>
      <c r="T513" s="13" t="str">
        <f t="shared" si="283"/>
        <v/>
      </c>
      <c r="U513" s="14" t="str">
        <f t="shared" si="284"/>
        <v/>
      </c>
      <c r="V513" s="13" t="str">
        <f t="shared" si="285"/>
        <v/>
      </c>
      <c r="W513" s="13" t="str">
        <f t="shared" si="286"/>
        <v/>
      </c>
      <c r="X513" s="14" t="str">
        <f t="shared" si="287"/>
        <v/>
      </c>
    </row>
    <row r="514" spans="2:24" x14ac:dyDescent="0.3">
      <c r="B514" s="1">
        <f t="shared" si="275"/>
        <v>0</v>
      </c>
      <c r="C514" s="1">
        <f t="shared" si="276"/>
        <v>0</v>
      </c>
      <c r="D514" s="10">
        <f t="shared" si="277"/>
        <v>0</v>
      </c>
      <c r="E514" s="1">
        <f t="shared" si="278"/>
        <v>0</v>
      </c>
      <c r="F514" s="1">
        <f t="shared" si="279"/>
        <v>0</v>
      </c>
      <c r="G514" s="1">
        <f t="shared" si="280"/>
        <v>0</v>
      </c>
      <c r="H514" s="1">
        <f t="shared" si="288"/>
        <v>0</v>
      </c>
      <c r="I514" s="10">
        <f t="shared" si="281"/>
        <v>0</v>
      </c>
      <c r="J514" s="1">
        <f t="shared" si="289"/>
        <v>0</v>
      </c>
      <c r="K514" s="1">
        <f t="shared" si="290"/>
        <v>0</v>
      </c>
      <c r="L514" s="1" t="str">
        <f t="shared" si="291"/>
        <v>0</v>
      </c>
      <c r="M514" s="10">
        <f t="shared" si="292"/>
        <v>0</v>
      </c>
      <c r="N514" s="1">
        <f t="shared" si="282"/>
        <v>0</v>
      </c>
      <c r="O514" s="1">
        <f t="shared" si="274"/>
        <v>0</v>
      </c>
      <c r="P514" s="1">
        <f t="shared" si="293"/>
        <v>0</v>
      </c>
      <c r="Q514" s="3" t="str">
        <f t="shared" si="273"/>
        <v/>
      </c>
      <c r="R514" s="11">
        <f t="shared" si="294"/>
        <v>1022</v>
      </c>
      <c r="T514" s="13" t="str">
        <f t="shared" si="283"/>
        <v/>
      </c>
      <c r="U514" s="14" t="str">
        <f t="shared" si="284"/>
        <v/>
      </c>
      <c r="V514" s="13" t="str">
        <f t="shared" si="285"/>
        <v/>
      </c>
      <c r="W514" s="13" t="str">
        <f t="shared" si="286"/>
        <v/>
      </c>
      <c r="X514" s="14" t="str">
        <f t="shared" si="287"/>
        <v/>
      </c>
    </row>
    <row r="515" spans="2:24" x14ac:dyDescent="0.3">
      <c r="B515" s="1">
        <f t="shared" si="275"/>
        <v>0</v>
      </c>
      <c r="C515" s="1">
        <f t="shared" si="276"/>
        <v>0</v>
      </c>
      <c r="D515" s="10">
        <f t="shared" si="277"/>
        <v>0</v>
      </c>
      <c r="E515" s="1">
        <f t="shared" si="278"/>
        <v>0</v>
      </c>
      <c r="F515" s="1">
        <f t="shared" si="279"/>
        <v>0</v>
      </c>
      <c r="G515" s="1">
        <f t="shared" si="280"/>
        <v>0</v>
      </c>
      <c r="H515" s="1">
        <f t="shared" si="288"/>
        <v>0</v>
      </c>
      <c r="I515" s="10">
        <f t="shared" si="281"/>
        <v>0</v>
      </c>
      <c r="J515" s="1">
        <f t="shared" si="289"/>
        <v>0</v>
      </c>
      <c r="K515" s="1">
        <f t="shared" si="290"/>
        <v>0</v>
      </c>
      <c r="L515" s="1" t="str">
        <f t="shared" si="291"/>
        <v>0</v>
      </c>
      <c r="M515" s="10">
        <f t="shared" si="292"/>
        <v>0</v>
      </c>
      <c r="N515" s="1">
        <f t="shared" si="282"/>
        <v>0</v>
      </c>
      <c r="O515" s="1">
        <f t="shared" si="274"/>
        <v>0</v>
      </c>
      <c r="P515" s="1">
        <f t="shared" si="293"/>
        <v>0</v>
      </c>
      <c r="Q515" s="3" t="str">
        <f t="shared" si="273"/>
        <v/>
      </c>
      <c r="R515" s="11">
        <f t="shared" si="294"/>
        <v>1022</v>
      </c>
      <c r="T515" s="13" t="str">
        <f t="shared" si="283"/>
        <v/>
      </c>
      <c r="U515" s="14" t="str">
        <f t="shared" si="284"/>
        <v/>
      </c>
      <c r="V515" s="13" t="str">
        <f t="shared" si="285"/>
        <v/>
      </c>
      <c r="W515" s="13" t="str">
        <f t="shared" si="286"/>
        <v/>
      </c>
      <c r="X515" s="14" t="str">
        <f t="shared" si="287"/>
        <v/>
      </c>
    </row>
    <row r="516" spans="2:24" x14ac:dyDescent="0.3">
      <c r="B516" s="1">
        <f t="shared" si="275"/>
        <v>0</v>
      </c>
      <c r="C516" s="1">
        <f t="shared" si="276"/>
        <v>0</v>
      </c>
      <c r="D516" s="10">
        <f t="shared" si="277"/>
        <v>0</v>
      </c>
      <c r="E516" s="1">
        <f t="shared" si="278"/>
        <v>0</v>
      </c>
      <c r="F516" s="1">
        <f t="shared" si="279"/>
        <v>0</v>
      </c>
      <c r="G516" s="1">
        <f t="shared" si="280"/>
        <v>0</v>
      </c>
      <c r="H516" s="1">
        <f t="shared" si="288"/>
        <v>0</v>
      </c>
      <c r="I516" s="10">
        <f t="shared" si="281"/>
        <v>0</v>
      </c>
      <c r="J516" s="1">
        <f t="shared" si="289"/>
        <v>0</v>
      </c>
      <c r="K516" s="1">
        <f t="shared" si="290"/>
        <v>0</v>
      </c>
      <c r="L516" s="1" t="str">
        <f t="shared" si="291"/>
        <v>0</v>
      </c>
      <c r="M516" s="10">
        <f t="shared" si="292"/>
        <v>0</v>
      </c>
      <c r="N516" s="1">
        <f t="shared" si="282"/>
        <v>0</v>
      </c>
      <c r="O516" s="1">
        <f t="shared" si="274"/>
        <v>0</v>
      </c>
      <c r="P516" s="1">
        <f t="shared" si="293"/>
        <v>0</v>
      </c>
      <c r="Q516" s="3" t="str">
        <f t="shared" ref="Q516:Q579" si="295">IF($N516&gt;0,MID($A516,($N516+$O516),$P516-($N516+$O516)),"")</f>
        <v/>
      </c>
      <c r="R516" s="11">
        <f t="shared" si="294"/>
        <v>1022</v>
      </c>
      <c r="T516" s="13" t="str">
        <f t="shared" si="283"/>
        <v/>
      </c>
      <c r="U516" s="14" t="str">
        <f t="shared" si="284"/>
        <v/>
      </c>
      <c r="V516" s="13" t="str">
        <f t="shared" si="285"/>
        <v/>
      </c>
      <c r="W516" s="13" t="str">
        <f t="shared" si="286"/>
        <v/>
      </c>
      <c r="X516" s="14" t="str">
        <f t="shared" si="287"/>
        <v/>
      </c>
    </row>
    <row r="517" spans="2:24" x14ac:dyDescent="0.3">
      <c r="B517" s="1">
        <f t="shared" si="275"/>
        <v>0</v>
      </c>
      <c r="C517" s="1">
        <f t="shared" si="276"/>
        <v>0</v>
      </c>
      <c r="D517" s="10">
        <f t="shared" si="277"/>
        <v>0</v>
      </c>
      <c r="E517" s="1">
        <f t="shared" si="278"/>
        <v>0</v>
      </c>
      <c r="F517" s="1">
        <f t="shared" si="279"/>
        <v>0</v>
      </c>
      <c r="G517" s="1">
        <f t="shared" si="280"/>
        <v>0</v>
      </c>
      <c r="H517" s="1">
        <f t="shared" si="288"/>
        <v>0</v>
      </c>
      <c r="I517" s="10">
        <f t="shared" si="281"/>
        <v>0</v>
      </c>
      <c r="J517" s="1">
        <f t="shared" si="289"/>
        <v>0</v>
      </c>
      <c r="K517" s="1">
        <f t="shared" si="290"/>
        <v>0</v>
      </c>
      <c r="L517" s="1" t="str">
        <f t="shared" si="291"/>
        <v>0</v>
      </c>
      <c r="M517" s="10">
        <f t="shared" si="292"/>
        <v>0</v>
      </c>
      <c r="N517" s="1">
        <f t="shared" si="282"/>
        <v>0</v>
      </c>
      <c r="O517" s="1">
        <f t="shared" ref="O517:O580" si="296">IFERROR(FIND("#",$A517)+1-N517,0)</f>
        <v>0</v>
      </c>
      <c r="P517" s="1">
        <f t="shared" si="293"/>
        <v>0</v>
      </c>
      <c r="Q517" s="3" t="str">
        <f t="shared" si="295"/>
        <v/>
      </c>
      <c r="R517" s="11">
        <f t="shared" si="294"/>
        <v>1022</v>
      </c>
      <c r="T517" s="13" t="str">
        <f t="shared" si="283"/>
        <v/>
      </c>
      <c r="U517" s="14" t="str">
        <f t="shared" si="284"/>
        <v/>
      </c>
      <c r="V517" s="13" t="str">
        <f t="shared" si="285"/>
        <v/>
      </c>
      <c r="W517" s="13" t="str">
        <f t="shared" si="286"/>
        <v/>
      </c>
      <c r="X517" s="14" t="str">
        <f t="shared" si="287"/>
        <v/>
      </c>
    </row>
    <row r="518" spans="2:24" x14ac:dyDescent="0.3">
      <c r="B518" s="1">
        <f t="shared" si="275"/>
        <v>0</v>
      </c>
      <c r="C518" s="1">
        <f t="shared" si="276"/>
        <v>0</v>
      </c>
      <c r="D518" s="10">
        <f t="shared" si="277"/>
        <v>0</v>
      </c>
      <c r="E518" s="1">
        <f t="shared" si="278"/>
        <v>0</v>
      </c>
      <c r="F518" s="1">
        <f t="shared" si="279"/>
        <v>0</v>
      </c>
      <c r="G518" s="1">
        <f t="shared" si="280"/>
        <v>0</v>
      </c>
      <c r="H518" s="1">
        <f t="shared" si="288"/>
        <v>0</v>
      </c>
      <c r="I518" s="10">
        <f t="shared" si="281"/>
        <v>0</v>
      </c>
      <c r="J518" s="1">
        <f t="shared" si="289"/>
        <v>0</v>
      </c>
      <c r="K518" s="1">
        <f t="shared" si="290"/>
        <v>0</v>
      </c>
      <c r="L518" s="1" t="str">
        <f t="shared" si="291"/>
        <v>0</v>
      </c>
      <c r="M518" s="10">
        <f t="shared" si="292"/>
        <v>0</v>
      </c>
      <c r="N518" s="1">
        <f t="shared" si="282"/>
        <v>0</v>
      </c>
      <c r="O518" s="1">
        <f t="shared" si="296"/>
        <v>0</v>
      </c>
      <c r="P518" s="1">
        <f t="shared" si="293"/>
        <v>0</v>
      </c>
      <c r="Q518" s="3" t="str">
        <f t="shared" si="295"/>
        <v/>
      </c>
      <c r="R518" s="11">
        <f t="shared" si="294"/>
        <v>1022</v>
      </c>
      <c r="T518" s="13" t="str">
        <f t="shared" si="283"/>
        <v/>
      </c>
      <c r="U518" s="14" t="str">
        <f t="shared" si="284"/>
        <v/>
      </c>
      <c r="V518" s="13" t="str">
        <f t="shared" si="285"/>
        <v/>
      </c>
      <c r="W518" s="13" t="str">
        <f t="shared" si="286"/>
        <v/>
      </c>
      <c r="X518" s="14" t="str">
        <f t="shared" si="287"/>
        <v/>
      </c>
    </row>
    <row r="519" spans="2:24" x14ac:dyDescent="0.3">
      <c r="B519" s="1">
        <f t="shared" ref="B519:B552" si="297">IFERROR(FIND("UP_SET(",$A519)+7,0)</f>
        <v>0</v>
      </c>
      <c r="C519" s="1">
        <f t="shared" ref="C519:C552" si="298">IF($B519&gt;0,FIND(",",$A519,$B519),0)</f>
        <v>0</v>
      </c>
      <c r="D519" s="10">
        <f t="shared" ref="D519:D552" si="299">IF($B519&gt;0,MID($A519,$B519,$C519-$B519),0)</f>
        <v>0</v>
      </c>
      <c r="E519" s="1">
        <f t="shared" ref="E519:E552" si="300">IF($B519&gt;0,FIND("Up",$A519,$C519),0)</f>
        <v>0</v>
      </c>
      <c r="F519" s="1">
        <f t="shared" ref="F519:F552" si="301">IF($B519&gt;0,IFERROR(FIND(",",$A519,$E519),0),0)</f>
        <v>0</v>
      </c>
      <c r="G519" s="1">
        <f t="shared" ref="G519:G552" si="302">IF($B519&gt;0,FIND(")",$A519,$B519),0)</f>
        <v>0</v>
      </c>
      <c r="H519" s="1">
        <f t="shared" si="288"/>
        <v>0</v>
      </c>
      <c r="I519" s="10">
        <f t="shared" ref="I519:I552" si="303">IF($B519&gt;0,MID($A519,$E519,$H519-$E519),0)</f>
        <v>0</v>
      </c>
      <c r="J519" s="1">
        <f t="shared" si="289"/>
        <v>0</v>
      </c>
      <c r="K519" s="1">
        <f t="shared" si="290"/>
        <v>0</v>
      </c>
      <c r="L519" s="1" t="str">
        <f t="shared" si="291"/>
        <v>0</v>
      </c>
      <c r="M519" s="10">
        <f t="shared" si="292"/>
        <v>0</v>
      </c>
      <c r="N519" s="1">
        <f t="shared" ref="N519:N552" si="304">IFERROR(FIND("/*",$A519)+2,0)</f>
        <v>0</v>
      </c>
      <c r="O519" s="1">
        <f t="shared" si="296"/>
        <v>0</v>
      </c>
      <c r="P519" s="1">
        <f t="shared" si="293"/>
        <v>0</v>
      </c>
      <c r="Q519" s="3" t="str">
        <f t="shared" si="295"/>
        <v/>
      </c>
      <c r="R519" s="11">
        <f t="shared" si="294"/>
        <v>1022</v>
      </c>
      <c r="T519" s="13" t="str">
        <f t="shared" si="283"/>
        <v/>
      </c>
      <c r="U519" s="14" t="str">
        <f t="shared" si="284"/>
        <v/>
      </c>
      <c r="V519" s="13" t="str">
        <f t="shared" si="285"/>
        <v/>
      </c>
      <c r="W519" s="13" t="str">
        <f t="shared" si="286"/>
        <v/>
      </c>
      <c r="X519" s="14" t="str">
        <f t="shared" si="287"/>
        <v/>
      </c>
    </row>
    <row r="520" spans="2:24" x14ac:dyDescent="0.3">
      <c r="B520" s="1">
        <f t="shared" si="297"/>
        <v>0</v>
      </c>
      <c r="C520" s="1">
        <f t="shared" si="298"/>
        <v>0</v>
      </c>
      <c r="D520" s="10">
        <f t="shared" si="299"/>
        <v>0</v>
      </c>
      <c r="E520" s="1">
        <f t="shared" si="300"/>
        <v>0</v>
      </c>
      <c r="F520" s="1">
        <f t="shared" si="301"/>
        <v>0</v>
      </c>
      <c r="G520" s="1">
        <f t="shared" si="302"/>
        <v>0</v>
      </c>
      <c r="H520" s="1">
        <f t="shared" si="288"/>
        <v>0</v>
      </c>
      <c r="I520" s="10">
        <f t="shared" si="303"/>
        <v>0</v>
      </c>
      <c r="J520" s="1">
        <f t="shared" si="289"/>
        <v>0</v>
      </c>
      <c r="K520" s="1">
        <f t="shared" si="290"/>
        <v>0</v>
      </c>
      <c r="L520" s="1" t="str">
        <f t="shared" si="291"/>
        <v>0</v>
      </c>
      <c r="M520" s="10">
        <f t="shared" si="292"/>
        <v>0</v>
      </c>
      <c r="N520" s="1">
        <f t="shared" si="304"/>
        <v>0</v>
      </c>
      <c r="O520" s="1">
        <f t="shared" si="296"/>
        <v>0</v>
      </c>
      <c r="P520" s="1">
        <f t="shared" si="293"/>
        <v>0</v>
      </c>
      <c r="Q520" s="3" t="str">
        <f t="shared" si="295"/>
        <v/>
      </c>
      <c r="R520" s="11">
        <f t="shared" si="294"/>
        <v>1022</v>
      </c>
      <c r="T520" s="13" t="str">
        <f t="shared" si="283"/>
        <v/>
      </c>
      <c r="U520" s="14" t="str">
        <f t="shared" si="284"/>
        <v/>
      </c>
      <c r="V520" s="13" t="str">
        <f t="shared" si="285"/>
        <v/>
      </c>
      <c r="W520" s="13" t="str">
        <f t="shared" si="286"/>
        <v/>
      </c>
      <c r="X520" s="14" t="str">
        <f t="shared" si="287"/>
        <v/>
      </c>
    </row>
    <row r="521" spans="2:24" x14ac:dyDescent="0.3">
      <c r="B521" s="1">
        <f t="shared" si="297"/>
        <v>0</v>
      </c>
      <c r="C521" s="1">
        <f t="shared" si="298"/>
        <v>0</v>
      </c>
      <c r="D521" s="10">
        <f t="shared" si="299"/>
        <v>0</v>
      </c>
      <c r="E521" s="1">
        <f t="shared" si="300"/>
        <v>0</v>
      </c>
      <c r="F521" s="1">
        <f t="shared" si="301"/>
        <v>0</v>
      </c>
      <c r="G521" s="1">
        <f t="shared" si="302"/>
        <v>0</v>
      </c>
      <c r="H521" s="1">
        <f t="shared" si="288"/>
        <v>0</v>
      </c>
      <c r="I521" s="10">
        <f t="shared" si="303"/>
        <v>0</v>
      </c>
      <c r="J521" s="1">
        <f t="shared" si="289"/>
        <v>0</v>
      </c>
      <c r="K521" s="1">
        <f t="shared" si="290"/>
        <v>0</v>
      </c>
      <c r="L521" s="1" t="str">
        <f t="shared" si="291"/>
        <v>0</v>
      </c>
      <c r="M521" s="10">
        <f t="shared" si="292"/>
        <v>0</v>
      </c>
      <c r="N521" s="1">
        <f t="shared" si="304"/>
        <v>0</v>
      </c>
      <c r="O521" s="1">
        <f t="shared" si="296"/>
        <v>0</v>
      </c>
      <c r="P521" s="1">
        <f t="shared" si="293"/>
        <v>0</v>
      </c>
      <c r="Q521" s="3" t="str">
        <f t="shared" si="295"/>
        <v/>
      </c>
      <c r="R521" s="11">
        <f t="shared" si="294"/>
        <v>1022</v>
      </c>
      <c r="T521" s="13" t="str">
        <f t="shared" si="283"/>
        <v/>
      </c>
      <c r="U521" s="14" t="str">
        <f t="shared" si="284"/>
        <v/>
      </c>
      <c r="V521" s="13" t="str">
        <f t="shared" si="285"/>
        <v/>
      </c>
      <c r="W521" s="13" t="str">
        <f t="shared" si="286"/>
        <v/>
      </c>
      <c r="X521" s="14" t="str">
        <f t="shared" si="287"/>
        <v/>
      </c>
    </row>
    <row r="522" spans="2:24" x14ac:dyDescent="0.3">
      <c r="B522" s="1">
        <f t="shared" si="297"/>
        <v>0</v>
      </c>
      <c r="C522" s="1">
        <f t="shared" si="298"/>
        <v>0</v>
      </c>
      <c r="D522" s="10">
        <f t="shared" si="299"/>
        <v>0</v>
      </c>
      <c r="E522" s="1">
        <f t="shared" si="300"/>
        <v>0</v>
      </c>
      <c r="F522" s="1">
        <f t="shared" si="301"/>
        <v>0</v>
      </c>
      <c r="G522" s="1">
        <f t="shared" si="302"/>
        <v>0</v>
      </c>
      <c r="H522" s="1">
        <f t="shared" si="288"/>
        <v>0</v>
      </c>
      <c r="I522" s="10">
        <f t="shared" si="303"/>
        <v>0</v>
      </c>
      <c r="J522" s="1">
        <f t="shared" si="289"/>
        <v>0</v>
      </c>
      <c r="K522" s="1">
        <f t="shared" si="290"/>
        <v>0</v>
      </c>
      <c r="L522" s="1" t="str">
        <f t="shared" si="291"/>
        <v>0</v>
      </c>
      <c r="M522" s="10">
        <f t="shared" si="292"/>
        <v>0</v>
      </c>
      <c r="N522" s="1">
        <f t="shared" si="304"/>
        <v>0</v>
      </c>
      <c r="O522" s="1">
        <f t="shared" si="296"/>
        <v>0</v>
      </c>
      <c r="P522" s="1">
        <f t="shared" si="293"/>
        <v>0</v>
      </c>
      <c r="Q522" s="3" t="str">
        <f t="shared" si="295"/>
        <v/>
      </c>
      <c r="R522" s="11">
        <f t="shared" si="294"/>
        <v>1022</v>
      </c>
      <c r="T522" s="13" t="str">
        <f t="shared" si="283"/>
        <v/>
      </c>
      <c r="U522" s="14" t="str">
        <f t="shared" si="284"/>
        <v/>
      </c>
      <c r="V522" s="13" t="str">
        <f t="shared" si="285"/>
        <v/>
      </c>
      <c r="W522" s="13" t="str">
        <f t="shared" si="286"/>
        <v/>
      </c>
      <c r="X522" s="14" t="str">
        <f t="shared" si="287"/>
        <v/>
      </c>
    </row>
    <row r="523" spans="2:24" x14ac:dyDescent="0.3">
      <c r="B523" s="1">
        <f t="shared" si="297"/>
        <v>0</v>
      </c>
      <c r="C523" s="1">
        <f t="shared" si="298"/>
        <v>0</v>
      </c>
      <c r="D523" s="10">
        <f t="shared" si="299"/>
        <v>0</v>
      </c>
      <c r="E523" s="1">
        <f t="shared" si="300"/>
        <v>0</v>
      </c>
      <c r="F523" s="1">
        <f t="shared" si="301"/>
        <v>0</v>
      </c>
      <c r="G523" s="1">
        <f t="shared" si="302"/>
        <v>0</v>
      </c>
      <c r="H523" s="1">
        <f t="shared" si="288"/>
        <v>0</v>
      </c>
      <c r="I523" s="10">
        <f t="shared" si="303"/>
        <v>0</v>
      </c>
      <c r="J523" s="1">
        <f t="shared" si="289"/>
        <v>0</v>
      </c>
      <c r="K523" s="1">
        <f t="shared" si="290"/>
        <v>0</v>
      </c>
      <c r="L523" s="1" t="str">
        <f t="shared" si="291"/>
        <v>0</v>
      </c>
      <c r="M523" s="10">
        <f t="shared" si="292"/>
        <v>0</v>
      </c>
      <c r="N523" s="1">
        <f t="shared" si="304"/>
        <v>0</v>
      </c>
      <c r="O523" s="1">
        <f t="shared" si="296"/>
        <v>0</v>
      </c>
      <c r="P523" s="1">
        <f t="shared" si="293"/>
        <v>0</v>
      </c>
      <c r="Q523" s="3" t="str">
        <f t="shared" si="295"/>
        <v/>
      </c>
      <c r="R523" s="11">
        <f t="shared" si="294"/>
        <v>1022</v>
      </c>
      <c r="T523" s="13" t="str">
        <f t="shared" si="283"/>
        <v/>
      </c>
      <c r="U523" s="14" t="str">
        <f t="shared" si="284"/>
        <v/>
      </c>
      <c r="V523" s="13" t="str">
        <f t="shared" si="285"/>
        <v/>
      </c>
      <c r="W523" s="13" t="str">
        <f t="shared" si="286"/>
        <v/>
      </c>
      <c r="X523" s="14" t="str">
        <f t="shared" si="287"/>
        <v/>
      </c>
    </row>
    <row r="524" spans="2:24" x14ac:dyDescent="0.3">
      <c r="B524" s="1">
        <f t="shared" si="297"/>
        <v>0</v>
      </c>
      <c r="C524" s="1">
        <f t="shared" si="298"/>
        <v>0</v>
      </c>
      <c r="D524" s="10">
        <f t="shared" si="299"/>
        <v>0</v>
      </c>
      <c r="E524" s="1">
        <f t="shared" si="300"/>
        <v>0</v>
      </c>
      <c r="F524" s="1">
        <f t="shared" si="301"/>
        <v>0</v>
      </c>
      <c r="G524" s="1">
        <f t="shared" si="302"/>
        <v>0</v>
      </c>
      <c r="H524" s="1">
        <f t="shared" si="288"/>
        <v>0</v>
      </c>
      <c r="I524" s="10">
        <f t="shared" si="303"/>
        <v>0</v>
      </c>
      <c r="J524" s="1">
        <f t="shared" si="289"/>
        <v>0</v>
      </c>
      <c r="K524" s="1">
        <f t="shared" si="290"/>
        <v>0</v>
      </c>
      <c r="L524" s="1" t="str">
        <f t="shared" si="291"/>
        <v>0</v>
      </c>
      <c r="M524" s="10">
        <f t="shared" si="292"/>
        <v>0</v>
      </c>
      <c r="N524" s="1">
        <f t="shared" si="304"/>
        <v>0</v>
      </c>
      <c r="O524" s="1">
        <f t="shared" si="296"/>
        <v>0</v>
      </c>
      <c r="P524" s="1">
        <f t="shared" si="293"/>
        <v>0</v>
      </c>
      <c r="Q524" s="3" t="str">
        <f t="shared" si="295"/>
        <v/>
      </c>
      <c r="R524" s="11">
        <f t="shared" si="294"/>
        <v>1022</v>
      </c>
      <c r="T524" s="13" t="str">
        <f t="shared" si="283"/>
        <v/>
      </c>
      <c r="U524" s="14" t="str">
        <f t="shared" si="284"/>
        <v/>
      </c>
      <c r="V524" s="13" t="str">
        <f t="shared" si="285"/>
        <v/>
      </c>
      <c r="W524" s="13" t="str">
        <f t="shared" si="286"/>
        <v/>
      </c>
      <c r="X524" s="14" t="str">
        <f t="shared" si="287"/>
        <v/>
      </c>
    </row>
    <row r="525" spans="2:24" x14ac:dyDescent="0.3">
      <c r="B525" s="1">
        <f t="shared" si="297"/>
        <v>0</v>
      </c>
      <c r="C525" s="1">
        <f t="shared" si="298"/>
        <v>0</v>
      </c>
      <c r="D525" s="10">
        <f t="shared" si="299"/>
        <v>0</v>
      </c>
      <c r="E525" s="1">
        <f t="shared" si="300"/>
        <v>0</v>
      </c>
      <c r="F525" s="1">
        <f t="shared" si="301"/>
        <v>0</v>
      </c>
      <c r="G525" s="1">
        <f t="shared" si="302"/>
        <v>0</v>
      </c>
      <c r="H525" s="1">
        <f t="shared" si="288"/>
        <v>0</v>
      </c>
      <c r="I525" s="10">
        <f t="shared" si="303"/>
        <v>0</v>
      </c>
      <c r="J525" s="1">
        <f t="shared" si="289"/>
        <v>0</v>
      </c>
      <c r="K525" s="1">
        <f t="shared" si="290"/>
        <v>0</v>
      </c>
      <c r="L525" s="1" t="str">
        <f t="shared" si="291"/>
        <v>0</v>
      </c>
      <c r="M525" s="10">
        <f t="shared" si="292"/>
        <v>0</v>
      </c>
      <c r="N525" s="1">
        <f t="shared" si="304"/>
        <v>0</v>
      </c>
      <c r="O525" s="1">
        <f t="shared" si="296"/>
        <v>0</v>
      </c>
      <c r="P525" s="1">
        <f t="shared" si="293"/>
        <v>0</v>
      </c>
      <c r="Q525" s="3" t="str">
        <f t="shared" si="295"/>
        <v/>
      </c>
      <c r="R525" s="11">
        <f t="shared" si="294"/>
        <v>1022</v>
      </c>
      <c r="T525" s="13" t="str">
        <f t="shared" si="283"/>
        <v/>
      </c>
      <c r="U525" s="14" t="str">
        <f t="shared" si="284"/>
        <v/>
      </c>
      <c r="V525" s="13" t="str">
        <f t="shared" si="285"/>
        <v/>
      </c>
      <c r="W525" s="13" t="str">
        <f t="shared" si="286"/>
        <v/>
      </c>
      <c r="X525" s="14" t="str">
        <f t="shared" si="287"/>
        <v/>
      </c>
    </row>
    <row r="526" spans="2:24" x14ac:dyDescent="0.3">
      <c r="B526" s="1">
        <f t="shared" si="297"/>
        <v>0</v>
      </c>
      <c r="C526" s="1">
        <f t="shared" si="298"/>
        <v>0</v>
      </c>
      <c r="D526" s="10">
        <f t="shared" si="299"/>
        <v>0</v>
      </c>
      <c r="E526" s="1">
        <f t="shared" si="300"/>
        <v>0</v>
      </c>
      <c r="F526" s="1">
        <f t="shared" si="301"/>
        <v>0</v>
      </c>
      <c r="G526" s="1">
        <f t="shared" si="302"/>
        <v>0</v>
      </c>
      <c r="H526" s="1">
        <f t="shared" si="288"/>
        <v>0</v>
      </c>
      <c r="I526" s="10">
        <f t="shared" si="303"/>
        <v>0</v>
      </c>
      <c r="J526" s="1">
        <f t="shared" si="289"/>
        <v>0</v>
      </c>
      <c r="K526" s="1">
        <f t="shared" si="290"/>
        <v>0</v>
      </c>
      <c r="L526" s="1" t="str">
        <f t="shared" si="291"/>
        <v>0</v>
      </c>
      <c r="M526" s="10">
        <f t="shared" si="292"/>
        <v>0</v>
      </c>
      <c r="N526" s="1">
        <f t="shared" si="304"/>
        <v>0</v>
      </c>
      <c r="O526" s="1">
        <f t="shared" si="296"/>
        <v>0</v>
      </c>
      <c r="P526" s="1">
        <f t="shared" si="293"/>
        <v>0</v>
      </c>
      <c r="Q526" s="3" t="str">
        <f t="shared" si="295"/>
        <v/>
      </c>
      <c r="R526" s="11">
        <f t="shared" si="294"/>
        <v>1022</v>
      </c>
      <c r="T526" s="13" t="str">
        <f t="shared" si="283"/>
        <v/>
      </c>
      <c r="U526" s="14" t="str">
        <f t="shared" si="284"/>
        <v/>
      </c>
      <c r="V526" s="13" t="str">
        <f t="shared" si="285"/>
        <v/>
      </c>
      <c r="W526" s="13" t="str">
        <f t="shared" si="286"/>
        <v/>
      </c>
      <c r="X526" s="14" t="str">
        <f t="shared" si="287"/>
        <v/>
      </c>
    </row>
    <row r="527" spans="2:24" x14ac:dyDescent="0.3">
      <c r="B527" s="1">
        <f t="shared" si="297"/>
        <v>0</v>
      </c>
      <c r="C527" s="1">
        <f t="shared" si="298"/>
        <v>0</v>
      </c>
      <c r="D527" s="10">
        <f t="shared" si="299"/>
        <v>0</v>
      </c>
      <c r="E527" s="1">
        <f t="shared" si="300"/>
        <v>0</v>
      </c>
      <c r="F527" s="1">
        <f t="shared" si="301"/>
        <v>0</v>
      </c>
      <c r="G527" s="1">
        <f t="shared" si="302"/>
        <v>0</v>
      </c>
      <c r="H527" s="1">
        <f t="shared" si="288"/>
        <v>0</v>
      </c>
      <c r="I527" s="10">
        <f t="shared" si="303"/>
        <v>0</v>
      </c>
      <c r="J527" s="1">
        <f t="shared" si="289"/>
        <v>0</v>
      </c>
      <c r="K527" s="1">
        <f t="shared" si="290"/>
        <v>0</v>
      </c>
      <c r="L527" s="1" t="str">
        <f t="shared" si="291"/>
        <v>0</v>
      </c>
      <c r="M527" s="10">
        <f t="shared" si="292"/>
        <v>0</v>
      </c>
      <c r="N527" s="1">
        <f t="shared" si="304"/>
        <v>0</v>
      </c>
      <c r="O527" s="1">
        <f t="shared" si="296"/>
        <v>0</v>
      </c>
      <c r="P527" s="1">
        <f t="shared" si="293"/>
        <v>0</v>
      </c>
      <c r="Q527" s="3" t="str">
        <f t="shared" si="295"/>
        <v/>
      </c>
      <c r="R527" s="11">
        <f t="shared" si="294"/>
        <v>1022</v>
      </c>
      <c r="T527" s="13" t="str">
        <f t="shared" si="283"/>
        <v/>
      </c>
      <c r="U527" s="14" t="str">
        <f t="shared" si="284"/>
        <v/>
      </c>
      <c r="V527" s="13" t="str">
        <f t="shared" si="285"/>
        <v/>
      </c>
      <c r="W527" s="13" t="str">
        <f t="shared" si="286"/>
        <v/>
      </c>
      <c r="X527" s="14" t="str">
        <f t="shared" si="287"/>
        <v/>
      </c>
    </row>
    <row r="528" spans="2:24" x14ac:dyDescent="0.3">
      <c r="B528" s="1">
        <f t="shared" si="297"/>
        <v>0</v>
      </c>
      <c r="C528" s="1">
        <f t="shared" si="298"/>
        <v>0</v>
      </c>
      <c r="D528" s="10">
        <f t="shared" si="299"/>
        <v>0</v>
      </c>
      <c r="E528" s="1">
        <f t="shared" si="300"/>
        <v>0</v>
      </c>
      <c r="F528" s="1">
        <f t="shared" si="301"/>
        <v>0</v>
      </c>
      <c r="G528" s="1">
        <f t="shared" si="302"/>
        <v>0</v>
      </c>
      <c r="H528" s="1">
        <f t="shared" si="288"/>
        <v>0</v>
      </c>
      <c r="I528" s="10">
        <f t="shared" si="303"/>
        <v>0</v>
      </c>
      <c r="J528" s="1">
        <f t="shared" si="289"/>
        <v>0</v>
      </c>
      <c r="K528" s="1">
        <f t="shared" si="290"/>
        <v>0</v>
      </c>
      <c r="L528" s="1" t="str">
        <f t="shared" si="291"/>
        <v>0</v>
      </c>
      <c r="M528" s="10">
        <f t="shared" si="292"/>
        <v>0</v>
      </c>
      <c r="N528" s="1">
        <f t="shared" si="304"/>
        <v>0</v>
      </c>
      <c r="O528" s="1">
        <f t="shared" si="296"/>
        <v>0</v>
      </c>
      <c r="P528" s="1">
        <f t="shared" si="293"/>
        <v>0</v>
      </c>
      <c r="Q528" s="3" t="str">
        <f t="shared" si="295"/>
        <v/>
      </c>
      <c r="R528" s="11">
        <f t="shared" si="294"/>
        <v>1022</v>
      </c>
      <c r="T528" s="13" t="str">
        <f t="shared" si="283"/>
        <v/>
      </c>
      <c r="U528" s="14" t="str">
        <f t="shared" si="284"/>
        <v/>
      </c>
      <c r="V528" s="13" t="str">
        <f t="shared" si="285"/>
        <v/>
      </c>
      <c r="W528" s="13" t="str">
        <f t="shared" si="286"/>
        <v/>
      </c>
      <c r="X528" s="14" t="str">
        <f t="shared" si="287"/>
        <v/>
      </c>
    </row>
    <row r="529" spans="2:24" x14ac:dyDescent="0.3">
      <c r="B529" s="1">
        <f t="shared" si="297"/>
        <v>0</v>
      </c>
      <c r="C529" s="1">
        <f t="shared" si="298"/>
        <v>0</v>
      </c>
      <c r="D529" s="10">
        <f t="shared" si="299"/>
        <v>0</v>
      </c>
      <c r="E529" s="1">
        <f t="shared" si="300"/>
        <v>0</v>
      </c>
      <c r="F529" s="1">
        <f t="shared" si="301"/>
        <v>0</v>
      </c>
      <c r="G529" s="1">
        <f t="shared" si="302"/>
        <v>0</v>
      </c>
      <c r="H529" s="1">
        <f t="shared" si="288"/>
        <v>0</v>
      </c>
      <c r="I529" s="10">
        <f t="shared" si="303"/>
        <v>0</v>
      </c>
      <c r="J529" s="1">
        <f t="shared" si="289"/>
        <v>0</v>
      </c>
      <c r="K529" s="1">
        <f t="shared" si="290"/>
        <v>0</v>
      </c>
      <c r="L529" s="1" t="str">
        <f t="shared" si="291"/>
        <v>0</v>
      </c>
      <c r="M529" s="10">
        <f t="shared" si="292"/>
        <v>0</v>
      </c>
      <c r="N529" s="1">
        <f t="shared" si="304"/>
        <v>0</v>
      </c>
      <c r="O529" s="1">
        <f t="shared" si="296"/>
        <v>0</v>
      </c>
      <c r="P529" s="1">
        <f t="shared" si="293"/>
        <v>0</v>
      </c>
      <c r="Q529" s="3" t="str">
        <f t="shared" si="295"/>
        <v/>
      </c>
      <c r="R529" s="11">
        <f t="shared" si="294"/>
        <v>1022</v>
      </c>
      <c r="T529" s="13" t="str">
        <f t="shared" si="283"/>
        <v/>
      </c>
      <c r="U529" s="14" t="str">
        <f t="shared" si="284"/>
        <v/>
      </c>
      <c r="V529" s="13" t="str">
        <f t="shared" si="285"/>
        <v/>
      </c>
      <c r="W529" s="13" t="str">
        <f t="shared" si="286"/>
        <v/>
      </c>
      <c r="X529" s="14" t="str">
        <f t="shared" si="287"/>
        <v/>
      </c>
    </row>
    <row r="530" spans="2:24" x14ac:dyDescent="0.3">
      <c r="B530" s="1">
        <f t="shared" si="297"/>
        <v>0</v>
      </c>
      <c r="C530" s="1">
        <f t="shared" si="298"/>
        <v>0</v>
      </c>
      <c r="D530" s="10">
        <f t="shared" si="299"/>
        <v>0</v>
      </c>
      <c r="E530" s="1">
        <f t="shared" si="300"/>
        <v>0</v>
      </c>
      <c r="F530" s="1">
        <f t="shared" si="301"/>
        <v>0</v>
      </c>
      <c r="G530" s="1">
        <f t="shared" si="302"/>
        <v>0</v>
      </c>
      <c r="H530" s="1">
        <f t="shared" si="288"/>
        <v>0</v>
      </c>
      <c r="I530" s="10">
        <f t="shared" si="303"/>
        <v>0</v>
      </c>
      <c r="J530" s="1">
        <f t="shared" si="289"/>
        <v>0</v>
      </c>
      <c r="K530" s="1">
        <f t="shared" si="290"/>
        <v>0</v>
      </c>
      <c r="L530" s="1" t="str">
        <f t="shared" si="291"/>
        <v>0</v>
      </c>
      <c r="M530" s="10">
        <f t="shared" si="292"/>
        <v>0</v>
      </c>
      <c r="N530" s="1">
        <f t="shared" si="304"/>
        <v>0</v>
      </c>
      <c r="O530" s="1">
        <f t="shared" si="296"/>
        <v>0</v>
      </c>
      <c r="P530" s="1">
        <f t="shared" si="293"/>
        <v>0</v>
      </c>
      <c r="Q530" s="3" t="str">
        <f t="shared" si="295"/>
        <v/>
      </c>
      <c r="R530" s="11">
        <f t="shared" si="294"/>
        <v>1022</v>
      </c>
      <c r="T530" s="13" t="str">
        <f t="shared" si="283"/>
        <v/>
      </c>
      <c r="U530" s="14" t="str">
        <f t="shared" si="284"/>
        <v/>
      </c>
      <c r="V530" s="13" t="str">
        <f t="shared" si="285"/>
        <v/>
      </c>
      <c r="W530" s="13" t="str">
        <f t="shared" si="286"/>
        <v/>
      </c>
      <c r="X530" s="14" t="str">
        <f t="shared" si="287"/>
        <v/>
      </c>
    </row>
    <row r="531" spans="2:24" x14ac:dyDescent="0.3">
      <c r="B531" s="1">
        <f t="shared" si="297"/>
        <v>0</v>
      </c>
      <c r="C531" s="1">
        <f t="shared" si="298"/>
        <v>0</v>
      </c>
      <c r="D531" s="10">
        <f t="shared" si="299"/>
        <v>0</v>
      </c>
      <c r="E531" s="1">
        <f t="shared" si="300"/>
        <v>0</v>
      </c>
      <c r="F531" s="1">
        <f t="shared" si="301"/>
        <v>0</v>
      </c>
      <c r="G531" s="1">
        <f t="shared" si="302"/>
        <v>0</v>
      </c>
      <c r="H531" s="1">
        <f t="shared" si="288"/>
        <v>0</v>
      </c>
      <c r="I531" s="10">
        <f t="shared" si="303"/>
        <v>0</v>
      </c>
      <c r="J531" s="1">
        <f t="shared" si="289"/>
        <v>0</v>
      </c>
      <c r="K531" s="1">
        <f t="shared" si="290"/>
        <v>0</v>
      </c>
      <c r="L531" s="1" t="str">
        <f t="shared" si="291"/>
        <v>0</v>
      </c>
      <c r="M531" s="10">
        <f t="shared" si="292"/>
        <v>0</v>
      </c>
      <c r="N531" s="1">
        <f t="shared" si="304"/>
        <v>0</v>
      </c>
      <c r="O531" s="1">
        <f t="shared" si="296"/>
        <v>0</v>
      </c>
      <c r="P531" s="1">
        <f t="shared" si="293"/>
        <v>0</v>
      </c>
      <c r="Q531" s="3" t="str">
        <f t="shared" si="295"/>
        <v/>
      </c>
      <c r="R531" s="11">
        <f t="shared" si="294"/>
        <v>1022</v>
      </c>
      <c r="T531" s="13" t="str">
        <f t="shared" ref="T531:T594" si="305">IF(A531="",IF(A530="","",$T$1),IF(O531=1,"#",IF(B531=0,"*",DEC2HEX(R531))))</f>
        <v/>
      </c>
      <c r="U531" s="14" t="str">
        <f t="shared" ref="U531:U594" si="306">IF(A531="",IF(A530="","",$U$1),  IF(B531=0,Q531,I531)  )</f>
        <v/>
      </c>
      <c r="V531" s="13" t="str">
        <f t="shared" ref="V531:V594" si="307">IF(U531=$U$1,"",IF(A531="",IF(A530="","",1),  IF(B531=0,1,D531)  ))</f>
        <v/>
      </c>
      <c r="W531" s="13" t="str">
        <f t="shared" ref="W531:W594" si="308">IF(U531=$U$1,"",IF(A531="",IF(A530="","",0),  IF(C531=0,0,0)  ))</f>
        <v/>
      </c>
      <c r="X531" s="14" t="str">
        <f t="shared" ref="X531:X594" si="309">IF(U531=$U$1,"",IF(U531="","",IF(B531&gt;0,IF(Q531&lt;&gt;"",Q531,"No description"),"-")))</f>
        <v/>
      </c>
    </row>
    <row r="532" spans="2:24" x14ac:dyDescent="0.3">
      <c r="B532" s="1">
        <f t="shared" si="297"/>
        <v>0</v>
      </c>
      <c r="C532" s="1">
        <f t="shared" si="298"/>
        <v>0</v>
      </c>
      <c r="D532" s="10">
        <f t="shared" si="299"/>
        <v>0</v>
      </c>
      <c r="E532" s="1">
        <f t="shared" si="300"/>
        <v>0</v>
      </c>
      <c r="F532" s="1">
        <f t="shared" si="301"/>
        <v>0</v>
      </c>
      <c r="G532" s="1">
        <f t="shared" si="302"/>
        <v>0</v>
      </c>
      <c r="H532" s="1">
        <f t="shared" si="288"/>
        <v>0</v>
      </c>
      <c r="I532" s="10">
        <f t="shared" si="303"/>
        <v>0</v>
      </c>
      <c r="J532" s="1">
        <f t="shared" si="289"/>
        <v>0</v>
      </c>
      <c r="K532" s="1">
        <f t="shared" si="290"/>
        <v>0</v>
      </c>
      <c r="L532" s="1" t="str">
        <f t="shared" si="291"/>
        <v>0</v>
      </c>
      <c r="M532" s="10">
        <f t="shared" si="292"/>
        <v>0</v>
      </c>
      <c r="N532" s="1">
        <f t="shared" si="304"/>
        <v>0</v>
      </c>
      <c r="O532" s="1">
        <f t="shared" si="296"/>
        <v>0</v>
      </c>
      <c r="P532" s="1">
        <f t="shared" si="293"/>
        <v>0</v>
      </c>
      <c r="Q532" s="3" t="str">
        <f t="shared" si="295"/>
        <v/>
      </c>
      <c r="R532" s="11">
        <f t="shared" si="294"/>
        <v>1022</v>
      </c>
      <c r="T532" s="13" t="str">
        <f t="shared" si="305"/>
        <v/>
      </c>
      <c r="U532" s="14" t="str">
        <f t="shared" si="306"/>
        <v/>
      </c>
      <c r="V532" s="13" t="str">
        <f t="shared" si="307"/>
        <v/>
      </c>
      <c r="W532" s="13" t="str">
        <f t="shared" si="308"/>
        <v/>
      </c>
      <c r="X532" s="14" t="str">
        <f t="shared" si="309"/>
        <v/>
      </c>
    </row>
    <row r="533" spans="2:24" x14ac:dyDescent="0.3">
      <c r="B533" s="1">
        <f t="shared" si="297"/>
        <v>0</v>
      </c>
      <c r="C533" s="1">
        <f t="shared" si="298"/>
        <v>0</v>
      </c>
      <c r="D533" s="10">
        <f t="shared" si="299"/>
        <v>0</v>
      </c>
      <c r="E533" s="1">
        <f t="shared" si="300"/>
        <v>0</v>
      </c>
      <c r="F533" s="1">
        <f t="shared" si="301"/>
        <v>0</v>
      </c>
      <c r="G533" s="1">
        <f t="shared" si="302"/>
        <v>0</v>
      </c>
      <c r="H533" s="1">
        <f t="shared" si="288"/>
        <v>0</v>
      </c>
      <c r="I533" s="10">
        <f t="shared" si="303"/>
        <v>0</v>
      </c>
      <c r="J533" s="1">
        <f t="shared" si="289"/>
        <v>0</v>
      </c>
      <c r="K533" s="1">
        <f t="shared" si="290"/>
        <v>0</v>
      </c>
      <c r="L533" s="1" t="str">
        <f t="shared" si="291"/>
        <v>0</v>
      </c>
      <c r="M533" s="10">
        <f t="shared" si="292"/>
        <v>0</v>
      </c>
      <c r="N533" s="1">
        <f t="shared" si="304"/>
        <v>0</v>
      </c>
      <c r="O533" s="1">
        <f t="shared" si="296"/>
        <v>0</v>
      </c>
      <c r="P533" s="1">
        <f t="shared" si="293"/>
        <v>0</v>
      </c>
      <c r="Q533" s="3" t="str">
        <f t="shared" si="295"/>
        <v/>
      </c>
      <c r="R533" s="11">
        <f t="shared" si="294"/>
        <v>1022</v>
      </c>
      <c r="T533" s="13" t="str">
        <f t="shared" si="305"/>
        <v/>
      </c>
      <c r="U533" s="14" t="str">
        <f t="shared" si="306"/>
        <v/>
      </c>
      <c r="V533" s="13" t="str">
        <f t="shared" si="307"/>
        <v/>
      </c>
      <c r="W533" s="13" t="str">
        <f t="shared" si="308"/>
        <v/>
      </c>
      <c r="X533" s="14" t="str">
        <f t="shared" si="309"/>
        <v/>
      </c>
    </row>
    <row r="534" spans="2:24" x14ac:dyDescent="0.3">
      <c r="B534" s="1">
        <f t="shared" si="297"/>
        <v>0</v>
      </c>
      <c r="C534" s="1">
        <f t="shared" si="298"/>
        <v>0</v>
      </c>
      <c r="D534" s="10">
        <f t="shared" si="299"/>
        <v>0</v>
      </c>
      <c r="E534" s="1">
        <f t="shared" si="300"/>
        <v>0</v>
      </c>
      <c r="F534" s="1">
        <f t="shared" si="301"/>
        <v>0</v>
      </c>
      <c r="G534" s="1">
        <f t="shared" si="302"/>
        <v>0</v>
      </c>
      <c r="H534" s="1">
        <f t="shared" si="288"/>
        <v>0</v>
      </c>
      <c r="I534" s="10">
        <f t="shared" si="303"/>
        <v>0</v>
      </c>
      <c r="J534" s="1">
        <f t="shared" si="289"/>
        <v>0</v>
      </c>
      <c r="K534" s="1">
        <f t="shared" si="290"/>
        <v>0</v>
      </c>
      <c r="L534" s="1" t="str">
        <f t="shared" si="291"/>
        <v>0</v>
      </c>
      <c r="M534" s="10">
        <f t="shared" si="292"/>
        <v>0</v>
      </c>
      <c r="N534" s="1">
        <f t="shared" si="304"/>
        <v>0</v>
      </c>
      <c r="O534" s="1">
        <f t="shared" si="296"/>
        <v>0</v>
      </c>
      <c r="P534" s="1">
        <f t="shared" si="293"/>
        <v>0</v>
      </c>
      <c r="Q534" s="3" t="str">
        <f t="shared" si="295"/>
        <v/>
      </c>
      <c r="R534" s="11">
        <f t="shared" si="294"/>
        <v>1022</v>
      </c>
      <c r="T534" s="13" t="str">
        <f t="shared" si="305"/>
        <v/>
      </c>
      <c r="U534" s="14" t="str">
        <f t="shared" si="306"/>
        <v/>
      </c>
      <c r="V534" s="13" t="str">
        <f t="shared" si="307"/>
        <v/>
      </c>
      <c r="W534" s="13" t="str">
        <f t="shared" si="308"/>
        <v/>
      </c>
      <c r="X534" s="14" t="str">
        <f t="shared" si="309"/>
        <v/>
      </c>
    </row>
    <row r="535" spans="2:24" x14ac:dyDescent="0.3">
      <c r="B535" s="1">
        <f t="shared" si="297"/>
        <v>0</v>
      </c>
      <c r="C535" s="1">
        <f t="shared" si="298"/>
        <v>0</v>
      </c>
      <c r="D535" s="10">
        <f t="shared" si="299"/>
        <v>0</v>
      </c>
      <c r="E535" s="1">
        <f t="shared" si="300"/>
        <v>0</v>
      </c>
      <c r="F535" s="1">
        <f t="shared" si="301"/>
        <v>0</v>
      </c>
      <c r="G535" s="1">
        <f t="shared" si="302"/>
        <v>0</v>
      </c>
      <c r="H535" s="1">
        <f t="shared" si="288"/>
        <v>0</v>
      </c>
      <c r="I535" s="10">
        <f t="shared" si="303"/>
        <v>0</v>
      </c>
      <c r="J535" s="1">
        <f t="shared" si="289"/>
        <v>0</v>
      </c>
      <c r="K535" s="1">
        <f t="shared" si="290"/>
        <v>0</v>
      </c>
      <c r="L535" s="1" t="str">
        <f t="shared" si="291"/>
        <v>0</v>
      </c>
      <c r="M535" s="10">
        <f t="shared" si="292"/>
        <v>0</v>
      </c>
      <c r="N535" s="1">
        <f t="shared" si="304"/>
        <v>0</v>
      </c>
      <c r="O535" s="1">
        <f t="shared" si="296"/>
        <v>0</v>
      </c>
      <c r="P535" s="1">
        <f t="shared" si="293"/>
        <v>0</v>
      </c>
      <c r="Q535" s="3" t="str">
        <f t="shared" si="295"/>
        <v/>
      </c>
      <c r="R535" s="11">
        <f t="shared" si="294"/>
        <v>1022</v>
      </c>
      <c r="T535" s="13" t="str">
        <f t="shared" si="305"/>
        <v/>
      </c>
      <c r="U535" s="14" t="str">
        <f t="shared" si="306"/>
        <v/>
      </c>
      <c r="V535" s="13" t="str">
        <f t="shared" si="307"/>
        <v/>
      </c>
      <c r="W535" s="13" t="str">
        <f t="shared" si="308"/>
        <v/>
      </c>
      <c r="X535" s="14" t="str">
        <f t="shared" si="309"/>
        <v/>
      </c>
    </row>
    <row r="536" spans="2:24" x14ac:dyDescent="0.3">
      <c r="B536" s="1">
        <f t="shared" si="297"/>
        <v>0</v>
      </c>
      <c r="C536" s="1">
        <f t="shared" si="298"/>
        <v>0</v>
      </c>
      <c r="D536" s="10">
        <f t="shared" si="299"/>
        <v>0</v>
      </c>
      <c r="E536" s="1">
        <f t="shared" si="300"/>
        <v>0</v>
      </c>
      <c r="F536" s="1">
        <f t="shared" si="301"/>
        <v>0</v>
      </c>
      <c r="G536" s="1">
        <f t="shared" si="302"/>
        <v>0</v>
      </c>
      <c r="H536" s="1">
        <f t="shared" si="288"/>
        <v>0</v>
      </c>
      <c r="I536" s="10">
        <f t="shared" si="303"/>
        <v>0</v>
      </c>
      <c r="J536" s="1">
        <f t="shared" si="289"/>
        <v>0</v>
      </c>
      <c r="K536" s="1">
        <f t="shared" si="290"/>
        <v>0</v>
      </c>
      <c r="L536" s="1" t="str">
        <f t="shared" si="291"/>
        <v>0</v>
      </c>
      <c r="M536" s="10">
        <f t="shared" si="292"/>
        <v>0</v>
      </c>
      <c r="N536" s="1">
        <f t="shared" si="304"/>
        <v>0</v>
      </c>
      <c r="O536" s="1">
        <f t="shared" si="296"/>
        <v>0</v>
      </c>
      <c r="P536" s="1">
        <f t="shared" si="293"/>
        <v>0</v>
      </c>
      <c r="Q536" s="3" t="str">
        <f t="shared" si="295"/>
        <v/>
      </c>
      <c r="R536" s="11">
        <f t="shared" si="294"/>
        <v>1022</v>
      </c>
      <c r="T536" s="13" t="str">
        <f t="shared" si="305"/>
        <v/>
      </c>
      <c r="U536" s="14" t="str">
        <f t="shared" si="306"/>
        <v/>
      </c>
      <c r="V536" s="13" t="str">
        <f t="shared" si="307"/>
        <v/>
      </c>
      <c r="W536" s="13" t="str">
        <f t="shared" si="308"/>
        <v/>
      </c>
      <c r="X536" s="14" t="str">
        <f t="shared" si="309"/>
        <v/>
      </c>
    </row>
    <row r="537" spans="2:24" x14ac:dyDescent="0.3">
      <c r="B537" s="1">
        <f t="shared" si="297"/>
        <v>0</v>
      </c>
      <c r="C537" s="1">
        <f t="shared" si="298"/>
        <v>0</v>
      </c>
      <c r="D537" s="10">
        <f t="shared" si="299"/>
        <v>0</v>
      </c>
      <c r="E537" s="1">
        <f t="shared" si="300"/>
        <v>0</v>
      </c>
      <c r="F537" s="1">
        <f t="shared" si="301"/>
        <v>0</v>
      </c>
      <c r="G537" s="1">
        <f t="shared" si="302"/>
        <v>0</v>
      </c>
      <c r="H537" s="1">
        <f t="shared" si="288"/>
        <v>0</v>
      </c>
      <c r="I537" s="10">
        <f t="shared" si="303"/>
        <v>0</v>
      </c>
      <c r="J537" s="1">
        <f t="shared" si="289"/>
        <v>0</v>
      </c>
      <c r="K537" s="1">
        <f t="shared" si="290"/>
        <v>0</v>
      </c>
      <c r="L537" s="1" t="str">
        <f t="shared" si="291"/>
        <v>0</v>
      </c>
      <c r="M537" s="10">
        <f t="shared" si="292"/>
        <v>0</v>
      </c>
      <c r="N537" s="1">
        <f t="shared" si="304"/>
        <v>0</v>
      </c>
      <c r="O537" s="1">
        <f t="shared" si="296"/>
        <v>0</v>
      </c>
      <c r="P537" s="1">
        <f t="shared" si="293"/>
        <v>0</v>
      </c>
      <c r="Q537" s="3" t="str">
        <f t="shared" si="295"/>
        <v/>
      </c>
      <c r="R537" s="11">
        <f t="shared" si="294"/>
        <v>1022</v>
      </c>
      <c r="T537" s="13" t="str">
        <f t="shared" si="305"/>
        <v/>
      </c>
      <c r="U537" s="14" t="str">
        <f t="shared" si="306"/>
        <v/>
      </c>
      <c r="V537" s="13" t="str">
        <f t="shared" si="307"/>
        <v/>
      </c>
      <c r="W537" s="13" t="str">
        <f t="shared" si="308"/>
        <v/>
      </c>
      <c r="X537" s="14" t="str">
        <f t="shared" si="309"/>
        <v/>
      </c>
    </row>
    <row r="538" spans="2:24" x14ac:dyDescent="0.3">
      <c r="B538" s="1">
        <f t="shared" si="297"/>
        <v>0</v>
      </c>
      <c r="C538" s="1">
        <f t="shared" si="298"/>
        <v>0</v>
      </c>
      <c r="D538" s="10">
        <f t="shared" si="299"/>
        <v>0</v>
      </c>
      <c r="E538" s="1">
        <f t="shared" si="300"/>
        <v>0</v>
      </c>
      <c r="F538" s="1">
        <f t="shared" si="301"/>
        <v>0</v>
      </c>
      <c r="G538" s="1">
        <f t="shared" si="302"/>
        <v>0</v>
      </c>
      <c r="H538" s="1">
        <f t="shared" si="288"/>
        <v>0</v>
      </c>
      <c r="I538" s="10">
        <f t="shared" si="303"/>
        <v>0</v>
      </c>
      <c r="J538" s="1">
        <f t="shared" si="289"/>
        <v>0</v>
      </c>
      <c r="K538" s="1">
        <f t="shared" si="290"/>
        <v>0</v>
      </c>
      <c r="L538" s="1" t="str">
        <f t="shared" si="291"/>
        <v>0</v>
      </c>
      <c r="M538" s="10">
        <f t="shared" si="292"/>
        <v>0</v>
      </c>
      <c r="N538" s="1">
        <f t="shared" si="304"/>
        <v>0</v>
      </c>
      <c r="O538" s="1">
        <f t="shared" si="296"/>
        <v>0</v>
      </c>
      <c r="P538" s="1">
        <f t="shared" si="293"/>
        <v>0</v>
      </c>
      <c r="Q538" s="3" t="str">
        <f t="shared" si="295"/>
        <v/>
      </c>
      <c r="R538" s="11">
        <f t="shared" si="294"/>
        <v>1022</v>
      </c>
      <c r="T538" s="13" t="str">
        <f t="shared" si="305"/>
        <v/>
      </c>
      <c r="U538" s="14" t="str">
        <f t="shared" si="306"/>
        <v/>
      </c>
      <c r="V538" s="13" t="str">
        <f t="shared" si="307"/>
        <v/>
      </c>
      <c r="W538" s="13" t="str">
        <f t="shared" si="308"/>
        <v/>
      </c>
      <c r="X538" s="14" t="str">
        <f t="shared" si="309"/>
        <v/>
      </c>
    </row>
    <row r="539" spans="2:24" x14ac:dyDescent="0.3">
      <c r="B539" s="1">
        <f t="shared" si="297"/>
        <v>0</v>
      </c>
      <c r="C539" s="1">
        <f t="shared" si="298"/>
        <v>0</v>
      </c>
      <c r="D539" s="10">
        <f t="shared" si="299"/>
        <v>0</v>
      </c>
      <c r="E539" s="1">
        <f t="shared" si="300"/>
        <v>0</v>
      </c>
      <c r="F539" s="1">
        <f t="shared" si="301"/>
        <v>0</v>
      </c>
      <c r="G539" s="1">
        <f t="shared" si="302"/>
        <v>0</v>
      </c>
      <c r="H539" s="1">
        <f t="shared" si="288"/>
        <v>0</v>
      </c>
      <c r="I539" s="10">
        <f t="shared" si="303"/>
        <v>0</v>
      </c>
      <c r="J539" s="1">
        <f t="shared" si="289"/>
        <v>0</v>
      </c>
      <c r="K539" s="1">
        <f t="shared" si="290"/>
        <v>0</v>
      </c>
      <c r="L539" s="1" t="str">
        <f t="shared" si="291"/>
        <v>0</v>
      </c>
      <c r="M539" s="10">
        <f t="shared" si="292"/>
        <v>0</v>
      </c>
      <c r="N539" s="1">
        <f t="shared" si="304"/>
        <v>0</v>
      </c>
      <c r="O539" s="1">
        <f t="shared" si="296"/>
        <v>0</v>
      </c>
      <c r="P539" s="1">
        <f t="shared" si="293"/>
        <v>0</v>
      </c>
      <c r="Q539" s="3" t="str">
        <f t="shared" si="295"/>
        <v/>
      </c>
      <c r="R539" s="11">
        <f t="shared" si="294"/>
        <v>1022</v>
      </c>
      <c r="T539" s="13" t="str">
        <f t="shared" si="305"/>
        <v/>
      </c>
      <c r="U539" s="14" t="str">
        <f t="shared" si="306"/>
        <v/>
      </c>
      <c r="V539" s="13" t="str">
        <f t="shared" si="307"/>
        <v/>
      </c>
      <c r="W539" s="13" t="str">
        <f t="shared" si="308"/>
        <v/>
      </c>
      <c r="X539" s="14" t="str">
        <f t="shared" si="309"/>
        <v/>
      </c>
    </row>
    <row r="540" spans="2:24" x14ac:dyDescent="0.3">
      <c r="B540" s="1">
        <f t="shared" si="297"/>
        <v>0</v>
      </c>
      <c r="C540" s="1">
        <f t="shared" si="298"/>
        <v>0</v>
      </c>
      <c r="D540" s="10">
        <f t="shared" si="299"/>
        <v>0</v>
      </c>
      <c r="E540" s="1">
        <f t="shared" si="300"/>
        <v>0</v>
      </c>
      <c r="F540" s="1">
        <f t="shared" si="301"/>
        <v>0</v>
      </c>
      <c r="G540" s="1">
        <f t="shared" si="302"/>
        <v>0</v>
      </c>
      <c r="H540" s="1">
        <f t="shared" si="288"/>
        <v>0</v>
      </c>
      <c r="I540" s="10">
        <f t="shared" si="303"/>
        <v>0</v>
      </c>
      <c r="J540" s="1">
        <f t="shared" si="289"/>
        <v>0</v>
      </c>
      <c r="K540" s="1">
        <f t="shared" si="290"/>
        <v>0</v>
      </c>
      <c r="L540" s="1" t="str">
        <f t="shared" si="291"/>
        <v>0</v>
      </c>
      <c r="M540" s="10">
        <f t="shared" si="292"/>
        <v>0</v>
      </c>
      <c r="N540" s="1">
        <f t="shared" si="304"/>
        <v>0</v>
      </c>
      <c r="O540" s="1">
        <f t="shared" si="296"/>
        <v>0</v>
      </c>
      <c r="P540" s="1">
        <f t="shared" si="293"/>
        <v>0</v>
      </c>
      <c r="Q540" s="3" t="str">
        <f t="shared" si="295"/>
        <v/>
      </c>
      <c r="R540" s="11">
        <f t="shared" si="294"/>
        <v>1022</v>
      </c>
      <c r="T540" s="13" t="str">
        <f t="shared" si="305"/>
        <v/>
      </c>
      <c r="U540" s="14" t="str">
        <f t="shared" si="306"/>
        <v/>
      </c>
      <c r="V540" s="13" t="str">
        <f t="shared" si="307"/>
        <v/>
      </c>
      <c r="W540" s="13" t="str">
        <f t="shared" si="308"/>
        <v/>
      </c>
      <c r="X540" s="14" t="str">
        <f t="shared" si="309"/>
        <v/>
      </c>
    </row>
    <row r="541" spans="2:24" x14ac:dyDescent="0.3">
      <c r="B541" s="1">
        <f t="shared" si="297"/>
        <v>0</v>
      </c>
      <c r="C541" s="1">
        <f t="shared" si="298"/>
        <v>0</v>
      </c>
      <c r="D541" s="10">
        <f t="shared" si="299"/>
        <v>0</v>
      </c>
      <c r="E541" s="1">
        <f t="shared" si="300"/>
        <v>0</v>
      </c>
      <c r="F541" s="1">
        <f t="shared" si="301"/>
        <v>0</v>
      </c>
      <c r="G541" s="1">
        <f t="shared" si="302"/>
        <v>0</v>
      </c>
      <c r="H541" s="1">
        <f t="shared" si="288"/>
        <v>0</v>
      </c>
      <c r="I541" s="10">
        <f t="shared" si="303"/>
        <v>0</v>
      </c>
      <c r="J541" s="1">
        <f t="shared" si="289"/>
        <v>0</v>
      </c>
      <c r="K541" s="1">
        <f t="shared" si="290"/>
        <v>0</v>
      </c>
      <c r="L541" s="1" t="str">
        <f t="shared" si="291"/>
        <v>0</v>
      </c>
      <c r="M541" s="10">
        <f t="shared" si="292"/>
        <v>0</v>
      </c>
      <c r="N541" s="1">
        <f t="shared" si="304"/>
        <v>0</v>
      </c>
      <c r="O541" s="1">
        <f t="shared" si="296"/>
        <v>0</v>
      </c>
      <c r="P541" s="1">
        <f t="shared" si="293"/>
        <v>0</v>
      </c>
      <c r="Q541" s="3" t="str">
        <f t="shared" si="295"/>
        <v/>
      </c>
      <c r="R541" s="11">
        <f t="shared" si="294"/>
        <v>1022</v>
      </c>
      <c r="T541" s="13" t="str">
        <f t="shared" si="305"/>
        <v/>
      </c>
      <c r="U541" s="14" t="str">
        <f t="shared" si="306"/>
        <v/>
      </c>
      <c r="V541" s="13" t="str">
        <f t="shared" si="307"/>
        <v/>
      </c>
      <c r="W541" s="13" t="str">
        <f t="shared" si="308"/>
        <v/>
      </c>
      <c r="X541" s="14" t="str">
        <f t="shared" si="309"/>
        <v/>
      </c>
    </row>
    <row r="542" spans="2:24" x14ac:dyDescent="0.3">
      <c r="B542" s="1">
        <f t="shared" si="297"/>
        <v>0</v>
      </c>
      <c r="C542" s="1">
        <f t="shared" si="298"/>
        <v>0</v>
      </c>
      <c r="D542" s="10">
        <f t="shared" si="299"/>
        <v>0</v>
      </c>
      <c r="E542" s="1">
        <f t="shared" si="300"/>
        <v>0</v>
      </c>
      <c r="F542" s="1">
        <f t="shared" si="301"/>
        <v>0</v>
      </c>
      <c r="G542" s="1">
        <f t="shared" si="302"/>
        <v>0</v>
      </c>
      <c r="H542" s="1">
        <f t="shared" si="288"/>
        <v>0</v>
      </c>
      <c r="I542" s="10">
        <f t="shared" si="303"/>
        <v>0</v>
      </c>
      <c r="J542" s="1">
        <f t="shared" si="289"/>
        <v>0</v>
      </c>
      <c r="K542" s="1">
        <f t="shared" si="290"/>
        <v>0</v>
      </c>
      <c r="L542" s="1" t="str">
        <f t="shared" si="291"/>
        <v>0</v>
      </c>
      <c r="M542" s="10">
        <f t="shared" si="292"/>
        <v>0</v>
      </c>
      <c r="N542" s="1">
        <f t="shared" si="304"/>
        <v>0</v>
      </c>
      <c r="O542" s="1">
        <f t="shared" si="296"/>
        <v>0</v>
      </c>
      <c r="P542" s="1">
        <f t="shared" si="293"/>
        <v>0</v>
      </c>
      <c r="Q542" s="3" t="str">
        <f t="shared" si="295"/>
        <v/>
      </c>
      <c r="R542" s="11">
        <f t="shared" si="294"/>
        <v>1022</v>
      </c>
      <c r="T542" s="13" t="str">
        <f t="shared" si="305"/>
        <v/>
      </c>
      <c r="U542" s="14" t="str">
        <f t="shared" si="306"/>
        <v/>
      </c>
      <c r="V542" s="13" t="str">
        <f t="shared" si="307"/>
        <v/>
      </c>
      <c r="W542" s="13" t="str">
        <f t="shared" si="308"/>
        <v/>
      </c>
      <c r="X542" s="14" t="str">
        <f t="shared" si="309"/>
        <v/>
      </c>
    </row>
    <row r="543" spans="2:24" x14ac:dyDescent="0.3">
      <c r="B543" s="1">
        <f t="shared" si="297"/>
        <v>0</v>
      </c>
      <c r="C543" s="1">
        <f t="shared" si="298"/>
        <v>0</v>
      </c>
      <c r="D543" s="10">
        <f t="shared" si="299"/>
        <v>0</v>
      </c>
      <c r="E543" s="1">
        <f t="shared" si="300"/>
        <v>0</v>
      </c>
      <c r="F543" s="1">
        <f t="shared" si="301"/>
        <v>0</v>
      </c>
      <c r="G543" s="1">
        <f t="shared" si="302"/>
        <v>0</v>
      </c>
      <c r="H543" s="1">
        <f t="shared" si="288"/>
        <v>0</v>
      </c>
      <c r="I543" s="10">
        <f t="shared" si="303"/>
        <v>0</v>
      </c>
      <c r="J543" s="1">
        <f t="shared" si="289"/>
        <v>0</v>
      </c>
      <c r="K543" s="1">
        <f t="shared" si="290"/>
        <v>0</v>
      </c>
      <c r="L543" s="1" t="str">
        <f t="shared" si="291"/>
        <v>0</v>
      </c>
      <c r="M543" s="10">
        <f t="shared" si="292"/>
        <v>0</v>
      </c>
      <c r="N543" s="1">
        <f t="shared" si="304"/>
        <v>0</v>
      </c>
      <c r="O543" s="1">
        <f t="shared" si="296"/>
        <v>0</v>
      </c>
      <c r="P543" s="1">
        <f t="shared" si="293"/>
        <v>0</v>
      </c>
      <c r="Q543" s="3" t="str">
        <f t="shared" si="295"/>
        <v/>
      </c>
      <c r="R543" s="11">
        <f t="shared" si="294"/>
        <v>1022</v>
      </c>
      <c r="T543" s="13" t="str">
        <f t="shared" si="305"/>
        <v/>
      </c>
      <c r="U543" s="14" t="str">
        <f t="shared" si="306"/>
        <v/>
      </c>
      <c r="V543" s="13" t="str">
        <f t="shared" si="307"/>
        <v/>
      </c>
      <c r="W543" s="13" t="str">
        <f t="shared" si="308"/>
        <v/>
      </c>
      <c r="X543" s="14" t="str">
        <f t="shared" si="309"/>
        <v/>
      </c>
    </row>
    <row r="544" spans="2:24" x14ac:dyDescent="0.3">
      <c r="B544" s="1">
        <f t="shared" si="297"/>
        <v>0</v>
      </c>
      <c r="C544" s="1">
        <f t="shared" si="298"/>
        <v>0</v>
      </c>
      <c r="D544" s="10">
        <f t="shared" si="299"/>
        <v>0</v>
      </c>
      <c r="E544" s="1">
        <f t="shared" si="300"/>
        <v>0</v>
      </c>
      <c r="F544" s="1">
        <f t="shared" si="301"/>
        <v>0</v>
      </c>
      <c r="G544" s="1">
        <f t="shared" si="302"/>
        <v>0</v>
      </c>
      <c r="H544" s="1">
        <f t="shared" si="288"/>
        <v>0</v>
      </c>
      <c r="I544" s="10">
        <f t="shared" si="303"/>
        <v>0</v>
      </c>
      <c r="J544" s="1">
        <f t="shared" si="289"/>
        <v>0</v>
      </c>
      <c r="K544" s="1">
        <f t="shared" si="290"/>
        <v>0</v>
      </c>
      <c r="L544" s="1" t="str">
        <f t="shared" si="291"/>
        <v>0</v>
      </c>
      <c r="M544" s="10">
        <f t="shared" si="292"/>
        <v>0</v>
      </c>
      <c r="N544" s="1">
        <f t="shared" si="304"/>
        <v>0</v>
      </c>
      <c r="O544" s="1">
        <f t="shared" si="296"/>
        <v>0</v>
      </c>
      <c r="P544" s="1">
        <f t="shared" si="293"/>
        <v>0</v>
      </c>
      <c r="Q544" s="3" t="str">
        <f t="shared" si="295"/>
        <v/>
      </c>
      <c r="R544" s="11">
        <f t="shared" si="294"/>
        <v>1022</v>
      </c>
      <c r="T544" s="13" t="str">
        <f t="shared" si="305"/>
        <v/>
      </c>
      <c r="U544" s="14" t="str">
        <f t="shared" si="306"/>
        <v/>
      </c>
      <c r="V544" s="13" t="str">
        <f t="shared" si="307"/>
        <v/>
      </c>
      <c r="W544" s="13" t="str">
        <f t="shared" si="308"/>
        <v/>
      </c>
      <c r="X544" s="14" t="str">
        <f t="shared" si="309"/>
        <v/>
      </c>
    </row>
    <row r="545" spans="2:24" x14ac:dyDescent="0.3">
      <c r="B545" s="1">
        <f t="shared" si="297"/>
        <v>0</v>
      </c>
      <c r="C545" s="1">
        <f t="shared" si="298"/>
        <v>0</v>
      </c>
      <c r="D545" s="10">
        <f t="shared" si="299"/>
        <v>0</v>
      </c>
      <c r="E545" s="1">
        <f t="shared" si="300"/>
        <v>0</v>
      </c>
      <c r="F545" s="1">
        <f t="shared" si="301"/>
        <v>0</v>
      </c>
      <c r="G545" s="1">
        <f t="shared" si="302"/>
        <v>0</v>
      </c>
      <c r="H545" s="1">
        <f t="shared" si="288"/>
        <v>0</v>
      </c>
      <c r="I545" s="10">
        <f t="shared" si="303"/>
        <v>0</v>
      </c>
      <c r="J545" s="1">
        <f t="shared" si="289"/>
        <v>0</v>
      </c>
      <c r="K545" s="1">
        <f t="shared" si="290"/>
        <v>0</v>
      </c>
      <c r="L545" s="1" t="str">
        <f t="shared" si="291"/>
        <v>0</v>
      </c>
      <c r="M545" s="10">
        <f t="shared" si="292"/>
        <v>0</v>
      </c>
      <c r="N545" s="1">
        <f t="shared" si="304"/>
        <v>0</v>
      </c>
      <c r="O545" s="1">
        <f t="shared" si="296"/>
        <v>0</v>
      </c>
      <c r="P545" s="1">
        <f t="shared" si="293"/>
        <v>0</v>
      </c>
      <c r="Q545" s="3" t="str">
        <f t="shared" si="295"/>
        <v/>
      </c>
      <c r="R545" s="11">
        <f t="shared" si="294"/>
        <v>1022</v>
      </c>
      <c r="T545" s="13" t="str">
        <f t="shared" si="305"/>
        <v/>
      </c>
      <c r="U545" s="14" t="str">
        <f t="shared" si="306"/>
        <v/>
      </c>
      <c r="V545" s="13" t="str">
        <f t="shared" si="307"/>
        <v/>
      </c>
      <c r="W545" s="13" t="str">
        <f t="shared" si="308"/>
        <v/>
      </c>
      <c r="X545" s="14" t="str">
        <f t="shared" si="309"/>
        <v/>
      </c>
    </row>
    <row r="546" spans="2:24" x14ac:dyDescent="0.3">
      <c r="B546" s="1">
        <f t="shared" si="297"/>
        <v>0</v>
      </c>
      <c r="C546" s="1">
        <f t="shared" si="298"/>
        <v>0</v>
      </c>
      <c r="D546" s="10">
        <f t="shared" si="299"/>
        <v>0</v>
      </c>
      <c r="E546" s="1">
        <f t="shared" si="300"/>
        <v>0</v>
      </c>
      <c r="F546" s="1">
        <f t="shared" si="301"/>
        <v>0</v>
      </c>
      <c r="G546" s="1">
        <f t="shared" si="302"/>
        <v>0</v>
      </c>
      <c r="H546" s="1">
        <f t="shared" si="288"/>
        <v>0</v>
      </c>
      <c r="I546" s="10">
        <f t="shared" si="303"/>
        <v>0</v>
      </c>
      <c r="J546" s="1">
        <f t="shared" si="289"/>
        <v>0</v>
      </c>
      <c r="K546" s="1">
        <f t="shared" si="290"/>
        <v>0</v>
      </c>
      <c r="L546" s="1" t="str">
        <f t="shared" si="291"/>
        <v>0</v>
      </c>
      <c r="M546" s="10">
        <f t="shared" si="292"/>
        <v>0</v>
      </c>
      <c r="N546" s="1">
        <f t="shared" si="304"/>
        <v>0</v>
      </c>
      <c r="O546" s="1">
        <f t="shared" si="296"/>
        <v>0</v>
      </c>
      <c r="P546" s="1">
        <f t="shared" si="293"/>
        <v>0</v>
      </c>
      <c r="Q546" s="3" t="str">
        <f t="shared" si="295"/>
        <v/>
      </c>
      <c r="R546" s="11">
        <f t="shared" si="294"/>
        <v>1022</v>
      </c>
      <c r="T546" s="13" t="str">
        <f t="shared" si="305"/>
        <v/>
      </c>
      <c r="U546" s="14" t="str">
        <f t="shared" si="306"/>
        <v/>
      </c>
      <c r="V546" s="13" t="str">
        <f t="shared" si="307"/>
        <v/>
      </c>
      <c r="W546" s="13" t="str">
        <f t="shared" si="308"/>
        <v/>
      </c>
      <c r="X546" s="14" t="str">
        <f t="shared" si="309"/>
        <v/>
      </c>
    </row>
    <row r="547" spans="2:24" x14ac:dyDescent="0.3">
      <c r="B547" s="1">
        <f t="shared" si="297"/>
        <v>0</v>
      </c>
      <c r="C547" s="1">
        <f t="shared" si="298"/>
        <v>0</v>
      </c>
      <c r="D547" s="10">
        <f t="shared" si="299"/>
        <v>0</v>
      </c>
      <c r="E547" s="1">
        <f t="shared" si="300"/>
        <v>0</v>
      </c>
      <c r="F547" s="1">
        <f t="shared" si="301"/>
        <v>0</v>
      </c>
      <c r="G547" s="1">
        <f t="shared" si="302"/>
        <v>0</v>
      </c>
      <c r="H547" s="1">
        <f t="shared" si="288"/>
        <v>0</v>
      </c>
      <c r="I547" s="10">
        <f t="shared" si="303"/>
        <v>0</v>
      </c>
      <c r="J547" s="1">
        <f t="shared" si="289"/>
        <v>0</v>
      </c>
      <c r="K547" s="1">
        <f t="shared" si="290"/>
        <v>0</v>
      </c>
      <c r="L547" s="1" t="str">
        <f t="shared" si="291"/>
        <v>0</v>
      </c>
      <c r="M547" s="10">
        <f t="shared" si="292"/>
        <v>0</v>
      </c>
      <c r="N547" s="1">
        <f t="shared" si="304"/>
        <v>0</v>
      </c>
      <c r="O547" s="1">
        <f t="shared" si="296"/>
        <v>0</v>
      </c>
      <c r="P547" s="1">
        <f t="shared" si="293"/>
        <v>0</v>
      </c>
      <c r="Q547" s="3" t="str">
        <f t="shared" si="295"/>
        <v/>
      </c>
      <c r="R547" s="11">
        <f t="shared" si="294"/>
        <v>1022</v>
      </c>
      <c r="T547" s="13" t="str">
        <f t="shared" si="305"/>
        <v/>
      </c>
      <c r="U547" s="14" t="str">
        <f t="shared" si="306"/>
        <v/>
      </c>
      <c r="V547" s="13" t="str">
        <f t="shared" si="307"/>
        <v/>
      </c>
      <c r="W547" s="13" t="str">
        <f t="shared" si="308"/>
        <v/>
      </c>
      <c r="X547" s="14" t="str">
        <f t="shared" si="309"/>
        <v/>
      </c>
    </row>
    <row r="548" spans="2:24" x14ac:dyDescent="0.3">
      <c r="B548" s="1">
        <f t="shared" si="297"/>
        <v>0</v>
      </c>
      <c r="C548" s="1">
        <f t="shared" si="298"/>
        <v>0</v>
      </c>
      <c r="D548" s="10">
        <f t="shared" si="299"/>
        <v>0</v>
      </c>
      <c r="E548" s="1">
        <f t="shared" si="300"/>
        <v>0</v>
      </c>
      <c r="F548" s="1">
        <f t="shared" si="301"/>
        <v>0</v>
      </c>
      <c r="G548" s="1">
        <f t="shared" si="302"/>
        <v>0</v>
      </c>
      <c r="H548" s="1">
        <f t="shared" si="288"/>
        <v>0</v>
      </c>
      <c r="I548" s="10">
        <f t="shared" si="303"/>
        <v>0</v>
      </c>
      <c r="J548" s="1">
        <f t="shared" si="289"/>
        <v>0</v>
      </c>
      <c r="K548" s="1">
        <f t="shared" si="290"/>
        <v>0</v>
      </c>
      <c r="L548" s="1" t="str">
        <f t="shared" si="291"/>
        <v>0</v>
      </c>
      <c r="M548" s="10">
        <f t="shared" si="292"/>
        <v>0</v>
      </c>
      <c r="N548" s="1">
        <f t="shared" si="304"/>
        <v>0</v>
      </c>
      <c r="O548" s="1">
        <f t="shared" si="296"/>
        <v>0</v>
      </c>
      <c r="P548" s="1">
        <f t="shared" si="293"/>
        <v>0</v>
      </c>
      <c r="Q548" s="3" t="str">
        <f t="shared" si="295"/>
        <v/>
      </c>
      <c r="R548" s="11">
        <f t="shared" si="294"/>
        <v>1022</v>
      </c>
      <c r="T548" s="13" t="str">
        <f t="shared" si="305"/>
        <v/>
      </c>
      <c r="U548" s="14" t="str">
        <f t="shared" si="306"/>
        <v/>
      </c>
      <c r="V548" s="13" t="str">
        <f t="shared" si="307"/>
        <v/>
      </c>
      <c r="W548" s="13" t="str">
        <f t="shared" si="308"/>
        <v/>
      </c>
      <c r="X548" s="14" t="str">
        <f t="shared" si="309"/>
        <v/>
      </c>
    </row>
    <row r="549" spans="2:24" x14ac:dyDescent="0.3">
      <c r="B549" s="1">
        <f t="shared" si="297"/>
        <v>0</v>
      </c>
      <c r="C549" s="1">
        <f t="shared" si="298"/>
        <v>0</v>
      </c>
      <c r="D549" s="10">
        <f t="shared" si="299"/>
        <v>0</v>
      </c>
      <c r="E549" s="1">
        <f t="shared" si="300"/>
        <v>0</v>
      </c>
      <c r="F549" s="1">
        <f t="shared" si="301"/>
        <v>0</v>
      </c>
      <c r="G549" s="1">
        <f t="shared" si="302"/>
        <v>0</v>
      </c>
      <c r="H549" s="1">
        <f t="shared" si="288"/>
        <v>0</v>
      </c>
      <c r="I549" s="10">
        <f t="shared" si="303"/>
        <v>0</v>
      </c>
      <c r="J549" s="1">
        <f t="shared" si="289"/>
        <v>0</v>
      </c>
      <c r="K549" s="1">
        <f t="shared" si="290"/>
        <v>0</v>
      </c>
      <c r="L549" s="1" t="str">
        <f t="shared" si="291"/>
        <v>0</v>
      </c>
      <c r="M549" s="10">
        <f t="shared" si="292"/>
        <v>0</v>
      </c>
      <c r="N549" s="1">
        <f t="shared" si="304"/>
        <v>0</v>
      </c>
      <c r="O549" s="1">
        <f t="shared" si="296"/>
        <v>0</v>
      </c>
      <c r="P549" s="1">
        <f t="shared" si="293"/>
        <v>0</v>
      </c>
      <c r="Q549" s="3" t="str">
        <f t="shared" si="295"/>
        <v/>
      </c>
      <c r="R549" s="11">
        <f t="shared" si="294"/>
        <v>1022</v>
      </c>
      <c r="T549" s="13" t="str">
        <f t="shared" si="305"/>
        <v/>
      </c>
      <c r="U549" s="14" t="str">
        <f t="shared" si="306"/>
        <v/>
      </c>
      <c r="V549" s="13" t="str">
        <f t="shared" si="307"/>
        <v/>
      </c>
      <c r="W549" s="13" t="str">
        <f t="shared" si="308"/>
        <v/>
      </c>
      <c r="X549" s="14" t="str">
        <f t="shared" si="309"/>
        <v/>
      </c>
    </row>
    <row r="550" spans="2:24" x14ac:dyDescent="0.3">
      <c r="B550" s="1">
        <f t="shared" si="297"/>
        <v>0</v>
      </c>
      <c r="C550" s="1">
        <f t="shared" si="298"/>
        <v>0</v>
      </c>
      <c r="D550" s="10">
        <f t="shared" si="299"/>
        <v>0</v>
      </c>
      <c r="E550" s="1">
        <f t="shared" si="300"/>
        <v>0</v>
      </c>
      <c r="F550" s="1">
        <f t="shared" si="301"/>
        <v>0</v>
      </c>
      <c r="G550" s="1">
        <f t="shared" si="302"/>
        <v>0</v>
      </c>
      <c r="H550" s="1">
        <f t="shared" si="288"/>
        <v>0</v>
      </c>
      <c r="I550" s="10">
        <f t="shared" si="303"/>
        <v>0</v>
      </c>
      <c r="J550" s="1">
        <f t="shared" si="289"/>
        <v>0</v>
      </c>
      <c r="K550" s="1">
        <f t="shared" si="290"/>
        <v>0</v>
      </c>
      <c r="L550" s="1" t="str">
        <f t="shared" si="291"/>
        <v>0</v>
      </c>
      <c r="M550" s="10">
        <f t="shared" si="292"/>
        <v>0</v>
      </c>
      <c r="N550" s="1">
        <f t="shared" si="304"/>
        <v>0</v>
      </c>
      <c r="O550" s="1">
        <f t="shared" si="296"/>
        <v>0</v>
      </c>
      <c r="P550" s="1">
        <f t="shared" si="293"/>
        <v>0</v>
      </c>
      <c r="Q550" s="3" t="str">
        <f t="shared" si="295"/>
        <v/>
      </c>
      <c r="R550" s="11">
        <f t="shared" si="294"/>
        <v>1022</v>
      </c>
      <c r="T550" s="13" t="str">
        <f t="shared" si="305"/>
        <v/>
      </c>
      <c r="U550" s="14" t="str">
        <f t="shared" si="306"/>
        <v/>
      </c>
      <c r="V550" s="13" t="str">
        <f t="shared" si="307"/>
        <v/>
      </c>
      <c r="W550" s="13" t="str">
        <f t="shared" si="308"/>
        <v/>
      </c>
      <c r="X550" s="14" t="str">
        <f t="shared" si="309"/>
        <v/>
      </c>
    </row>
    <row r="551" spans="2:24" x14ac:dyDescent="0.3">
      <c r="B551" s="1">
        <f t="shared" si="297"/>
        <v>0</v>
      </c>
      <c r="C551" s="1">
        <f t="shared" si="298"/>
        <v>0</v>
      </c>
      <c r="D551" s="10">
        <f t="shared" si="299"/>
        <v>0</v>
      </c>
      <c r="E551" s="1">
        <f t="shared" si="300"/>
        <v>0</v>
      </c>
      <c r="F551" s="1">
        <f t="shared" si="301"/>
        <v>0</v>
      </c>
      <c r="G551" s="1">
        <f t="shared" si="302"/>
        <v>0</v>
      </c>
      <c r="H551" s="1">
        <f t="shared" si="288"/>
        <v>0</v>
      </c>
      <c r="I551" s="10">
        <f t="shared" si="303"/>
        <v>0</v>
      </c>
      <c r="J551" s="1">
        <f t="shared" si="289"/>
        <v>0</v>
      </c>
      <c r="K551" s="1">
        <f t="shared" si="290"/>
        <v>0</v>
      </c>
      <c r="L551" s="1" t="str">
        <f t="shared" si="291"/>
        <v>0</v>
      </c>
      <c r="M551" s="10">
        <f t="shared" si="292"/>
        <v>0</v>
      </c>
      <c r="N551" s="1">
        <f t="shared" si="304"/>
        <v>0</v>
      </c>
      <c r="O551" s="1">
        <f t="shared" si="296"/>
        <v>0</v>
      </c>
      <c r="P551" s="1">
        <f t="shared" si="293"/>
        <v>0</v>
      </c>
      <c r="Q551" s="3" t="str">
        <f t="shared" si="295"/>
        <v/>
      </c>
      <c r="R551" s="11">
        <f t="shared" si="294"/>
        <v>1022</v>
      </c>
      <c r="T551" s="13" t="str">
        <f t="shared" si="305"/>
        <v/>
      </c>
      <c r="U551" s="14" t="str">
        <f t="shared" si="306"/>
        <v/>
      </c>
      <c r="V551" s="13" t="str">
        <f t="shared" si="307"/>
        <v/>
      </c>
      <c r="W551" s="13" t="str">
        <f t="shared" si="308"/>
        <v/>
      </c>
      <c r="X551" s="14" t="str">
        <f t="shared" si="309"/>
        <v/>
      </c>
    </row>
    <row r="552" spans="2:24" x14ac:dyDescent="0.3">
      <c r="B552" s="1">
        <f t="shared" si="297"/>
        <v>0</v>
      </c>
      <c r="C552" s="1">
        <f t="shared" si="298"/>
        <v>0</v>
      </c>
      <c r="D552" s="10">
        <f t="shared" si="299"/>
        <v>0</v>
      </c>
      <c r="E552" s="1">
        <f t="shared" si="300"/>
        <v>0</v>
      </c>
      <c r="F552" s="1">
        <f t="shared" si="301"/>
        <v>0</v>
      </c>
      <c r="G552" s="1">
        <f t="shared" si="302"/>
        <v>0</v>
      </c>
      <c r="H552" s="1">
        <f t="shared" si="288"/>
        <v>0</v>
      </c>
      <c r="I552" s="10">
        <f t="shared" si="303"/>
        <v>0</v>
      </c>
      <c r="J552" s="1">
        <f t="shared" si="289"/>
        <v>0</v>
      </c>
      <c r="K552" s="1">
        <f t="shared" si="290"/>
        <v>0</v>
      </c>
      <c r="L552" s="1" t="str">
        <f t="shared" si="291"/>
        <v>0</v>
      </c>
      <c r="M552" s="10">
        <f t="shared" si="292"/>
        <v>0</v>
      </c>
      <c r="N552" s="1">
        <f t="shared" si="304"/>
        <v>0</v>
      </c>
      <c r="O552" s="1">
        <f t="shared" si="296"/>
        <v>0</v>
      </c>
      <c r="P552" s="1">
        <f t="shared" si="293"/>
        <v>0</v>
      </c>
      <c r="Q552" s="3" t="str">
        <f t="shared" si="295"/>
        <v/>
      </c>
      <c r="R552" s="11">
        <f t="shared" si="294"/>
        <v>1022</v>
      </c>
      <c r="T552" s="13" t="str">
        <f t="shared" si="305"/>
        <v/>
      </c>
      <c r="U552" s="14" t="str">
        <f t="shared" si="306"/>
        <v/>
      </c>
      <c r="V552" s="13" t="str">
        <f t="shared" si="307"/>
        <v/>
      </c>
      <c r="W552" s="13" t="str">
        <f t="shared" si="308"/>
        <v/>
      </c>
      <c r="X552" s="14" t="str">
        <f t="shared" si="309"/>
        <v/>
      </c>
    </row>
    <row r="553" spans="2:24" x14ac:dyDescent="0.3">
      <c r="B553" s="1">
        <f t="shared" ref="B553:B582" si="310">IFERROR(FIND("UP_SET(",$A553)+7,0)</f>
        <v>0</v>
      </c>
      <c r="C553" s="1">
        <f t="shared" ref="C553:C582" si="311">IF($B553&gt;0,FIND(",",$A553,$B553),0)</f>
        <v>0</v>
      </c>
      <c r="D553" s="10">
        <f t="shared" ref="D553:D582" si="312">IF($B553&gt;0,MID($A553,$B553,$C553-$B553),0)</f>
        <v>0</v>
      </c>
      <c r="E553" s="1">
        <f t="shared" ref="E553:E582" si="313">IF($B553&gt;0,FIND("Up",$A553,$C553),0)</f>
        <v>0</v>
      </c>
      <c r="F553" s="1">
        <f t="shared" ref="F553:F582" si="314">IF($B553&gt;0,IFERROR(FIND(",",$A553,$E553),0),0)</f>
        <v>0</v>
      </c>
      <c r="G553" s="1">
        <f t="shared" ref="G553:G582" si="315">IF($B553&gt;0,FIND(")",$A553,$B553),0)</f>
        <v>0</v>
      </c>
      <c r="H553" s="1">
        <f t="shared" ref="H553:H564" si="316">IF(AND(F553&gt;0,F553&lt;G553),F553,G553)</f>
        <v>0</v>
      </c>
      <c r="I553" s="10">
        <f t="shared" ref="I553:I582" si="317">IF($B553&gt;0,MID($A553,$E553,$H553-$E553),0)</f>
        <v>0</v>
      </c>
      <c r="J553" s="1">
        <f t="shared" ref="J553:J564" si="318">IF(AND(F553&gt;0,F553&lt;G553),FIND("=",A553,F553)+1,0)</f>
        <v>0</v>
      </c>
      <c r="K553" s="1">
        <f t="shared" ref="K553:K564" si="319">IF(J553&gt;0,MID(A553,J553,G553-J553),0)</f>
        <v>0</v>
      </c>
      <c r="L553" s="1" t="str">
        <f t="shared" ref="L553:L564" si="320">IFERROR(RIGHT(K553,LEN(K553)-FIND("0x",K553)-1),DEC2HEX(K553))</f>
        <v>0</v>
      </c>
      <c r="M553" s="10">
        <f t="shared" ref="M553:M564" si="321">HEX2DEC(L553)</f>
        <v>0</v>
      </c>
      <c r="N553" s="1">
        <f t="shared" ref="N553:N582" si="322">IFERROR(FIND("/*",$A553)+2,0)</f>
        <v>0</v>
      </c>
      <c r="O553" s="1">
        <f t="shared" si="296"/>
        <v>0</v>
      </c>
      <c r="P553" s="1">
        <f t="shared" ref="P553:P564" si="323">IFERROR(FIND("*/",$A553,N553+1),0)</f>
        <v>0</v>
      </c>
      <c r="Q553" s="3" t="str">
        <f t="shared" si="295"/>
        <v/>
      </c>
      <c r="T553" s="13" t="str">
        <f t="shared" si="305"/>
        <v/>
      </c>
      <c r="U553" s="14" t="str">
        <f t="shared" si="306"/>
        <v/>
      </c>
      <c r="V553" s="13" t="str">
        <f t="shared" si="307"/>
        <v/>
      </c>
      <c r="W553" s="13" t="str">
        <f t="shared" si="308"/>
        <v/>
      </c>
      <c r="X553" s="14" t="str">
        <f t="shared" si="309"/>
        <v/>
      </c>
    </row>
    <row r="554" spans="2:24" x14ac:dyDescent="0.3">
      <c r="B554" s="1">
        <f t="shared" si="310"/>
        <v>0</v>
      </c>
      <c r="C554" s="1">
        <f t="shared" si="311"/>
        <v>0</v>
      </c>
      <c r="D554" s="10">
        <f t="shared" si="312"/>
        <v>0</v>
      </c>
      <c r="E554" s="1">
        <f t="shared" si="313"/>
        <v>0</v>
      </c>
      <c r="F554" s="1">
        <f t="shared" si="314"/>
        <v>0</v>
      </c>
      <c r="G554" s="1">
        <f t="shared" si="315"/>
        <v>0</v>
      </c>
      <c r="H554" s="1">
        <f t="shared" si="316"/>
        <v>0</v>
      </c>
      <c r="I554" s="10">
        <f t="shared" si="317"/>
        <v>0</v>
      </c>
      <c r="J554" s="1">
        <f t="shared" si="318"/>
        <v>0</v>
      </c>
      <c r="K554" s="1">
        <f t="shared" si="319"/>
        <v>0</v>
      </c>
      <c r="L554" s="1" t="str">
        <f t="shared" si="320"/>
        <v>0</v>
      </c>
      <c r="M554" s="10">
        <f t="shared" si="321"/>
        <v>0</v>
      </c>
      <c r="N554" s="1">
        <f t="shared" si="322"/>
        <v>0</v>
      </c>
      <c r="O554" s="1">
        <f t="shared" si="296"/>
        <v>0</v>
      </c>
      <c r="P554" s="1">
        <f t="shared" si="323"/>
        <v>0</v>
      </c>
      <c r="Q554" s="3" t="str">
        <f t="shared" si="295"/>
        <v/>
      </c>
      <c r="T554" s="13" t="str">
        <f t="shared" si="305"/>
        <v/>
      </c>
      <c r="U554" s="14" t="str">
        <f t="shared" si="306"/>
        <v/>
      </c>
      <c r="V554" s="13" t="str">
        <f t="shared" si="307"/>
        <v/>
      </c>
      <c r="W554" s="13" t="str">
        <f t="shared" si="308"/>
        <v/>
      </c>
      <c r="X554" s="14" t="str">
        <f t="shared" si="309"/>
        <v/>
      </c>
    </row>
    <row r="555" spans="2:24" x14ac:dyDescent="0.3">
      <c r="B555" s="1">
        <f t="shared" si="310"/>
        <v>0</v>
      </c>
      <c r="C555" s="1">
        <f t="shared" si="311"/>
        <v>0</v>
      </c>
      <c r="D555" s="10">
        <f t="shared" si="312"/>
        <v>0</v>
      </c>
      <c r="E555" s="1">
        <f t="shared" si="313"/>
        <v>0</v>
      </c>
      <c r="F555" s="1">
        <f t="shared" si="314"/>
        <v>0</v>
      </c>
      <c r="G555" s="1">
        <f t="shared" si="315"/>
        <v>0</v>
      </c>
      <c r="H555" s="1">
        <f t="shared" si="316"/>
        <v>0</v>
      </c>
      <c r="I555" s="10">
        <f t="shared" si="317"/>
        <v>0</v>
      </c>
      <c r="J555" s="1">
        <f t="shared" si="318"/>
        <v>0</v>
      </c>
      <c r="K555" s="1">
        <f t="shared" si="319"/>
        <v>0</v>
      </c>
      <c r="L555" s="1" t="str">
        <f t="shared" si="320"/>
        <v>0</v>
      </c>
      <c r="M555" s="10">
        <f t="shared" si="321"/>
        <v>0</v>
      </c>
      <c r="N555" s="1">
        <f t="shared" si="322"/>
        <v>0</v>
      </c>
      <c r="O555" s="1">
        <f t="shared" si="296"/>
        <v>0</v>
      </c>
      <c r="P555" s="1">
        <f t="shared" si="323"/>
        <v>0</v>
      </c>
      <c r="Q555" s="3" t="str">
        <f t="shared" si="295"/>
        <v/>
      </c>
      <c r="T555" s="13" t="str">
        <f t="shared" si="305"/>
        <v/>
      </c>
      <c r="U555" s="14" t="str">
        <f t="shared" si="306"/>
        <v/>
      </c>
      <c r="V555" s="13" t="str">
        <f t="shared" si="307"/>
        <v/>
      </c>
      <c r="W555" s="13" t="str">
        <f t="shared" si="308"/>
        <v/>
      </c>
      <c r="X555" s="14" t="str">
        <f t="shared" si="309"/>
        <v/>
      </c>
    </row>
    <row r="556" spans="2:24" x14ac:dyDescent="0.3">
      <c r="B556" s="1">
        <f t="shared" si="310"/>
        <v>0</v>
      </c>
      <c r="C556" s="1">
        <f t="shared" si="311"/>
        <v>0</v>
      </c>
      <c r="D556" s="10">
        <f t="shared" si="312"/>
        <v>0</v>
      </c>
      <c r="E556" s="1">
        <f t="shared" si="313"/>
        <v>0</v>
      </c>
      <c r="F556" s="1">
        <f t="shared" si="314"/>
        <v>0</v>
      </c>
      <c r="G556" s="1">
        <f t="shared" si="315"/>
        <v>0</v>
      </c>
      <c r="H556" s="1">
        <f t="shared" si="316"/>
        <v>0</v>
      </c>
      <c r="I556" s="10">
        <f t="shared" si="317"/>
        <v>0</v>
      </c>
      <c r="J556" s="1">
        <f t="shared" si="318"/>
        <v>0</v>
      </c>
      <c r="K556" s="1">
        <f t="shared" si="319"/>
        <v>0</v>
      </c>
      <c r="L556" s="1" t="str">
        <f t="shared" si="320"/>
        <v>0</v>
      </c>
      <c r="M556" s="10">
        <f t="shared" si="321"/>
        <v>0</v>
      </c>
      <c r="N556" s="1">
        <f t="shared" si="322"/>
        <v>0</v>
      </c>
      <c r="O556" s="1">
        <f t="shared" si="296"/>
        <v>0</v>
      </c>
      <c r="P556" s="1">
        <f t="shared" si="323"/>
        <v>0</v>
      </c>
      <c r="Q556" s="3" t="str">
        <f t="shared" si="295"/>
        <v/>
      </c>
      <c r="T556" s="13" t="str">
        <f t="shared" si="305"/>
        <v/>
      </c>
      <c r="U556" s="14" t="str">
        <f t="shared" si="306"/>
        <v/>
      </c>
      <c r="V556" s="13" t="str">
        <f t="shared" si="307"/>
        <v/>
      </c>
      <c r="W556" s="13" t="str">
        <f t="shared" si="308"/>
        <v/>
      </c>
      <c r="X556" s="14" t="str">
        <f t="shared" si="309"/>
        <v/>
      </c>
    </row>
    <row r="557" spans="2:24" x14ac:dyDescent="0.3">
      <c r="B557" s="1">
        <f t="shared" si="310"/>
        <v>0</v>
      </c>
      <c r="C557" s="1">
        <f t="shared" si="311"/>
        <v>0</v>
      </c>
      <c r="D557" s="10">
        <f t="shared" si="312"/>
        <v>0</v>
      </c>
      <c r="E557" s="1">
        <f t="shared" si="313"/>
        <v>0</v>
      </c>
      <c r="F557" s="1">
        <f t="shared" si="314"/>
        <v>0</v>
      </c>
      <c r="G557" s="1">
        <f t="shared" si="315"/>
        <v>0</v>
      </c>
      <c r="H557" s="1">
        <f t="shared" si="316"/>
        <v>0</v>
      </c>
      <c r="I557" s="10">
        <f t="shared" si="317"/>
        <v>0</v>
      </c>
      <c r="J557" s="1">
        <f t="shared" si="318"/>
        <v>0</v>
      </c>
      <c r="K557" s="1">
        <f t="shared" si="319"/>
        <v>0</v>
      </c>
      <c r="L557" s="1" t="str">
        <f t="shared" si="320"/>
        <v>0</v>
      </c>
      <c r="M557" s="10">
        <f t="shared" si="321"/>
        <v>0</v>
      </c>
      <c r="N557" s="1">
        <f t="shared" si="322"/>
        <v>0</v>
      </c>
      <c r="O557" s="1">
        <f t="shared" si="296"/>
        <v>0</v>
      </c>
      <c r="P557" s="1">
        <f t="shared" si="323"/>
        <v>0</v>
      </c>
      <c r="Q557" s="3" t="str">
        <f t="shared" si="295"/>
        <v/>
      </c>
      <c r="T557" s="13" t="str">
        <f t="shared" si="305"/>
        <v/>
      </c>
      <c r="U557" s="14" t="str">
        <f t="shared" si="306"/>
        <v/>
      </c>
      <c r="V557" s="13" t="str">
        <f t="shared" si="307"/>
        <v/>
      </c>
      <c r="W557" s="13" t="str">
        <f t="shared" si="308"/>
        <v/>
      </c>
      <c r="X557" s="14" t="str">
        <f t="shared" si="309"/>
        <v/>
      </c>
    </row>
    <row r="558" spans="2:24" x14ac:dyDescent="0.3">
      <c r="B558" s="1">
        <f t="shared" si="310"/>
        <v>0</v>
      </c>
      <c r="C558" s="1">
        <f t="shared" si="311"/>
        <v>0</v>
      </c>
      <c r="D558" s="10">
        <f t="shared" si="312"/>
        <v>0</v>
      </c>
      <c r="E558" s="1">
        <f t="shared" si="313"/>
        <v>0</v>
      </c>
      <c r="F558" s="1">
        <f t="shared" si="314"/>
        <v>0</v>
      </c>
      <c r="G558" s="1">
        <f t="shared" si="315"/>
        <v>0</v>
      </c>
      <c r="H558" s="1">
        <f t="shared" si="316"/>
        <v>0</v>
      </c>
      <c r="I558" s="10">
        <f t="shared" si="317"/>
        <v>0</v>
      </c>
      <c r="J558" s="1">
        <f t="shared" si="318"/>
        <v>0</v>
      </c>
      <c r="K558" s="1">
        <f t="shared" si="319"/>
        <v>0</v>
      </c>
      <c r="L558" s="1" t="str">
        <f t="shared" si="320"/>
        <v>0</v>
      </c>
      <c r="M558" s="10">
        <f t="shared" si="321"/>
        <v>0</v>
      </c>
      <c r="N558" s="1">
        <f t="shared" si="322"/>
        <v>0</v>
      </c>
      <c r="O558" s="1">
        <f t="shared" si="296"/>
        <v>0</v>
      </c>
      <c r="P558" s="1">
        <f t="shared" si="323"/>
        <v>0</v>
      </c>
      <c r="Q558" s="3" t="str">
        <f t="shared" si="295"/>
        <v/>
      </c>
      <c r="T558" s="13" t="str">
        <f t="shared" si="305"/>
        <v/>
      </c>
      <c r="U558" s="14" t="str">
        <f t="shared" si="306"/>
        <v/>
      </c>
      <c r="V558" s="13" t="str">
        <f t="shared" si="307"/>
        <v/>
      </c>
      <c r="W558" s="13" t="str">
        <f t="shared" si="308"/>
        <v/>
      </c>
      <c r="X558" s="14" t="str">
        <f t="shared" si="309"/>
        <v/>
      </c>
    </row>
    <row r="559" spans="2:24" x14ac:dyDescent="0.3">
      <c r="B559" s="1">
        <f t="shared" si="310"/>
        <v>0</v>
      </c>
      <c r="C559" s="1">
        <f t="shared" si="311"/>
        <v>0</v>
      </c>
      <c r="D559" s="10">
        <f t="shared" si="312"/>
        <v>0</v>
      </c>
      <c r="E559" s="1">
        <f t="shared" si="313"/>
        <v>0</v>
      </c>
      <c r="F559" s="1">
        <f t="shared" si="314"/>
        <v>0</v>
      </c>
      <c r="G559" s="1">
        <f t="shared" si="315"/>
        <v>0</v>
      </c>
      <c r="H559" s="1">
        <f t="shared" si="316"/>
        <v>0</v>
      </c>
      <c r="I559" s="10">
        <f t="shared" si="317"/>
        <v>0</v>
      </c>
      <c r="J559" s="1">
        <f t="shared" si="318"/>
        <v>0</v>
      </c>
      <c r="K559" s="1">
        <f t="shared" si="319"/>
        <v>0</v>
      </c>
      <c r="L559" s="1" t="str">
        <f t="shared" si="320"/>
        <v>0</v>
      </c>
      <c r="M559" s="10">
        <f t="shared" si="321"/>
        <v>0</v>
      </c>
      <c r="N559" s="1">
        <f t="shared" si="322"/>
        <v>0</v>
      </c>
      <c r="O559" s="1">
        <f t="shared" si="296"/>
        <v>0</v>
      </c>
      <c r="P559" s="1">
        <f t="shared" si="323"/>
        <v>0</v>
      </c>
      <c r="Q559" s="3" t="str">
        <f t="shared" si="295"/>
        <v/>
      </c>
      <c r="T559" s="13" t="str">
        <f t="shared" si="305"/>
        <v/>
      </c>
      <c r="U559" s="14" t="str">
        <f t="shared" si="306"/>
        <v/>
      </c>
      <c r="V559" s="13" t="str">
        <f t="shared" si="307"/>
        <v/>
      </c>
      <c r="W559" s="13" t="str">
        <f t="shared" si="308"/>
        <v/>
      </c>
      <c r="X559" s="14" t="str">
        <f t="shared" si="309"/>
        <v/>
      </c>
    </row>
    <row r="560" spans="2:24" x14ac:dyDescent="0.3">
      <c r="B560" s="1">
        <f t="shared" si="310"/>
        <v>0</v>
      </c>
      <c r="C560" s="1">
        <f t="shared" si="311"/>
        <v>0</v>
      </c>
      <c r="D560" s="10">
        <f t="shared" si="312"/>
        <v>0</v>
      </c>
      <c r="E560" s="1">
        <f t="shared" si="313"/>
        <v>0</v>
      </c>
      <c r="F560" s="1">
        <f t="shared" si="314"/>
        <v>0</v>
      </c>
      <c r="G560" s="1">
        <f t="shared" si="315"/>
        <v>0</v>
      </c>
      <c r="H560" s="1">
        <f t="shared" si="316"/>
        <v>0</v>
      </c>
      <c r="I560" s="10">
        <f t="shared" si="317"/>
        <v>0</v>
      </c>
      <c r="J560" s="1">
        <f t="shared" si="318"/>
        <v>0</v>
      </c>
      <c r="K560" s="1">
        <f t="shared" si="319"/>
        <v>0</v>
      </c>
      <c r="L560" s="1" t="str">
        <f t="shared" si="320"/>
        <v>0</v>
      </c>
      <c r="M560" s="10">
        <f t="shared" si="321"/>
        <v>0</v>
      </c>
      <c r="N560" s="1">
        <f t="shared" si="322"/>
        <v>0</v>
      </c>
      <c r="O560" s="1">
        <f t="shared" si="296"/>
        <v>0</v>
      </c>
      <c r="P560" s="1">
        <f t="shared" si="323"/>
        <v>0</v>
      </c>
      <c r="Q560" s="3" t="str">
        <f t="shared" si="295"/>
        <v/>
      </c>
      <c r="T560" s="13" t="str">
        <f t="shared" si="305"/>
        <v/>
      </c>
      <c r="U560" s="14" t="str">
        <f t="shared" si="306"/>
        <v/>
      </c>
      <c r="V560" s="13" t="str">
        <f t="shared" si="307"/>
        <v/>
      </c>
      <c r="W560" s="13" t="str">
        <f t="shared" si="308"/>
        <v/>
      </c>
      <c r="X560" s="14" t="str">
        <f t="shared" si="309"/>
        <v/>
      </c>
    </row>
    <row r="561" spans="2:24" x14ac:dyDescent="0.3">
      <c r="B561" s="1">
        <f t="shared" si="310"/>
        <v>0</v>
      </c>
      <c r="C561" s="1">
        <f t="shared" si="311"/>
        <v>0</v>
      </c>
      <c r="D561" s="10">
        <f t="shared" si="312"/>
        <v>0</v>
      </c>
      <c r="E561" s="1">
        <f t="shared" si="313"/>
        <v>0</v>
      </c>
      <c r="F561" s="1">
        <f t="shared" si="314"/>
        <v>0</v>
      </c>
      <c r="G561" s="1">
        <f t="shared" si="315"/>
        <v>0</v>
      </c>
      <c r="H561" s="1">
        <f t="shared" si="316"/>
        <v>0</v>
      </c>
      <c r="I561" s="10">
        <f t="shared" si="317"/>
        <v>0</v>
      </c>
      <c r="J561" s="1">
        <f t="shared" si="318"/>
        <v>0</v>
      </c>
      <c r="K561" s="1">
        <f t="shared" si="319"/>
        <v>0</v>
      </c>
      <c r="L561" s="1" t="str">
        <f t="shared" si="320"/>
        <v>0</v>
      </c>
      <c r="M561" s="10">
        <f t="shared" si="321"/>
        <v>0</v>
      </c>
      <c r="N561" s="1">
        <f t="shared" si="322"/>
        <v>0</v>
      </c>
      <c r="O561" s="1">
        <f t="shared" si="296"/>
        <v>0</v>
      </c>
      <c r="P561" s="1">
        <f t="shared" si="323"/>
        <v>0</v>
      </c>
      <c r="Q561" s="3" t="str">
        <f t="shared" si="295"/>
        <v/>
      </c>
      <c r="T561" s="13" t="str">
        <f t="shared" si="305"/>
        <v/>
      </c>
      <c r="U561" s="14" t="str">
        <f t="shared" si="306"/>
        <v/>
      </c>
      <c r="V561" s="13" t="str">
        <f t="shared" si="307"/>
        <v/>
      </c>
      <c r="W561" s="13" t="str">
        <f t="shared" si="308"/>
        <v/>
      </c>
      <c r="X561" s="14" t="str">
        <f t="shared" si="309"/>
        <v/>
      </c>
    </row>
    <row r="562" spans="2:24" x14ac:dyDescent="0.3">
      <c r="B562" s="1">
        <f t="shared" si="310"/>
        <v>0</v>
      </c>
      <c r="C562" s="1">
        <f t="shared" si="311"/>
        <v>0</v>
      </c>
      <c r="D562" s="10">
        <f t="shared" si="312"/>
        <v>0</v>
      </c>
      <c r="E562" s="1">
        <f t="shared" si="313"/>
        <v>0</v>
      </c>
      <c r="F562" s="1">
        <f t="shared" si="314"/>
        <v>0</v>
      </c>
      <c r="G562" s="1">
        <f t="shared" si="315"/>
        <v>0</v>
      </c>
      <c r="H562" s="1">
        <f t="shared" si="316"/>
        <v>0</v>
      </c>
      <c r="I562" s="10">
        <f t="shared" si="317"/>
        <v>0</v>
      </c>
      <c r="J562" s="1">
        <f t="shared" si="318"/>
        <v>0</v>
      </c>
      <c r="K562" s="1">
        <f t="shared" si="319"/>
        <v>0</v>
      </c>
      <c r="L562" s="1" t="str">
        <f t="shared" si="320"/>
        <v>0</v>
      </c>
      <c r="M562" s="10">
        <f t="shared" si="321"/>
        <v>0</v>
      </c>
      <c r="N562" s="1">
        <f t="shared" si="322"/>
        <v>0</v>
      </c>
      <c r="O562" s="1">
        <f t="shared" si="296"/>
        <v>0</v>
      </c>
      <c r="P562" s="1">
        <f t="shared" si="323"/>
        <v>0</v>
      </c>
      <c r="Q562" s="3" t="str">
        <f t="shared" si="295"/>
        <v/>
      </c>
      <c r="T562" s="13" t="str">
        <f t="shared" si="305"/>
        <v/>
      </c>
      <c r="U562" s="14" t="str">
        <f t="shared" si="306"/>
        <v/>
      </c>
      <c r="V562" s="13" t="str">
        <f t="shared" si="307"/>
        <v/>
      </c>
      <c r="W562" s="13" t="str">
        <f t="shared" si="308"/>
        <v/>
      </c>
      <c r="X562" s="14" t="str">
        <f t="shared" si="309"/>
        <v/>
      </c>
    </row>
    <row r="563" spans="2:24" x14ac:dyDescent="0.3">
      <c r="B563" s="1">
        <f t="shared" si="310"/>
        <v>0</v>
      </c>
      <c r="C563" s="1">
        <f t="shared" si="311"/>
        <v>0</v>
      </c>
      <c r="D563" s="10">
        <f t="shared" si="312"/>
        <v>0</v>
      </c>
      <c r="E563" s="1">
        <f t="shared" si="313"/>
        <v>0</v>
      </c>
      <c r="F563" s="1">
        <f t="shared" si="314"/>
        <v>0</v>
      </c>
      <c r="G563" s="1">
        <f t="shared" si="315"/>
        <v>0</v>
      </c>
      <c r="H563" s="1">
        <f t="shared" si="316"/>
        <v>0</v>
      </c>
      <c r="I563" s="10">
        <f t="shared" si="317"/>
        <v>0</v>
      </c>
      <c r="J563" s="1">
        <f t="shared" si="318"/>
        <v>0</v>
      </c>
      <c r="K563" s="1">
        <f t="shared" si="319"/>
        <v>0</v>
      </c>
      <c r="L563" s="1" t="str">
        <f t="shared" si="320"/>
        <v>0</v>
      </c>
      <c r="M563" s="10">
        <f t="shared" si="321"/>
        <v>0</v>
      </c>
      <c r="N563" s="1">
        <f t="shared" si="322"/>
        <v>0</v>
      </c>
      <c r="O563" s="1">
        <f t="shared" si="296"/>
        <v>0</v>
      </c>
      <c r="P563" s="1">
        <f t="shared" si="323"/>
        <v>0</v>
      </c>
      <c r="Q563" s="3" t="str">
        <f t="shared" si="295"/>
        <v/>
      </c>
      <c r="T563" s="13" t="str">
        <f t="shared" si="305"/>
        <v/>
      </c>
      <c r="U563" s="14" t="str">
        <f t="shared" si="306"/>
        <v/>
      </c>
      <c r="V563" s="13" t="str">
        <f t="shared" si="307"/>
        <v/>
      </c>
      <c r="W563" s="13" t="str">
        <f t="shared" si="308"/>
        <v/>
      </c>
      <c r="X563" s="14" t="str">
        <f t="shared" si="309"/>
        <v/>
      </c>
    </row>
    <row r="564" spans="2:24" x14ac:dyDescent="0.3">
      <c r="B564" s="1">
        <f t="shared" si="310"/>
        <v>0</v>
      </c>
      <c r="C564" s="1">
        <f t="shared" si="311"/>
        <v>0</v>
      </c>
      <c r="D564" s="10">
        <f t="shared" si="312"/>
        <v>0</v>
      </c>
      <c r="E564" s="1">
        <f t="shared" si="313"/>
        <v>0</v>
      </c>
      <c r="F564" s="1">
        <f t="shared" si="314"/>
        <v>0</v>
      </c>
      <c r="G564" s="1">
        <f t="shared" si="315"/>
        <v>0</v>
      </c>
      <c r="H564" s="1">
        <f t="shared" si="316"/>
        <v>0</v>
      </c>
      <c r="I564" s="10">
        <f t="shared" si="317"/>
        <v>0</v>
      </c>
      <c r="J564" s="1">
        <f t="shared" si="318"/>
        <v>0</v>
      </c>
      <c r="K564" s="1">
        <f t="shared" si="319"/>
        <v>0</v>
      </c>
      <c r="L564" s="1" t="str">
        <f t="shared" si="320"/>
        <v>0</v>
      </c>
      <c r="M564" s="10">
        <f t="shared" si="321"/>
        <v>0</v>
      </c>
      <c r="N564" s="1">
        <f t="shared" si="322"/>
        <v>0</v>
      </c>
      <c r="O564" s="1">
        <f t="shared" si="296"/>
        <v>0</v>
      </c>
      <c r="P564" s="1">
        <f t="shared" si="323"/>
        <v>0</v>
      </c>
      <c r="Q564" s="3" t="str">
        <f t="shared" si="295"/>
        <v/>
      </c>
      <c r="T564" s="13" t="str">
        <f t="shared" si="305"/>
        <v/>
      </c>
      <c r="U564" s="14" t="str">
        <f t="shared" si="306"/>
        <v/>
      </c>
      <c r="V564" s="13" t="str">
        <f t="shared" si="307"/>
        <v/>
      </c>
      <c r="W564" s="13" t="str">
        <f t="shared" si="308"/>
        <v/>
      </c>
      <c r="X564" s="14" t="str">
        <f t="shared" si="309"/>
        <v/>
      </c>
    </row>
    <row r="565" spans="2:24" x14ac:dyDescent="0.3">
      <c r="B565" s="1">
        <f t="shared" si="310"/>
        <v>0</v>
      </c>
      <c r="C565" s="1">
        <f t="shared" si="311"/>
        <v>0</v>
      </c>
      <c r="D565" s="10">
        <f t="shared" si="312"/>
        <v>0</v>
      </c>
      <c r="E565" s="1">
        <f t="shared" si="313"/>
        <v>0</v>
      </c>
      <c r="F565" s="1">
        <f t="shared" si="314"/>
        <v>0</v>
      </c>
      <c r="G565" s="1">
        <f t="shared" si="315"/>
        <v>0</v>
      </c>
      <c r="H565" s="1">
        <f t="shared" ref="H565:H628" si="324">IF(AND(F565&gt;0,F565&lt;G565),F565,G565)</f>
        <v>0</v>
      </c>
      <c r="I565" s="10">
        <f t="shared" si="317"/>
        <v>0</v>
      </c>
      <c r="J565" s="1">
        <f t="shared" ref="J565:J628" si="325">IF(AND(F565&gt;0,F565&lt;G565),FIND("=",A565,F565)+1,0)</f>
        <v>0</v>
      </c>
      <c r="K565" s="1">
        <f t="shared" ref="K565:K628" si="326">IF(J565&gt;0,MID(A565,J565,G565-J565),0)</f>
        <v>0</v>
      </c>
      <c r="L565" s="1" t="str">
        <f t="shared" ref="L565:L628" si="327">IFERROR(RIGHT(K565,LEN(K565)-FIND("0x",K565)-1),DEC2HEX(K565))</f>
        <v>0</v>
      </c>
      <c r="M565" s="10">
        <f t="shared" ref="M565:M628" si="328">HEX2DEC(L565)</f>
        <v>0</v>
      </c>
      <c r="N565" s="1">
        <f t="shared" si="322"/>
        <v>0</v>
      </c>
      <c r="O565" s="1">
        <f t="shared" si="296"/>
        <v>0</v>
      </c>
      <c r="P565" s="1">
        <f t="shared" ref="P565:P628" si="329">IFERROR(FIND("*/",$A565,N565+1),0)</f>
        <v>0</v>
      </c>
      <c r="Q565" s="3" t="str">
        <f t="shared" si="295"/>
        <v/>
      </c>
      <c r="T565" s="13" t="str">
        <f t="shared" si="305"/>
        <v/>
      </c>
      <c r="U565" s="14" t="str">
        <f t="shared" si="306"/>
        <v/>
      </c>
      <c r="V565" s="13" t="str">
        <f t="shared" si="307"/>
        <v/>
      </c>
      <c r="W565" s="13" t="str">
        <f t="shared" si="308"/>
        <v/>
      </c>
      <c r="X565" s="14" t="str">
        <f t="shared" si="309"/>
        <v/>
      </c>
    </row>
    <row r="566" spans="2:24" x14ac:dyDescent="0.3">
      <c r="B566" s="1">
        <f t="shared" si="310"/>
        <v>0</v>
      </c>
      <c r="C566" s="1">
        <f t="shared" si="311"/>
        <v>0</v>
      </c>
      <c r="D566" s="10">
        <f t="shared" si="312"/>
        <v>0</v>
      </c>
      <c r="E566" s="1">
        <f t="shared" si="313"/>
        <v>0</v>
      </c>
      <c r="F566" s="1">
        <f t="shared" si="314"/>
        <v>0</v>
      </c>
      <c r="G566" s="1">
        <f t="shared" si="315"/>
        <v>0</v>
      </c>
      <c r="H566" s="1">
        <f t="shared" si="324"/>
        <v>0</v>
      </c>
      <c r="I566" s="10">
        <f t="shared" si="317"/>
        <v>0</v>
      </c>
      <c r="J566" s="1">
        <f t="shared" si="325"/>
        <v>0</v>
      </c>
      <c r="K566" s="1">
        <f t="shared" si="326"/>
        <v>0</v>
      </c>
      <c r="L566" s="1" t="str">
        <f t="shared" si="327"/>
        <v>0</v>
      </c>
      <c r="M566" s="10">
        <f t="shared" si="328"/>
        <v>0</v>
      </c>
      <c r="N566" s="1">
        <f t="shared" si="322"/>
        <v>0</v>
      </c>
      <c r="O566" s="1">
        <f t="shared" si="296"/>
        <v>0</v>
      </c>
      <c r="P566" s="1">
        <f t="shared" si="329"/>
        <v>0</v>
      </c>
      <c r="Q566" s="3" t="str">
        <f t="shared" si="295"/>
        <v/>
      </c>
      <c r="T566" s="13" t="str">
        <f t="shared" si="305"/>
        <v/>
      </c>
      <c r="U566" s="14" t="str">
        <f t="shared" si="306"/>
        <v/>
      </c>
      <c r="V566" s="13" t="str">
        <f t="shared" si="307"/>
        <v/>
      </c>
      <c r="W566" s="13" t="str">
        <f t="shared" si="308"/>
        <v/>
      </c>
      <c r="X566" s="14" t="str">
        <f t="shared" si="309"/>
        <v/>
      </c>
    </row>
    <row r="567" spans="2:24" x14ac:dyDescent="0.3">
      <c r="B567" s="1">
        <f t="shared" si="310"/>
        <v>0</v>
      </c>
      <c r="C567" s="1">
        <f t="shared" si="311"/>
        <v>0</v>
      </c>
      <c r="D567" s="10">
        <f t="shared" si="312"/>
        <v>0</v>
      </c>
      <c r="E567" s="1">
        <f t="shared" si="313"/>
        <v>0</v>
      </c>
      <c r="F567" s="1">
        <f t="shared" si="314"/>
        <v>0</v>
      </c>
      <c r="G567" s="1">
        <f t="shared" si="315"/>
        <v>0</v>
      </c>
      <c r="H567" s="1">
        <f t="shared" si="324"/>
        <v>0</v>
      </c>
      <c r="I567" s="10">
        <f t="shared" si="317"/>
        <v>0</v>
      </c>
      <c r="J567" s="1">
        <f t="shared" si="325"/>
        <v>0</v>
      </c>
      <c r="K567" s="1">
        <f t="shared" si="326"/>
        <v>0</v>
      </c>
      <c r="L567" s="1" t="str">
        <f t="shared" si="327"/>
        <v>0</v>
      </c>
      <c r="M567" s="10">
        <f t="shared" si="328"/>
        <v>0</v>
      </c>
      <c r="N567" s="1">
        <f t="shared" si="322"/>
        <v>0</v>
      </c>
      <c r="O567" s="1">
        <f t="shared" si="296"/>
        <v>0</v>
      </c>
      <c r="P567" s="1">
        <f t="shared" si="329"/>
        <v>0</v>
      </c>
      <c r="Q567" s="3" t="str">
        <f t="shared" si="295"/>
        <v/>
      </c>
      <c r="T567" s="13" t="str">
        <f t="shared" si="305"/>
        <v/>
      </c>
      <c r="U567" s="14" t="str">
        <f t="shared" si="306"/>
        <v/>
      </c>
      <c r="V567" s="13" t="str">
        <f t="shared" si="307"/>
        <v/>
      </c>
      <c r="W567" s="13" t="str">
        <f t="shared" si="308"/>
        <v/>
      </c>
      <c r="X567" s="14" t="str">
        <f t="shared" si="309"/>
        <v/>
      </c>
    </row>
    <row r="568" spans="2:24" x14ac:dyDescent="0.3">
      <c r="B568" s="1">
        <f t="shared" si="310"/>
        <v>0</v>
      </c>
      <c r="C568" s="1">
        <f t="shared" si="311"/>
        <v>0</v>
      </c>
      <c r="D568" s="10">
        <f t="shared" si="312"/>
        <v>0</v>
      </c>
      <c r="E568" s="1">
        <f t="shared" si="313"/>
        <v>0</v>
      </c>
      <c r="F568" s="1">
        <f t="shared" si="314"/>
        <v>0</v>
      </c>
      <c r="G568" s="1">
        <f t="shared" si="315"/>
        <v>0</v>
      </c>
      <c r="H568" s="1">
        <f t="shared" si="324"/>
        <v>0</v>
      </c>
      <c r="I568" s="10">
        <f t="shared" si="317"/>
        <v>0</v>
      </c>
      <c r="J568" s="1">
        <f t="shared" si="325"/>
        <v>0</v>
      </c>
      <c r="K568" s="1">
        <f t="shared" si="326"/>
        <v>0</v>
      </c>
      <c r="L568" s="1" t="str">
        <f t="shared" si="327"/>
        <v>0</v>
      </c>
      <c r="M568" s="10">
        <f t="shared" si="328"/>
        <v>0</v>
      </c>
      <c r="N568" s="1">
        <f t="shared" si="322"/>
        <v>0</v>
      </c>
      <c r="O568" s="1">
        <f t="shared" si="296"/>
        <v>0</v>
      </c>
      <c r="P568" s="1">
        <f t="shared" si="329"/>
        <v>0</v>
      </c>
      <c r="Q568" s="3" t="str">
        <f t="shared" si="295"/>
        <v/>
      </c>
      <c r="T568" s="13" t="str">
        <f t="shared" si="305"/>
        <v/>
      </c>
      <c r="U568" s="14" t="str">
        <f t="shared" si="306"/>
        <v/>
      </c>
      <c r="V568" s="13" t="str">
        <f t="shared" si="307"/>
        <v/>
      </c>
      <c r="W568" s="13" t="str">
        <f t="shared" si="308"/>
        <v/>
      </c>
      <c r="X568" s="14" t="str">
        <f t="shared" si="309"/>
        <v/>
      </c>
    </row>
    <row r="569" spans="2:24" x14ac:dyDescent="0.3">
      <c r="B569" s="1">
        <f t="shared" si="310"/>
        <v>0</v>
      </c>
      <c r="C569" s="1">
        <f t="shared" si="311"/>
        <v>0</v>
      </c>
      <c r="D569" s="10">
        <f t="shared" si="312"/>
        <v>0</v>
      </c>
      <c r="E569" s="1">
        <f t="shared" si="313"/>
        <v>0</v>
      </c>
      <c r="F569" s="1">
        <f t="shared" si="314"/>
        <v>0</v>
      </c>
      <c r="G569" s="1">
        <f t="shared" si="315"/>
        <v>0</v>
      </c>
      <c r="H569" s="1">
        <f t="shared" si="324"/>
        <v>0</v>
      </c>
      <c r="I569" s="10">
        <f t="shared" si="317"/>
        <v>0</v>
      </c>
      <c r="J569" s="1">
        <f t="shared" si="325"/>
        <v>0</v>
      </c>
      <c r="K569" s="1">
        <f t="shared" si="326"/>
        <v>0</v>
      </c>
      <c r="L569" s="1" t="str">
        <f t="shared" si="327"/>
        <v>0</v>
      </c>
      <c r="M569" s="10">
        <f t="shared" si="328"/>
        <v>0</v>
      </c>
      <c r="N569" s="1">
        <f t="shared" si="322"/>
        <v>0</v>
      </c>
      <c r="O569" s="1">
        <f t="shared" si="296"/>
        <v>0</v>
      </c>
      <c r="P569" s="1">
        <f t="shared" si="329"/>
        <v>0</v>
      </c>
      <c r="Q569" s="3" t="str">
        <f t="shared" si="295"/>
        <v/>
      </c>
      <c r="T569" s="13" t="str">
        <f t="shared" si="305"/>
        <v/>
      </c>
      <c r="U569" s="14" t="str">
        <f t="shared" si="306"/>
        <v/>
      </c>
      <c r="V569" s="13" t="str">
        <f t="shared" si="307"/>
        <v/>
      </c>
      <c r="W569" s="13" t="str">
        <f t="shared" si="308"/>
        <v/>
      </c>
      <c r="X569" s="14" t="str">
        <f t="shared" si="309"/>
        <v/>
      </c>
    </row>
    <row r="570" spans="2:24" x14ac:dyDescent="0.3">
      <c r="B570" s="1">
        <f t="shared" si="310"/>
        <v>0</v>
      </c>
      <c r="C570" s="1">
        <f t="shared" si="311"/>
        <v>0</v>
      </c>
      <c r="D570" s="10">
        <f t="shared" si="312"/>
        <v>0</v>
      </c>
      <c r="E570" s="1">
        <f t="shared" si="313"/>
        <v>0</v>
      </c>
      <c r="F570" s="1">
        <f t="shared" si="314"/>
        <v>0</v>
      </c>
      <c r="G570" s="1">
        <f t="shared" si="315"/>
        <v>0</v>
      </c>
      <c r="H570" s="1">
        <f t="shared" si="324"/>
        <v>0</v>
      </c>
      <c r="I570" s="10">
        <f t="shared" si="317"/>
        <v>0</v>
      </c>
      <c r="J570" s="1">
        <f t="shared" si="325"/>
        <v>0</v>
      </c>
      <c r="K570" s="1">
        <f t="shared" si="326"/>
        <v>0</v>
      </c>
      <c r="L570" s="1" t="str">
        <f t="shared" si="327"/>
        <v>0</v>
      </c>
      <c r="M570" s="10">
        <f t="shared" si="328"/>
        <v>0</v>
      </c>
      <c r="N570" s="1">
        <f t="shared" si="322"/>
        <v>0</v>
      </c>
      <c r="O570" s="1">
        <f t="shared" si="296"/>
        <v>0</v>
      </c>
      <c r="P570" s="1">
        <f t="shared" si="329"/>
        <v>0</v>
      </c>
      <c r="Q570" s="3" t="str">
        <f t="shared" si="295"/>
        <v/>
      </c>
      <c r="T570" s="13" t="str">
        <f t="shared" si="305"/>
        <v/>
      </c>
      <c r="U570" s="14" t="str">
        <f t="shared" si="306"/>
        <v/>
      </c>
      <c r="V570" s="13" t="str">
        <f t="shared" si="307"/>
        <v/>
      </c>
      <c r="W570" s="13" t="str">
        <f t="shared" si="308"/>
        <v/>
      </c>
      <c r="X570" s="14" t="str">
        <f t="shared" si="309"/>
        <v/>
      </c>
    </row>
    <row r="571" spans="2:24" x14ac:dyDescent="0.3">
      <c r="B571" s="1">
        <f t="shared" si="310"/>
        <v>0</v>
      </c>
      <c r="C571" s="1">
        <f t="shared" si="311"/>
        <v>0</v>
      </c>
      <c r="D571" s="10">
        <f t="shared" si="312"/>
        <v>0</v>
      </c>
      <c r="E571" s="1">
        <f t="shared" si="313"/>
        <v>0</v>
      </c>
      <c r="F571" s="1">
        <f t="shared" si="314"/>
        <v>0</v>
      </c>
      <c r="G571" s="1">
        <f t="shared" si="315"/>
        <v>0</v>
      </c>
      <c r="H571" s="1">
        <f t="shared" si="324"/>
        <v>0</v>
      </c>
      <c r="I571" s="10">
        <f t="shared" si="317"/>
        <v>0</v>
      </c>
      <c r="J571" s="1">
        <f t="shared" si="325"/>
        <v>0</v>
      </c>
      <c r="K571" s="1">
        <f t="shared" si="326"/>
        <v>0</v>
      </c>
      <c r="L571" s="1" t="str">
        <f t="shared" si="327"/>
        <v>0</v>
      </c>
      <c r="M571" s="10">
        <f t="shared" si="328"/>
        <v>0</v>
      </c>
      <c r="N571" s="1">
        <f t="shared" si="322"/>
        <v>0</v>
      </c>
      <c r="O571" s="1">
        <f t="shared" si="296"/>
        <v>0</v>
      </c>
      <c r="P571" s="1">
        <f t="shared" si="329"/>
        <v>0</v>
      </c>
      <c r="Q571" s="3" t="str">
        <f t="shared" si="295"/>
        <v/>
      </c>
      <c r="T571" s="13" t="str">
        <f t="shared" si="305"/>
        <v/>
      </c>
      <c r="U571" s="14" t="str">
        <f t="shared" si="306"/>
        <v/>
      </c>
      <c r="V571" s="13" t="str">
        <f t="shared" si="307"/>
        <v/>
      </c>
      <c r="W571" s="13" t="str">
        <f t="shared" si="308"/>
        <v/>
      </c>
      <c r="X571" s="14" t="str">
        <f t="shared" si="309"/>
        <v/>
      </c>
    </row>
    <row r="572" spans="2:24" x14ac:dyDescent="0.3">
      <c r="B572" s="1">
        <f t="shared" si="310"/>
        <v>0</v>
      </c>
      <c r="C572" s="1">
        <f t="shared" si="311"/>
        <v>0</v>
      </c>
      <c r="D572" s="10">
        <f t="shared" si="312"/>
        <v>0</v>
      </c>
      <c r="E572" s="1">
        <f t="shared" si="313"/>
        <v>0</v>
      </c>
      <c r="F572" s="1">
        <f t="shared" si="314"/>
        <v>0</v>
      </c>
      <c r="G572" s="1">
        <f t="shared" si="315"/>
        <v>0</v>
      </c>
      <c r="H572" s="1">
        <f t="shared" si="324"/>
        <v>0</v>
      </c>
      <c r="I572" s="10">
        <f t="shared" si="317"/>
        <v>0</v>
      </c>
      <c r="J572" s="1">
        <f t="shared" si="325"/>
        <v>0</v>
      </c>
      <c r="K572" s="1">
        <f t="shared" si="326"/>
        <v>0</v>
      </c>
      <c r="L572" s="1" t="str">
        <f t="shared" si="327"/>
        <v>0</v>
      </c>
      <c r="M572" s="10">
        <f t="shared" si="328"/>
        <v>0</v>
      </c>
      <c r="N572" s="1">
        <f t="shared" si="322"/>
        <v>0</v>
      </c>
      <c r="O572" s="1">
        <f t="shared" si="296"/>
        <v>0</v>
      </c>
      <c r="P572" s="1">
        <f t="shared" si="329"/>
        <v>0</v>
      </c>
      <c r="Q572" s="3" t="str">
        <f t="shared" si="295"/>
        <v/>
      </c>
      <c r="T572" s="13" t="str">
        <f t="shared" si="305"/>
        <v/>
      </c>
      <c r="U572" s="14" t="str">
        <f t="shared" si="306"/>
        <v/>
      </c>
      <c r="V572" s="13" t="str">
        <f t="shared" si="307"/>
        <v/>
      </c>
      <c r="W572" s="13" t="str">
        <f t="shared" si="308"/>
        <v/>
      </c>
      <c r="X572" s="14" t="str">
        <f t="shared" si="309"/>
        <v/>
      </c>
    </row>
    <row r="573" spans="2:24" x14ac:dyDescent="0.3">
      <c r="B573" s="1">
        <f t="shared" si="310"/>
        <v>0</v>
      </c>
      <c r="C573" s="1">
        <f t="shared" si="311"/>
        <v>0</v>
      </c>
      <c r="D573" s="10">
        <f t="shared" si="312"/>
        <v>0</v>
      </c>
      <c r="E573" s="1">
        <f t="shared" si="313"/>
        <v>0</v>
      </c>
      <c r="F573" s="1">
        <f t="shared" si="314"/>
        <v>0</v>
      </c>
      <c r="G573" s="1">
        <f t="shared" si="315"/>
        <v>0</v>
      </c>
      <c r="H573" s="1">
        <f t="shared" si="324"/>
        <v>0</v>
      </c>
      <c r="I573" s="10">
        <f t="shared" si="317"/>
        <v>0</v>
      </c>
      <c r="J573" s="1">
        <f t="shared" si="325"/>
        <v>0</v>
      </c>
      <c r="K573" s="1">
        <f t="shared" si="326"/>
        <v>0</v>
      </c>
      <c r="L573" s="1" t="str">
        <f t="shared" si="327"/>
        <v>0</v>
      </c>
      <c r="M573" s="10">
        <f t="shared" si="328"/>
        <v>0</v>
      </c>
      <c r="N573" s="1">
        <f t="shared" si="322"/>
        <v>0</v>
      </c>
      <c r="O573" s="1">
        <f t="shared" si="296"/>
        <v>0</v>
      </c>
      <c r="P573" s="1">
        <f t="shared" si="329"/>
        <v>0</v>
      </c>
      <c r="Q573" s="3" t="str">
        <f t="shared" si="295"/>
        <v/>
      </c>
      <c r="T573" s="13" t="str">
        <f t="shared" si="305"/>
        <v/>
      </c>
      <c r="U573" s="14" t="str">
        <f t="shared" si="306"/>
        <v/>
      </c>
      <c r="V573" s="13" t="str">
        <f t="shared" si="307"/>
        <v/>
      </c>
      <c r="W573" s="13" t="str">
        <f t="shared" si="308"/>
        <v/>
      </c>
      <c r="X573" s="14" t="str">
        <f t="shared" si="309"/>
        <v/>
      </c>
    </row>
    <row r="574" spans="2:24" x14ac:dyDescent="0.3">
      <c r="B574" s="1">
        <f t="shared" si="310"/>
        <v>0</v>
      </c>
      <c r="C574" s="1">
        <f t="shared" si="311"/>
        <v>0</v>
      </c>
      <c r="D574" s="10">
        <f t="shared" si="312"/>
        <v>0</v>
      </c>
      <c r="E574" s="1">
        <f t="shared" si="313"/>
        <v>0</v>
      </c>
      <c r="F574" s="1">
        <f t="shared" si="314"/>
        <v>0</v>
      </c>
      <c r="G574" s="1">
        <f t="shared" si="315"/>
        <v>0</v>
      </c>
      <c r="H574" s="1">
        <f t="shared" si="324"/>
        <v>0</v>
      </c>
      <c r="I574" s="10">
        <f t="shared" si="317"/>
        <v>0</v>
      </c>
      <c r="J574" s="1">
        <f t="shared" si="325"/>
        <v>0</v>
      </c>
      <c r="K574" s="1">
        <f t="shared" si="326"/>
        <v>0</v>
      </c>
      <c r="L574" s="1" t="str">
        <f t="shared" si="327"/>
        <v>0</v>
      </c>
      <c r="M574" s="10">
        <f t="shared" si="328"/>
        <v>0</v>
      </c>
      <c r="N574" s="1">
        <f t="shared" si="322"/>
        <v>0</v>
      </c>
      <c r="O574" s="1">
        <f t="shared" si="296"/>
        <v>0</v>
      </c>
      <c r="P574" s="1">
        <f t="shared" si="329"/>
        <v>0</v>
      </c>
      <c r="Q574" s="3" t="str">
        <f t="shared" si="295"/>
        <v/>
      </c>
      <c r="T574" s="13" t="str">
        <f t="shared" si="305"/>
        <v/>
      </c>
      <c r="U574" s="14" t="str">
        <f t="shared" si="306"/>
        <v/>
      </c>
      <c r="V574" s="13" t="str">
        <f t="shared" si="307"/>
        <v/>
      </c>
      <c r="W574" s="13" t="str">
        <f t="shared" si="308"/>
        <v/>
      </c>
      <c r="X574" s="14" t="str">
        <f t="shared" si="309"/>
        <v/>
      </c>
    </row>
    <row r="575" spans="2:24" x14ac:dyDescent="0.3">
      <c r="B575" s="1">
        <f t="shared" si="310"/>
        <v>0</v>
      </c>
      <c r="C575" s="1">
        <f t="shared" si="311"/>
        <v>0</v>
      </c>
      <c r="D575" s="10">
        <f t="shared" si="312"/>
        <v>0</v>
      </c>
      <c r="E575" s="1">
        <f t="shared" si="313"/>
        <v>0</v>
      </c>
      <c r="F575" s="1">
        <f t="shared" si="314"/>
        <v>0</v>
      </c>
      <c r="G575" s="1">
        <f t="shared" si="315"/>
        <v>0</v>
      </c>
      <c r="H575" s="1">
        <f t="shared" si="324"/>
        <v>0</v>
      </c>
      <c r="I575" s="10">
        <f t="shared" si="317"/>
        <v>0</v>
      </c>
      <c r="J575" s="1">
        <f t="shared" si="325"/>
        <v>0</v>
      </c>
      <c r="K575" s="1">
        <f t="shared" si="326"/>
        <v>0</v>
      </c>
      <c r="L575" s="1" t="str">
        <f t="shared" si="327"/>
        <v>0</v>
      </c>
      <c r="M575" s="10">
        <f t="shared" si="328"/>
        <v>0</v>
      </c>
      <c r="N575" s="1">
        <f t="shared" si="322"/>
        <v>0</v>
      </c>
      <c r="O575" s="1">
        <f t="shared" si="296"/>
        <v>0</v>
      </c>
      <c r="P575" s="1">
        <f t="shared" si="329"/>
        <v>0</v>
      </c>
      <c r="Q575" s="3" t="str">
        <f t="shared" si="295"/>
        <v/>
      </c>
      <c r="T575" s="13" t="str">
        <f t="shared" si="305"/>
        <v/>
      </c>
      <c r="U575" s="14" t="str">
        <f t="shared" si="306"/>
        <v/>
      </c>
      <c r="V575" s="13" t="str">
        <f t="shared" si="307"/>
        <v/>
      </c>
      <c r="W575" s="13" t="str">
        <f t="shared" si="308"/>
        <v/>
      </c>
      <c r="X575" s="14" t="str">
        <f t="shared" si="309"/>
        <v/>
      </c>
    </row>
    <row r="576" spans="2:24" x14ac:dyDescent="0.3">
      <c r="B576" s="1">
        <f t="shared" si="310"/>
        <v>0</v>
      </c>
      <c r="C576" s="1">
        <f t="shared" si="311"/>
        <v>0</v>
      </c>
      <c r="D576" s="10">
        <f t="shared" si="312"/>
        <v>0</v>
      </c>
      <c r="E576" s="1">
        <f t="shared" si="313"/>
        <v>0</v>
      </c>
      <c r="F576" s="1">
        <f t="shared" si="314"/>
        <v>0</v>
      </c>
      <c r="G576" s="1">
        <f t="shared" si="315"/>
        <v>0</v>
      </c>
      <c r="H576" s="1">
        <f t="shared" si="324"/>
        <v>0</v>
      </c>
      <c r="I576" s="10">
        <f t="shared" si="317"/>
        <v>0</v>
      </c>
      <c r="J576" s="1">
        <f t="shared" si="325"/>
        <v>0</v>
      </c>
      <c r="K576" s="1">
        <f t="shared" si="326"/>
        <v>0</v>
      </c>
      <c r="L576" s="1" t="str">
        <f t="shared" si="327"/>
        <v>0</v>
      </c>
      <c r="M576" s="10">
        <f t="shared" si="328"/>
        <v>0</v>
      </c>
      <c r="N576" s="1">
        <f t="shared" si="322"/>
        <v>0</v>
      </c>
      <c r="O576" s="1">
        <f t="shared" si="296"/>
        <v>0</v>
      </c>
      <c r="P576" s="1">
        <f t="shared" si="329"/>
        <v>0</v>
      </c>
      <c r="Q576" s="3" t="str">
        <f t="shared" si="295"/>
        <v/>
      </c>
      <c r="T576" s="13" t="str">
        <f t="shared" si="305"/>
        <v/>
      </c>
      <c r="U576" s="14" t="str">
        <f t="shared" si="306"/>
        <v/>
      </c>
      <c r="V576" s="13" t="str">
        <f t="shared" si="307"/>
        <v/>
      </c>
      <c r="W576" s="13" t="str">
        <f t="shared" si="308"/>
        <v/>
      </c>
      <c r="X576" s="14" t="str">
        <f t="shared" si="309"/>
        <v/>
      </c>
    </row>
    <row r="577" spans="2:24" x14ac:dyDescent="0.3">
      <c r="B577" s="1">
        <f t="shared" si="310"/>
        <v>0</v>
      </c>
      <c r="C577" s="1">
        <f t="shared" si="311"/>
        <v>0</v>
      </c>
      <c r="D577" s="10">
        <f t="shared" si="312"/>
        <v>0</v>
      </c>
      <c r="E577" s="1">
        <f t="shared" si="313"/>
        <v>0</v>
      </c>
      <c r="F577" s="1">
        <f t="shared" si="314"/>
        <v>0</v>
      </c>
      <c r="G577" s="1">
        <f t="shared" si="315"/>
        <v>0</v>
      </c>
      <c r="H577" s="1">
        <f t="shared" si="324"/>
        <v>0</v>
      </c>
      <c r="I577" s="10">
        <f t="shared" si="317"/>
        <v>0</v>
      </c>
      <c r="J577" s="1">
        <f t="shared" si="325"/>
        <v>0</v>
      </c>
      <c r="K577" s="1">
        <f t="shared" si="326"/>
        <v>0</v>
      </c>
      <c r="L577" s="1" t="str">
        <f t="shared" si="327"/>
        <v>0</v>
      </c>
      <c r="M577" s="10">
        <f t="shared" si="328"/>
        <v>0</v>
      </c>
      <c r="N577" s="1">
        <f t="shared" si="322"/>
        <v>0</v>
      </c>
      <c r="O577" s="1">
        <f t="shared" si="296"/>
        <v>0</v>
      </c>
      <c r="P577" s="1">
        <f t="shared" si="329"/>
        <v>0</v>
      </c>
      <c r="Q577" s="3" t="str">
        <f t="shared" si="295"/>
        <v/>
      </c>
      <c r="T577" s="13" t="str">
        <f t="shared" si="305"/>
        <v/>
      </c>
      <c r="U577" s="14" t="str">
        <f t="shared" si="306"/>
        <v/>
      </c>
      <c r="V577" s="13" t="str">
        <f t="shared" si="307"/>
        <v/>
      </c>
      <c r="W577" s="13" t="str">
        <f t="shared" si="308"/>
        <v/>
      </c>
      <c r="X577" s="14" t="str">
        <f t="shared" si="309"/>
        <v/>
      </c>
    </row>
    <row r="578" spans="2:24" x14ac:dyDescent="0.3">
      <c r="B578" s="1">
        <f t="shared" si="310"/>
        <v>0</v>
      </c>
      <c r="C578" s="1">
        <f t="shared" si="311"/>
        <v>0</v>
      </c>
      <c r="D578" s="10">
        <f t="shared" si="312"/>
        <v>0</v>
      </c>
      <c r="E578" s="1">
        <f t="shared" si="313"/>
        <v>0</v>
      </c>
      <c r="F578" s="1">
        <f t="shared" si="314"/>
        <v>0</v>
      </c>
      <c r="G578" s="1">
        <f t="shared" si="315"/>
        <v>0</v>
      </c>
      <c r="H578" s="1">
        <f t="shared" si="324"/>
        <v>0</v>
      </c>
      <c r="I578" s="10">
        <f t="shared" si="317"/>
        <v>0</v>
      </c>
      <c r="J578" s="1">
        <f t="shared" si="325"/>
        <v>0</v>
      </c>
      <c r="K578" s="1">
        <f t="shared" si="326"/>
        <v>0</v>
      </c>
      <c r="L578" s="1" t="str">
        <f t="shared" si="327"/>
        <v>0</v>
      </c>
      <c r="M578" s="10">
        <f t="shared" si="328"/>
        <v>0</v>
      </c>
      <c r="N578" s="1">
        <f t="shared" si="322"/>
        <v>0</v>
      </c>
      <c r="O578" s="1">
        <f t="shared" si="296"/>
        <v>0</v>
      </c>
      <c r="P578" s="1">
        <f t="shared" si="329"/>
        <v>0</v>
      </c>
      <c r="Q578" s="3" t="str">
        <f t="shared" si="295"/>
        <v/>
      </c>
      <c r="T578" s="13" t="str">
        <f t="shared" si="305"/>
        <v/>
      </c>
      <c r="U578" s="14" t="str">
        <f t="shared" si="306"/>
        <v/>
      </c>
      <c r="V578" s="13" t="str">
        <f t="shared" si="307"/>
        <v/>
      </c>
      <c r="W578" s="13" t="str">
        <f t="shared" si="308"/>
        <v/>
      </c>
      <c r="X578" s="14" t="str">
        <f t="shared" si="309"/>
        <v/>
      </c>
    </row>
    <row r="579" spans="2:24" x14ac:dyDescent="0.3">
      <c r="B579" s="1">
        <f t="shared" si="310"/>
        <v>0</v>
      </c>
      <c r="C579" s="1">
        <f t="shared" si="311"/>
        <v>0</v>
      </c>
      <c r="D579" s="10">
        <f t="shared" si="312"/>
        <v>0</v>
      </c>
      <c r="E579" s="1">
        <f t="shared" si="313"/>
        <v>0</v>
      </c>
      <c r="F579" s="1">
        <f t="shared" si="314"/>
        <v>0</v>
      </c>
      <c r="G579" s="1">
        <f t="shared" si="315"/>
        <v>0</v>
      </c>
      <c r="H579" s="1">
        <f t="shared" si="324"/>
        <v>0</v>
      </c>
      <c r="I579" s="10">
        <f t="shared" si="317"/>
        <v>0</v>
      </c>
      <c r="J579" s="1">
        <f t="shared" si="325"/>
        <v>0</v>
      </c>
      <c r="K579" s="1">
        <f t="shared" si="326"/>
        <v>0</v>
      </c>
      <c r="L579" s="1" t="str">
        <f t="shared" si="327"/>
        <v>0</v>
      </c>
      <c r="M579" s="10">
        <f t="shared" si="328"/>
        <v>0</v>
      </c>
      <c r="N579" s="1">
        <f t="shared" si="322"/>
        <v>0</v>
      </c>
      <c r="O579" s="1">
        <f t="shared" si="296"/>
        <v>0</v>
      </c>
      <c r="P579" s="1">
        <f t="shared" si="329"/>
        <v>0</v>
      </c>
      <c r="Q579" s="3" t="str">
        <f t="shared" si="295"/>
        <v/>
      </c>
      <c r="T579" s="13" t="str">
        <f t="shared" si="305"/>
        <v/>
      </c>
      <c r="U579" s="14" t="str">
        <f t="shared" si="306"/>
        <v/>
      </c>
      <c r="V579" s="13" t="str">
        <f t="shared" si="307"/>
        <v/>
      </c>
      <c r="W579" s="13" t="str">
        <f t="shared" si="308"/>
        <v/>
      </c>
      <c r="X579" s="14" t="str">
        <f t="shared" si="309"/>
        <v/>
      </c>
    </row>
    <row r="580" spans="2:24" x14ac:dyDescent="0.3">
      <c r="B580" s="1">
        <f t="shared" si="310"/>
        <v>0</v>
      </c>
      <c r="C580" s="1">
        <f t="shared" si="311"/>
        <v>0</v>
      </c>
      <c r="D580" s="10">
        <f t="shared" si="312"/>
        <v>0</v>
      </c>
      <c r="E580" s="1">
        <f t="shared" si="313"/>
        <v>0</v>
      </c>
      <c r="F580" s="1">
        <f t="shared" si="314"/>
        <v>0</v>
      </c>
      <c r="G580" s="1">
        <f t="shared" si="315"/>
        <v>0</v>
      </c>
      <c r="H580" s="1">
        <f t="shared" si="324"/>
        <v>0</v>
      </c>
      <c r="I580" s="10">
        <f t="shared" si="317"/>
        <v>0</v>
      </c>
      <c r="J580" s="1">
        <f t="shared" si="325"/>
        <v>0</v>
      </c>
      <c r="K580" s="1">
        <f t="shared" si="326"/>
        <v>0</v>
      </c>
      <c r="L580" s="1" t="str">
        <f t="shared" si="327"/>
        <v>0</v>
      </c>
      <c r="M580" s="10">
        <f t="shared" si="328"/>
        <v>0</v>
      </c>
      <c r="N580" s="1">
        <f t="shared" si="322"/>
        <v>0</v>
      </c>
      <c r="O580" s="1">
        <f t="shared" si="296"/>
        <v>0</v>
      </c>
      <c r="P580" s="1">
        <f t="shared" si="329"/>
        <v>0</v>
      </c>
      <c r="Q580" s="3" t="str">
        <f t="shared" ref="Q580:Q643" si="330">IF($N580&gt;0,MID($A580,($N580+$O580),$P580-($N580+$O580)),"")</f>
        <v/>
      </c>
      <c r="T580" s="13" t="str">
        <f t="shared" si="305"/>
        <v/>
      </c>
      <c r="U580" s="14" t="str">
        <f t="shared" si="306"/>
        <v/>
      </c>
      <c r="V580" s="13" t="str">
        <f t="shared" si="307"/>
        <v/>
      </c>
      <c r="W580" s="13" t="str">
        <f t="shared" si="308"/>
        <v/>
      </c>
      <c r="X580" s="14" t="str">
        <f t="shared" si="309"/>
        <v/>
      </c>
    </row>
    <row r="581" spans="2:24" x14ac:dyDescent="0.3">
      <c r="B581" s="1">
        <f t="shared" si="310"/>
        <v>0</v>
      </c>
      <c r="C581" s="1">
        <f t="shared" si="311"/>
        <v>0</v>
      </c>
      <c r="D581" s="10">
        <f t="shared" si="312"/>
        <v>0</v>
      </c>
      <c r="E581" s="1">
        <f t="shared" si="313"/>
        <v>0</v>
      </c>
      <c r="F581" s="1">
        <f t="shared" si="314"/>
        <v>0</v>
      </c>
      <c r="G581" s="1">
        <f t="shared" si="315"/>
        <v>0</v>
      </c>
      <c r="H581" s="1">
        <f t="shared" si="324"/>
        <v>0</v>
      </c>
      <c r="I581" s="10">
        <f t="shared" si="317"/>
        <v>0</v>
      </c>
      <c r="J581" s="1">
        <f t="shared" si="325"/>
        <v>0</v>
      </c>
      <c r="K581" s="1">
        <f t="shared" si="326"/>
        <v>0</v>
      </c>
      <c r="L581" s="1" t="str">
        <f t="shared" si="327"/>
        <v>0</v>
      </c>
      <c r="M581" s="10">
        <f t="shared" si="328"/>
        <v>0</v>
      </c>
      <c r="N581" s="1">
        <f t="shared" si="322"/>
        <v>0</v>
      </c>
      <c r="O581" s="1">
        <f t="shared" ref="O581:O644" si="331">IFERROR(FIND("#",$A581)+1-N581,0)</f>
        <v>0</v>
      </c>
      <c r="P581" s="1">
        <f t="shared" si="329"/>
        <v>0</v>
      </c>
      <c r="Q581" s="3" t="str">
        <f t="shared" si="330"/>
        <v/>
      </c>
      <c r="T581" s="13" t="str">
        <f t="shared" si="305"/>
        <v/>
      </c>
      <c r="U581" s="14" t="str">
        <f t="shared" si="306"/>
        <v/>
      </c>
      <c r="V581" s="13" t="str">
        <f t="shared" si="307"/>
        <v/>
      </c>
      <c r="W581" s="13" t="str">
        <f t="shared" si="308"/>
        <v/>
      </c>
      <c r="X581" s="14" t="str">
        <f t="shared" si="309"/>
        <v/>
      </c>
    </row>
    <row r="582" spans="2:24" x14ac:dyDescent="0.3">
      <c r="B582" s="1">
        <f t="shared" si="310"/>
        <v>0</v>
      </c>
      <c r="C582" s="1">
        <f t="shared" si="311"/>
        <v>0</v>
      </c>
      <c r="D582" s="10">
        <f t="shared" si="312"/>
        <v>0</v>
      </c>
      <c r="E582" s="1">
        <f t="shared" si="313"/>
        <v>0</v>
      </c>
      <c r="F582" s="1">
        <f t="shared" si="314"/>
        <v>0</v>
      </c>
      <c r="G582" s="1">
        <f t="shared" si="315"/>
        <v>0</v>
      </c>
      <c r="H582" s="1">
        <f t="shared" si="324"/>
        <v>0</v>
      </c>
      <c r="I582" s="10">
        <f t="shared" si="317"/>
        <v>0</v>
      </c>
      <c r="J582" s="1">
        <f t="shared" si="325"/>
        <v>0</v>
      </c>
      <c r="K582" s="1">
        <f t="shared" si="326"/>
        <v>0</v>
      </c>
      <c r="L582" s="1" t="str">
        <f t="shared" si="327"/>
        <v>0</v>
      </c>
      <c r="M582" s="10">
        <f t="shared" si="328"/>
        <v>0</v>
      </c>
      <c r="N582" s="1">
        <f t="shared" si="322"/>
        <v>0</v>
      </c>
      <c r="O582" s="1">
        <f t="shared" si="331"/>
        <v>0</v>
      </c>
      <c r="P582" s="1">
        <f t="shared" si="329"/>
        <v>0</v>
      </c>
      <c r="Q582" s="3" t="str">
        <f t="shared" si="330"/>
        <v/>
      </c>
      <c r="T582" s="13" t="str">
        <f t="shared" si="305"/>
        <v/>
      </c>
      <c r="U582" s="14" t="str">
        <f t="shared" si="306"/>
        <v/>
      </c>
      <c r="V582" s="13" t="str">
        <f t="shared" si="307"/>
        <v/>
      </c>
      <c r="W582" s="13" t="str">
        <f t="shared" si="308"/>
        <v/>
      </c>
      <c r="X582" s="14" t="str">
        <f t="shared" si="309"/>
        <v/>
      </c>
    </row>
    <row r="583" spans="2:24" x14ac:dyDescent="0.3">
      <c r="B583" s="1">
        <f t="shared" ref="B583:B646" si="332">IFERROR(FIND("UP_SET(",$A583)+7,0)</f>
        <v>0</v>
      </c>
      <c r="C583" s="1">
        <f t="shared" ref="C583:C646" si="333">IF($B583&gt;0,FIND(",",$A583,$B583),0)</f>
        <v>0</v>
      </c>
      <c r="D583" s="10">
        <f t="shared" ref="D583:D646" si="334">IF($B583&gt;0,MID($A583,$B583,$C583-$B583),0)</f>
        <v>0</v>
      </c>
      <c r="E583" s="1">
        <f t="shared" ref="E583:E646" si="335">IF($B583&gt;0,FIND("Up",$A583,$C583),0)</f>
        <v>0</v>
      </c>
      <c r="F583" s="1">
        <f t="shared" ref="F583:F646" si="336">IF($B583&gt;0,IFERROR(FIND(",",$A583,$E583),0),0)</f>
        <v>0</v>
      </c>
      <c r="G583" s="1">
        <f t="shared" ref="G583:G646" si="337">IF($B583&gt;0,FIND(")",$A583,$B583),0)</f>
        <v>0</v>
      </c>
      <c r="H583" s="1">
        <f t="shared" si="324"/>
        <v>0</v>
      </c>
      <c r="I583" s="10">
        <f t="shared" ref="I583:I646" si="338">IF($B583&gt;0,MID($A583,$E583,$H583-$E583),0)</f>
        <v>0</v>
      </c>
      <c r="J583" s="1">
        <f t="shared" si="325"/>
        <v>0</v>
      </c>
      <c r="K583" s="1">
        <f t="shared" si="326"/>
        <v>0</v>
      </c>
      <c r="L583" s="1" t="str">
        <f t="shared" si="327"/>
        <v>0</v>
      </c>
      <c r="M583" s="10">
        <f t="shared" si="328"/>
        <v>0</v>
      </c>
      <c r="N583" s="1">
        <f t="shared" ref="N583:N646" si="339">IFERROR(FIND("/*",$A583)+2,0)</f>
        <v>0</v>
      </c>
      <c r="O583" s="1">
        <f t="shared" si="331"/>
        <v>0</v>
      </c>
      <c r="P583" s="1">
        <f t="shared" si="329"/>
        <v>0</v>
      </c>
      <c r="Q583" s="3" t="str">
        <f t="shared" si="330"/>
        <v/>
      </c>
      <c r="T583" s="13" t="str">
        <f t="shared" si="305"/>
        <v/>
      </c>
      <c r="U583" s="14" t="str">
        <f t="shared" si="306"/>
        <v/>
      </c>
      <c r="V583" s="13" t="str">
        <f t="shared" si="307"/>
        <v/>
      </c>
      <c r="W583" s="13" t="str">
        <f t="shared" si="308"/>
        <v/>
      </c>
      <c r="X583" s="14" t="str">
        <f t="shared" si="309"/>
        <v/>
      </c>
    </row>
    <row r="584" spans="2:24" x14ac:dyDescent="0.3">
      <c r="B584" s="1">
        <f t="shared" si="332"/>
        <v>0</v>
      </c>
      <c r="C584" s="1">
        <f t="shared" si="333"/>
        <v>0</v>
      </c>
      <c r="D584" s="10">
        <f t="shared" si="334"/>
        <v>0</v>
      </c>
      <c r="E584" s="1">
        <f t="shared" si="335"/>
        <v>0</v>
      </c>
      <c r="F584" s="1">
        <f t="shared" si="336"/>
        <v>0</v>
      </c>
      <c r="G584" s="1">
        <f t="shared" si="337"/>
        <v>0</v>
      </c>
      <c r="H584" s="1">
        <f t="shared" si="324"/>
        <v>0</v>
      </c>
      <c r="I584" s="10">
        <f t="shared" si="338"/>
        <v>0</v>
      </c>
      <c r="J584" s="1">
        <f t="shared" si="325"/>
        <v>0</v>
      </c>
      <c r="K584" s="1">
        <f t="shared" si="326"/>
        <v>0</v>
      </c>
      <c r="L584" s="1" t="str">
        <f t="shared" si="327"/>
        <v>0</v>
      </c>
      <c r="M584" s="10">
        <f t="shared" si="328"/>
        <v>0</v>
      </c>
      <c r="N584" s="1">
        <f t="shared" si="339"/>
        <v>0</v>
      </c>
      <c r="O584" s="1">
        <f t="shared" si="331"/>
        <v>0</v>
      </c>
      <c r="P584" s="1">
        <f t="shared" si="329"/>
        <v>0</v>
      </c>
      <c r="Q584" s="3" t="str">
        <f t="shared" si="330"/>
        <v/>
      </c>
      <c r="T584" s="13" t="str">
        <f t="shared" si="305"/>
        <v/>
      </c>
      <c r="U584" s="14" t="str">
        <f t="shared" si="306"/>
        <v/>
      </c>
      <c r="V584" s="13" t="str">
        <f t="shared" si="307"/>
        <v/>
      </c>
      <c r="W584" s="13" t="str">
        <f t="shared" si="308"/>
        <v/>
      </c>
      <c r="X584" s="14" t="str">
        <f t="shared" si="309"/>
        <v/>
      </c>
    </row>
    <row r="585" spans="2:24" x14ac:dyDescent="0.3">
      <c r="B585" s="1">
        <f t="shared" si="332"/>
        <v>0</v>
      </c>
      <c r="C585" s="1">
        <f t="shared" si="333"/>
        <v>0</v>
      </c>
      <c r="D585" s="10">
        <f t="shared" si="334"/>
        <v>0</v>
      </c>
      <c r="E585" s="1">
        <f t="shared" si="335"/>
        <v>0</v>
      </c>
      <c r="F585" s="1">
        <f t="shared" si="336"/>
        <v>0</v>
      </c>
      <c r="G585" s="1">
        <f t="shared" si="337"/>
        <v>0</v>
      </c>
      <c r="H585" s="1">
        <f t="shared" si="324"/>
        <v>0</v>
      </c>
      <c r="I585" s="10">
        <f t="shared" si="338"/>
        <v>0</v>
      </c>
      <c r="J585" s="1">
        <f t="shared" si="325"/>
        <v>0</v>
      </c>
      <c r="K585" s="1">
        <f t="shared" si="326"/>
        <v>0</v>
      </c>
      <c r="L585" s="1" t="str">
        <f t="shared" si="327"/>
        <v>0</v>
      </c>
      <c r="M585" s="10">
        <f t="shared" si="328"/>
        <v>0</v>
      </c>
      <c r="N585" s="1">
        <f t="shared" si="339"/>
        <v>0</v>
      </c>
      <c r="O585" s="1">
        <f t="shared" si="331"/>
        <v>0</v>
      </c>
      <c r="P585" s="1">
        <f t="shared" si="329"/>
        <v>0</v>
      </c>
      <c r="Q585" s="3" t="str">
        <f t="shared" si="330"/>
        <v/>
      </c>
      <c r="T585" s="13" t="str">
        <f t="shared" si="305"/>
        <v/>
      </c>
      <c r="U585" s="14" t="str">
        <f t="shared" si="306"/>
        <v/>
      </c>
      <c r="V585" s="13" t="str">
        <f t="shared" si="307"/>
        <v/>
      </c>
      <c r="W585" s="13" t="str">
        <f t="shared" si="308"/>
        <v/>
      </c>
      <c r="X585" s="14" t="str">
        <f t="shared" si="309"/>
        <v/>
      </c>
    </row>
    <row r="586" spans="2:24" x14ac:dyDescent="0.3">
      <c r="B586" s="1">
        <f t="shared" si="332"/>
        <v>0</v>
      </c>
      <c r="C586" s="1">
        <f t="shared" si="333"/>
        <v>0</v>
      </c>
      <c r="D586" s="10">
        <f t="shared" si="334"/>
        <v>0</v>
      </c>
      <c r="E586" s="1">
        <f t="shared" si="335"/>
        <v>0</v>
      </c>
      <c r="F586" s="1">
        <f t="shared" si="336"/>
        <v>0</v>
      </c>
      <c r="G586" s="1">
        <f t="shared" si="337"/>
        <v>0</v>
      </c>
      <c r="H586" s="1">
        <f t="shared" si="324"/>
        <v>0</v>
      </c>
      <c r="I586" s="10">
        <f t="shared" si="338"/>
        <v>0</v>
      </c>
      <c r="J586" s="1">
        <f t="shared" si="325"/>
        <v>0</v>
      </c>
      <c r="K586" s="1">
        <f t="shared" si="326"/>
        <v>0</v>
      </c>
      <c r="L586" s="1" t="str">
        <f t="shared" si="327"/>
        <v>0</v>
      </c>
      <c r="M586" s="10">
        <f t="shared" si="328"/>
        <v>0</v>
      </c>
      <c r="N586" s="1">
        <f t="shared" si="339"/>
        <v>0</v>
      </c>
      <c r="O586" s="1">
        <f t="shared" si="331"/>
        <v>0</v>
      </c>
      <c r="P586" s="1">
        <f t="shared" si="329"/>
        <v>0</v>
      </c>
      <c r="Q586" s="3" t="str">
        <f t="shared" si="330"/>
        <v/>
      </c>
      <c r="T586" s="13" t="str">
        <f t="shared" si="305"/>
        <v/>
      </c>
      <c r="U586" s="14" t="str">
        <f t="shared" si="306"/>
        <v/>
      </c>
      <c r="V586" s="13" t="str">
        <f t="shared" si="307"/>
        <v/>
      </c>
      <c r="W586" s="13" t="str">
        <f t="shared" si="308"/>
        <v/>
      </c>
      <c r="X586" s="14" t="str">
        <f t="shared" si="309"/>
        <v/>
      </c>
    </row>
    <row r="587" spans="2:24" x14ac:dyDescent="0.3">
      <c r="B587" s="1">
        <f t="shared" si="332"/>
        <v>0</v>
      </c>
      <c r="C587" s="1">
        <f t="shared" si="333"/>
        <v>0</v>
      </c>
      <c r="D587" s="10">
        <f t="shared" si="334"/>
        <v>0</v>
      </c>
      <c r="E587" s="1">
        <f t="shared" si="335"/>
        <v>0</v>
      </c>
      <c r="F587" s="1">
        <f t="shared" si="336"/>
        <v>0</v>
      </c>
      <c r="G587" s="1">
        <f t="shared" si="337"/>
        <v>0</v>
      </c>
      <c r="H587" s="1">
        <f t="shared" si="324"/>
        <v>0</v>
      </c>
      <c r="I587" s="10">
        <f t="shared" si="338"/>
        <v>0</v>
      </c>
      <c r="J587" s="1">
        <f t="shared" si="325"/>
        <v>0</v>
      </c>
      <c r="K587" s="1">
        <f t="shared" si="326"/>
        <v>0</v>
      </c>
      <c r="L587" s="1" t="str">
        <f t="shared" si="327"/>
        <v>0</v>
      </c>
      <c r="M587" s="10">
        <f t="shared" si="328"/>
        <v>0</v>
      </c>
      <c r="N587" s="1">
        <f t="shared" si="339"/>
        <v>0</v>
      </c>
      <c r="O587" s="1">
        <f t="shared" si="331"/>
        <v>0</v>
      </c>
      <c r="P587" s="1">
        <f t="shared" si="329"/>
        <v>0</v>
      </c>
      <c r="Q587" s="3" t="str">
        <f t="shared" si="330"/>
        <v/>
      </c>
      <c r="T587" s="13" t="str">
        <f t="shared" si="305"/>
        <v/>
      </c>
      <c r="U587" s="14" t="str">
        <f t="shared" si="306"/>
        <v/>
      </c>
      <c r="V587" s="13" t="str">
        <f t="shared" si="307"/>
        <v/>
      </c>
      <c r="W587" s="13" t="str">
        <f t="shared" si="308"/>
        <v/>
      </c>
      <c r="X587" s="14" t="str">
        <f t="shared" si="309"/>
        <v/>
      </c>
    </row>
    <row r="588" spans="2:24" x14ac:dyDescent="0.3">
      <c r="B588" s="1">
        <f t="shared" si="332"/>
        <v>0</v>
      </c>
      <c r="C588" s="1">
        <f t="shared" si="333"/>
        <v>0</v>
      </c>
      <c r="D588" s="10">
        <f t="shared" si="334"/>
        <v>0</v>
      </c>
      <c r="E588" s="1">
        <f t="shared" si="335"/>
        <v>0</v>
      </c>
      <c r="F588" s="1">
        <f t="shared" si="336"/>
        <v>0</v>
      </c>
      <c r="G588" s="1">
        <f t="shared" si="337"/>
        <v>0</v>
      </c>
      <c r="H588" s="1">
        <f t="shared" si="324"/>
        <v>0</v>
      </c>
      <c r="I588" s="10">
        <f t="shared" si="338"/>
        <v>0</v>
      </c>
      <c r="J588" s="1">
        <f t="shared" si="325"/>
        <v>0</v>
      </c>
      <c r="K588" s="1">
        <f t="shared" si="326"/>
        <v>0</v>
      </c>
      <c r="L588" s="1" t="str">
        <f t="shared" si="327"/>
        <v>0</v>
      </c>
      <c r="M588" s="10">
        <f t="shared" si="328"/>
        <v>0</v>
      </c>
      <c r="N588" s="1">
        <f t="shared" si="339"/>
        <v>0</v>
      </c>
      <c r="O588" s="1">
        <f t="shared" si="331"/>
        <v>0</v>
      </c>
      <c r="P588" s="1">
        <f t="shared" si="329"/>
        <v>0</v>
      </c>
      <c r="Q588" s="3" t="str">
        <f t="shared" si="330"/>
        <v/>
      </c>
      <c r="T588" s="13" t="str">
        <f t="shared" si="305"/>
        <v/>
      </c>
      <c r="U588" s="14" t="str">
        <f t="shared" si="306"/>
        <v/>
      </c>
      <c r="V588" s="13" t="str">
        <f t="shared" si="307"/>
        <v/>
      </c>
      <c r="W588" s="13" t="str">
        <f t="shared" si="308"/>
        <v/>
      </c>
      <c r="X588" s="14" t="str">
        <f t="shared" si="309"/>
        <v/>
      </c>
    </row>
    <row r="589" spans="2:24" x14ac:dyDescent="0.3">
      <c r="B589" s="1">
        <f t="shared" si="332"/>
        <v>0</v>
      </c>
      <c r="C589" s="1">
        <f t="shared" si="333"/>
        <v>0</v>
      </c>
      <c r="D589" s="10">
        <f t="shared" si="334"/>
        <v>0</v>
      </c>
      <c r="E589" s="1">
        <f t="shared" si="335"/>
        <v>0</v>
      </c>
      <c r="F589" s="1">
        <f t="shared" si="336"/>
        <v>0</v>
      </c>
      <c r="G589" s="1">
        <f t="shared" si="337"/>
        <v>0</v>
      </c>
      <c r="H589" s="1">
        <f t="shared" si="324"/>
        <v>0</v>
      </c>
      <c r="I589" s="10">
        <f t="shared" si="338"/>
        <v>0</v>
      </c>
      <c r="J589" s="1">
        <f t="shared" si="325"/>
        <v>0</v>
      </c>
      <c r="K589" s="1">
        <f t="shared" si="326"/>
        <v>0</v>
      </c>
      <c r="L589" s="1" t="str">
        <f t="shared" si="327"/>
        <v>0</v>
      </c>
      <c r="M589" s="10">
        <f t="shared" si="328"/>
        <v>0</v>
      </c>
      <c r="N589" s="1">
        <f t="shared" si="339"/>
        <v>0</v>
      </c>
      <c r="O589" s="1">
        <f t="shared" si="331"/>
        <v>0</v>
      </c>
      <c r="P589" s="1">
        <f t="shared" si="329"/>
        <v>0</v>
      </c>
      <c r="Q589" s="3" t="str">
        <f t="shared" si="330"/>
        <v/>
      </c>
      <c r="T589" s="13" t="str">
        <f t="shared" si="305"/>
        <v/>
      </c>
      <c r="U589" s="14" t="str">
        <f t="shared" si="306"/>
        <v/>
      </c>
      <c r="V589" s="13" t="str">
        <f t="shared" si="307"/>
        <v/>
      </c>
      <c r="W589" s="13" t="str">
        <f t="shared" si="308"/>
        <v/>
      </c>
      <c r="X589" s="14" t="str">
        <f t="shared" si="309"/>
        <v/>
      </c>
    </row>
    <row r="590" spans="2:24" x14ac:dyDescent="0.3">
      <c r="B590" s="1">
        <f t="shared" si="332"/>
        <v>0</v>
      </c>
      <c r="C590" s="1">
        <f t="shared" si="333"/>
        <v>0</v>
      </c>
      <c r="D590" s="10">
        <f t="shared" si="334"/>
        <v>0</v>
      </c>
      <c r="E590" s="1">
        <f t="shared" si="335"/>
        <v>0</v>
      </c>
      <c r="F590" s="1">
        <f t="shared" si="336"/>
        <v>0</v>
      </c>
      <c r="G590" s="1">
        <f t="shared" si="337"/>
        <v>0</v>
      </c>
      <c r="H590" s="1">
        <f t="shared" si="324"/>
        <v>0</v>
      </c>
      <c r="I590" s="10">
        <f t="shared" si="338"/>
        <v>0</v>
      </c>
      <c r="J590" s="1">
        <f t="shared" si="325"/>
        <v>0</v>
      </c>
      <c r="K590" s="1">
        <f t="shared" si="326"/>
        <v>0</v>
      </c>
      <c r="L590" s="1" t="str">
        <f t="shared" si="327"/>
        <v>0</v>
      </c>
      <c r="M590" s="10">
        <f t="shared" si="328"/>
        <v>0</v>
      </c>
      <c r="N590" s="1">
        <f t="shared" si="339"/>
        <v>0</v>
      </c>
      <c r="O590" s="1">
        <f t="shared" si="331"/>
        <v>0</v>
      </c>
      <c r="P590" s="1">
        <f t="shared" si="329"/>
        <v>0</v>
      </c>
      <c r="Q590" s="3" t="str">
        <f t="shared" si="330"/>
        <v/>
      </c>
      <c r="T590" s="13" t="str">
        <f t="shared" si="305"/>
        <v/>
      </c>
      <c r="U590" s="14" t="str">
        <f t="shared" si="306"/>
        <v/>
      </c>
      <c r="V590" s="13" t="str">
        <f t="shared" si="307"/>
        <v/>
      </c>
      <c r="W590" s="13" t="str">
        <f t="shared" si="308"/>
        <v/>
      </c>
      <c r="X590" s="14" t="str">
        <f t="shared" si="309"/>
        <v/>
      </c>
    </row>
    <row r="591" spans="2:24" x14ac:dyDescent="0.3">
      <c r="B591" s="1">
        <f t="shared" si="332"/>
        <v>0</v>
      </c>
      <c r="C591" s="1">
        <f t="shared" si="333"/>
        <v>0</v>
      </c>
      <c r="D591" s="10">
        <f t="shared" si="334"/>
        <v>0</v>
      </c>
      <c r="E591" s="1">
        <f t="shared" si="335"/>
        <v>0</v>
      </c>
      <c r="F591" s="1">
        <f t="shared" si="336"/>
        <v>0</v>
      </c>
      <c r="G591" s="1">
        <f t="shared" si="337"/>
        <v>0</v>
      </c>
      <c r="H591" s="1">
        <f t="shared" si="324"/>
        <v>0</v>
      </c>
      <c r="I591" s="10">
        <f t="shared" si="338"/>
        <v>0</v>
      </c>
      <c r="J591" s="1">
        <f t="shared" si="325"/>
        <v>0</v>
      </c>
      <c r="K591" s="1">
        <f t="shared" si="326"/>
        <v>0</v>
      </c>
      <c r="L591" s="1" t="str">
        <f t="shared" si="327"/>
        <v>0</v>
      </c>
      <c r="M591" s="10">
        <f t="shared" si="328"/>
        <v>0</v>
      </c>
      <c r="N591" s="1">
        <f t="shared" si="339"/>
        <v>0</v>
      </c>
      <c r="O591" s="1">
        <f t="shared" si="331"/>
        <v>0</v>
      </c>
      <c r="P591" s="1">
        <f t="shared" si="329"/>
        <v>0</v>
      </c>
      <c r="Q591" s="3" t="str">
        <f t="shared" si="330"/>
        <v/>
      </c>
      <c r="T591" s="13" t="str">
        <f t="shared" si="305"/>
        <v/>
      </c>
      <c r="U591" s="14" t="str">
        <f t="shared" si="306"/>
        <v/>
      </c>
      <c r="V591" s="13" t="str">
        <f t="shared" si="307"/>
        <v/>
      </c>
      <c r="W591" s="13" t="str">
        <f t="shared" si="308"/>
        <v/>
      </c>
      <c r="X591" s="14" t="str">
        <f t="shared" si="309"/>
        <v/>
      </c>
    </row>
    <row r="592" spans="2:24" x14ac:dyDescent="0.3">
      <c r="B592" s="1">
        <f t="shared" si="332"/>
        <v>0</v>
      </c>
      <c r="C592" s="1">
        <f t="shared" si="333"/>
        <v>0</v>
      </c>
      <c r="D592" s="10">
        <f t="shared" si="334"/>
        <v>0</v>
      </c>
      <c r="E592" s="1">
        <f t="shared" si="335"/>
        <v>0</v>
      </c>
      <c r="F592" s="1">
        <f t="shared" si="336"/>
        <v>0</v>
      </c>
      <c r="G592" s="1">
        <f t="shared" si="337"/>
        <v>0</v>
      </c>
      <c r="H592" s="1">
        <f t="shared" si="324"/>
        <v>0</v>
      </c>
      <c r="I592" s="10">
        <f t="shared" si="338"/>
        <v>0</v>
      </c>
      <c r="J592" s="1">
        <f t="shared" si="325"/>
        <v>0</v>
      </c>
      <c r="K592" s="1">
        <f t="shared" si="326"/>
        <v>0</v>
      </c>
      <c r="L592" s="1" t="str">
        <f t="shared" si="327"/>
        <v>0</v>
      </c>
      <c r="M592" s="10">
        <f t="shared" si="328"/>
        <v>0</v>
      </c>
      <c r="N592" s="1">
        <f t="shared" si="339"/>
        <v>0</v>
      </c>
      <c r="O592" s="1">
        <f t="shared" si="331"/>
        <v>0</v>
      </c>
      <c r="P592" s="1">
        <f t="shared" si="329"/>
        <v>0</v>
      </c>
      <c r="Q592" s="3" t="str">
        <f t="shared" si="330"/>
        <v/>
      </c>
      <c r="T592" s="13" t="str">
        <f t="shared" si="305"/>
        <v/>
      </c>
      <c r="U592" s="14" t="str">
        <f t="shared" si="306"/>
        <v/>
      </c>
      <c r="V592" s="13" t="str">
        <f t="shared" si="307"/>
        <v/>
      </c>
      <c r="W592" s="13" t="str">
        <f t="shared" si="308"/>
        <v/>
      </c>
      <c r="X592" s="14" t="str">
        <f t="shared" si="309"/>
        <v/>
      </c>
    </row>
    <row r="593" spans="2:24" x14ac:dyDescent="0.3">
      <c r="B593" s="1">
        <f t="shared" si="332"/>
        <v>0</v>
      </c>
      <c r="C593" s="1">
        <f t="shared" si="333"/>
        <v>0</v>
      </c>
      <c r="D593" s="10">
        <f t="shared" si="334"/>
        <v>0</v>
      </c>
      <c r="E593" s="1">
        <f t="shared" si="335"/>
        <v>0</v>
      </c>
      <c r="F593" s="1">
        <f t="shared" si="336"/>
        <v>0</v>
      </c>
      <c r="G593" s="1">
        <f t="shared" si="337"/>
        <v>0</v>
      </c>
      <c r="H593" s="1">
        <f t="shared" si="324"/>
        <v>0</v>
      </c>
      <c r="I593" s="10">
        <f t="shared" si="338"/>
        <v>0</v>
      </c>
      <c r="J593" s="1">
        <f t="shared" si="325"/>
        <v>0</v>
      </c>
      <c r="K593" s="1">
        <f t="shared" si="326"/>
        <v>0</v>
      </c>
      <c r="L593" s="1" t="str">
        <f t="shared" si="327"/>
        <v>0</v>
      </c>
      <c r="M593" s="10">
        <f t="shared" si="328"/>
        <v>0</v>
      </c>
      <c r="N593" s="1">
        <f t="shared" si="339"/>
        <v>0</v>
      </c>
      <c r="O593" s="1">
        <f t="shared" si="331"/>
        <v>0</v>
      </c>
      <c r="P593" s="1">
        <f t="shared" si="329"/>
        <v>0</v>
      </c>
      <c r="Q593" s="3" t="str">
        <f t="shared" si="330"/>
        <v/>
      </c>
      <c r="T593" s="13" t="str">
        <f t="shared" si="305"/>
        <v/>
      </c>
      <c r="U593" s="14" t="str">
        <f t="shared" si="306"/>
        <v/>
      </c>
      <c r="V593" s="13" t="str">
        <f t="shared" si="307"/>
        <v/>
      </c>
      <c r="W593" s="13" t="str">
        <f t="shared" si="308"/>
        <v/>
      </c>
      <c r="X593" s="14" t="str">
        <f t="shared" si="309"/>
        <v/>
      </c>
    </row>
    <row r="594" spans="2:24" x14ac:dyDescent="0.3">
      <c r="B594" s="1">
        <f t="shared" si="332"/>
        <v>0</v>
      </c>
      <c r="C594" s="1">
        <f t="shared" si="333"/>
        <v>0</v>
      </c>
      <c r="D594" s="10">
        <f t="shared" si="334"/>
        <v>0</v>
      </c>
      <c r="E594" s="1">
        <f t="shared" si="335"/>
        <v>0</v>
      </c>
      <c r="F594" s="1">
        <f t="shared" si="336"/>
        <v>0</v>
      </c>
      <c r="G594" s="1">
        <f t="shared" si="337"/>
        <v>0</v>
      </c>
      <c r="H594" s="1">
        <f t="shared" si="324"/>
        <v>0</v>
      </c>
      <c r="I594" s="10">
        <f t="shared" si="338"/>
        <v>0</v>
      </c>
      <c r="J594" s="1">
        <f t="shared" si="325"/>
        <v>0</v>
      </c>
      <c r="K594" s="1">
        <f t="shared" si="326"/>
        <v>0</v>
      </c>
      <c r="L594" s="1" t="str">
        <f t="shared" si="327"/>
        <v>0</v>
      </c>
      <c r="M594" s="10">
        <f t="shared" si="328"/>
        <v>0</v>
      </c>
      <c r="N594" s="1">
        <f t="shared" si="339"/>
        <v>0</v>
      </c>
      <c r="O594" s="1">
        <f t="shared" si="331"/>
        <v>0</v>
      </c>
      <c r="P594" s="1">
        <f t="shared" si="329"/>
        <v>0</v>
      </c>
      <c r="Q594" s="3" t="str">
        <f t="shared" si="330"/>
        <v/>
      </c>
      <c r="T594" s="13" t="str">
        <f t="shared" si="305"/>
        <v/>
      </c>
      <c r="U594" s="14" t="str">
        <f t="shared" si="306"/>
        <v/>
      </c>
      <c r="V594" s="13" t="str">
        <f t="shared" si="307"/>
        <v/>
      </c>
      <c r="W594" s="13" t="str">
        <f t="shared" si="308"/>
        <v/>
      </c>
      <c r="X594" s="14" t="str">
        <f t="shared" si="309"/>
        <v/>
      </c>
    </row>
    <row r="595" spans="2:24" x14ac:dyDescent="0.3">
      <c r="B595" s="1">
        <f t="shared" si="332"/>
        <v>0</v>
      </c>
      <c r="C595" s="1">
        <f t="shared" si="333"/>
        <v>0</v>
      </c>
      <c r="D595" s="10">
        <f t="shared" si="334"/>
        <v>0</v>
      </c>
      <c r="E595" s="1">
        <f t="shared" si="335"/>
        <v>0</v>
      </c>
      <c r="F595" s="1">
        <f t="shared" si="336"/>
        <v>0</v>
      </c>
      <c r="G595" s="1">
        <f t="shared" si="337"/>
        <v>0</v>
      </c>
      <c r="H595" s="1">
        <f t="shared" si="324"/>
        <v>0</v>
      </c>
      <c r="I595" s="10">
        <f t="shared" si="338"/>
        <v>0</v>
      </c>
      <c r="J595" s="1">
        <f t="shared" si="325"/>
        <v>0</v>
      </c>
      <c r="K595" s="1">
        <f t="shared" si="326"/>
        <v>0</v>
      </c>
      <c r="L595" s="1" t="str">
        <f t="shared" si="327"/>
        <v>0</v>
      </c>
      <c r="M595" s="10">
        <f t="shared" si="328"/>
        <v>0</v>
      </c>
      <c r="N595" s="1">
        <f t="shared" si="339"/>
        <v>0</v>
      </c>
      <c r="O595" s="1">
        <f t="shared" si="331"/>
        <v>0</v>
      </c>
      <c r="P595" s="1">
        <f t="shared" si="329"/>
        <v>0</v>
      </c>
      <c r="Q595" s="3" t="str">
        <f t="shared" si="330"/>
        <v/>
      </c>
      <c r="T595" s="13" t="str">
        <f t="shared" ref="T595:T658" si="340">IF(A595="",IF(A594="","",$T$1),IF(O595=1,"#",IF(B595=0,"*",DEC2HEX(R595))))</f>
        <v/>
      </c>
      <c r="U595" s="14" t="str">
        <f t="shared" ref="U595:U658" si="341">IF(A595="",IF(A594="","",$U$1),  IF(B595=0,Q595,I595)  )</f>
        <v/>
      </c>
      <c r="V595" s="13" t="str">
        <f t="shared" ref="V595:V658" si="342">IF(U595=$U$1,"",IF(A595="",IF(A594="","",1),  IF(B595=0,1,D595)  ))</f>
        <v/>
      </c>
      <c r="W595" s="13" t="str">
        <f t="shared" ref="W595:W658" si="343">IF(U595=$U$1,"",IF(A595="",IF(A594="","",0),  IF(C595=0,0,0)  ))</f>
        <v/>
      </c>
      <c r="X595" s="14" t="str">
        <f t="shared" ref="X595:X658" si="344">IF(U595=$U$1,"",IF(U595="","",IF(B595&gt;0,IF(Q595&lt;&gt;"",Q595,"No description"),"-")))</f>
        <v/>
      </c>
    </row>
    <row r="596" spans="2:24" x14ac:dyDescent="0.3">
      <c r="B596" s="1">
        <f t="shared" si="332"/>
        <v>0</v>
      </c>
      <c r="C596" s="1">
        <f t="shared" si="333"/>
        <v>0</v>
      </c>
      <c r="D596" s="10">
        <f t="shared" si="334"/>
        <v>0</v>
      </c>
      <c r="E596" s="1">
        <f t="shared" si="335"/>
        <v>0</v>
      </c>
      <c r="F596" s="1">
        <f t="shared" si="336"/>
        <v>0</v>
      </c>
      <c r="G596" s="1">
        <f t="shared" si="337"/>
        <v>0</v>
      </c>
      <c r="H596" s="1">
        <f t="shared" si="324"/>
        <v>0</v>
      </c>
      <c r="I596" s="10">
        <f t="shared" si="338"/>
        <v>0</v>
      </c>
      <c r="J596" s="1">
        <f t="shared" si="325"/>
        <v>0</v>
      </c>
      <c r="K596" s="1">
        <f t="shared" si="326"/>
        <v>0</v>
      </c>
      <c r="L596" s="1" t="str">
        <f t="shared" si="327"/>
        <v>0</v>
      </c>
      <c r="M596" s="10">
        <f t="shared" si="328"/>
        <v>0</v>
      </c>
      <c r="N596" s="1">
        <f t="shared" si="339"/>
        <v>0</v>
      </c>
      <c r="O596" s="1">
        <f t="shared" si="331"/>
        <v>0</v>
      </c>
      <c r="P596" s="1">
        <f t="shared" si="329"/>
        <v>0</v>
      </c>
      <c r="Q596" s="3" t="str">
        <f t="shared" si="330"/>
        <v/>
      </c>
      <c r="T596" s="13" t="str">
        <f t="shared" si="340"/>
        <v/>
      </c>
      <c r="U596" s="14" t="str">
        <f t="shared" si="341"/>
        <v/>
      </c>
      <c r="V596" s="13" t="str">
        <f t="shared" si="342"/>
        <v/>
      </c>
      <c r="W596" s="13" t="str">
        <f t="shared" si="343"/>
        <v/>
      </c>
      <c r="X596" s="14" t="str">
        <f t="shared" si="344"/>
        <v/>
      </c>
    </row>
    <row r="597" spans="2:24" x14ac:dyDescent="0.3">
      <c r="B597" s="1">
        <f t="shared" si="332"/>
        <v>0</v>
      </c>
      <c r="C597" s="1">
        <f t="shared" si="333"/>
        <v>0</v>
      </c>
      <c r="D597" s="10">
        <f t="shared" si="334"/>
        <v>0</v>
      </c>
      <c r="E597" s="1">
        <f t="shared" si="335"/>
        <v>0</v>
      </c>
      <c r="F597" s="1">
        <f t="shared" si="336"/>
        <v>0</v>
      </c>
      <c r="G597" s="1">
        <f t="shared" si="337"/>
        <v>0</v>
      </c>
      <c r="H597" s="1">
        <f t="shared" si="324"/>
        <v>0</v>
      </c>
      <c r="I597" s="10">
        <f t="shared" si="338"/>
        <v>0</v>
      </c>
      <c r="J597" s="1">
        <f t="shared" si="325"/>
        <v>0</v>
      </c>
      <c r="K597" s="1">
        <f t="shared" si="326"/>
        <v>0</v>
      </c>
      <c r="L597" s="1" t="str">
        <f t="shared" si="327"/>
        <v>0</v>
      </c>
      <c r="M597" s="10">
        <f t="shared" si="328"/>
        <v>0</v>
      </c>
      <c r="N597" s="1">
        <f t="shared" si="339"/>
        <v>0</v>
      </c>
      <c r="O597" s="1">
        <f t="shared" si="331"/>
        <v>0</v>
      </c>
      <c r="P597" s="1">
        <f t="shared" si="329"/>
        <v>0</v>
      </c>
      <c r="Q597" s="3" t="str">
        <f t="shared" si="330"/>
        <v/>
      </c>
      <c r="T597" s="13" t="str">
        <f t="shared" si="340"/>
        <v/>
      </c>
      <c r="U597" s="14" t="str">
        <f t="shared" si="341"/>
        <v/>
      </c>
      <c r="V597" s="13" t="str">
        <f t="shared" si="342"/>
        <v/>
      </c>
      <c r="W597" s="13" t="str">
        <f t="shared" si="343"/>
        <v/>
      </c>
      <c r="X597" s="14" t="str">
        <f t="shared" si="344"/>
        <v/>
      </c>
    </row>
    <row r="598" spans="2:24" x14ac:dyDescent="0.3">
      <c r="B598" s="1">
        <f t="shared" si="332"/>
        <v>0</v>
      </c>
      <c r="C598" s="1">
        <f t="shared" si="333"/>
        <v>0</v>
      </c>
      <c r="D598" s="10">
        <f t="shared" si="334"/>
        <v>0</v>
      </c>
      <c r="E598" s="1">
        <f t="shared" si="335"/>
        <v>0</v>
      </c>
      <c r="F598" s="1">
        <f t="shared" si="336"/>
        <v>0</v>
      </c>
      <c r="G598" s="1">
        <f t="shared" si="337"/>
        <v>0</v>
      </c>
      <c r="H598" s="1">
        <f t="shared" si="324"/>
        <v>0</v>
      </c>
      <c r="I598" s="10">
        <f t="shared" si="338"/>
        <v>0</v>
      </c>
      <c r="J598" s="1">
        <f t="shared" si="325"/>
        <v>0</v>
      </c>
      <c r="K598" s="1">
        <f t="shared" si="326"/>
        <v>0</v>
      </c>
      <c r="L598" s="1" t="str">
        <f t="shared" si="327"/>
        <v>0</v>
      </c>
      <c r="M598" s="10">
        <f t="shared" si="328"/>
        <v>0</v>
      </c>
      <c r="N598" s="1">
        <f t="shared" si="339"/>
        <v>0</v>
      </c>
      <c r="O598" s="1">
        <f t="shared" si="331"/>
        <v>0</v>
      </c>
      <c r="P598" s="1">
        <f t="shared" si="329"/>
        <v>0</v>
      </c>
      <c r="Q598" s="3" t="str">
        <f t="shared" si="330"/>
        <v/>
      </c>
      <c r="T598" s="13" t="str">
        <f t="shared" si="340"/>
        <v/>
      </c>
      <c r="U598" s="14" t="str">
        <f t="shared" si="341"/>
        <v/>
      </c>
      <c r="V598" s="13" t="str">
        <f t="shared" si="342"/>
        <v/>
      </c>
      <c r="W598" s="13" t="str">
        <f t="shared" si="343"/>
        <v/>
      </c>
      <c r="X598" s="14" t="str">
        <f t="shared" si="344"/>
        <v/>
      </c>
    </row>
    <row r="599" spans="2:24" x14ac:dyDescent="0.3">
      <c r="B599" s="1">
        <f t="shared" si="332"/>
        <v>0</v>
      </c>
      <c r="C599" s="1">
        <f t="shared" si="333"/>
        <v>0</v>
      </c>
      <c r="D599" s="10">
        <f t="shared" si="334"/>
        <v>0</v>
      </c>
      <c r="E599" s="1">
        <f t="shared" si="335"/>
        <v>0</v>
      </c>
      <c r="F599" s="1">
        <f t="shared" si="336"/>
        <v>0</v>
      </c>
      <c r="G599" s="1">
        <f t="shared" si="337"/>
        <v>0</v>
      </c>
      <c r="H599" s="1">
        <f t="shared" si="324"/>
        <v>0</v>
      </c>
      <c r="I599" s="10">
        <f t="shared" si="338"/>
        <v>0</v>
      </c>
      <c r="J599" s="1">
        <f t="shared" si="325"/>
        <v>0</v>
      </c>
      <c r="K599" s="1">
        <f t="shared" si="326"/>
        <v>0</v>
      </c>
      <c r="L599" s="1" t="str">
        <f t="shared" si="327"/>
        <v>0</v>
      </c>
      <c r="M599" s="10">
        <f t="shared" si="328"/>
        <v>0</v>
      </c>
      <c r="N599" s="1">
        <f t="shared" si="339"/>
        <v>0</v>
      </c>
      <c r="O599" s="1">
        <f t="shared" si="331"/>
        <v>0</v>
      </c>
      <c r="P599" s="1">
        <f t="shared" si="329"/>
        <v>0</v>
      </c>
      <c r="Q599" s="3" t="str">
        <f t="shared" si="330"/>
        <v/>
      </c>
      <c r="T599" s="13" t="str">
        <f t="shared" si="340"/>
        <v/>
      </c>
      <c r="U599" s="14" t="str">
        <f t="shared" si="341"/>
        <v/>
      </c>
      <c r="V599" s="13" t="str">
        <f t="shared" si="342"/>
        <v/>
      </c>
      <c r="W599" s="13" t="str">
        <f t="shared" si="343"/>
        <v/>
      </c>
      <c r="X599" s="14" t="str">
        <f t="shared" si="344"/>
        <v/>
      </c>
    </row>
    <row r="600" spans="2:24" x14ac:dyDescent="0.3">
      <c r="B600" s="1">
        <f t="shared" si="332"/>
        <v>0</v>
      </c>
      <c r="C600" s="1">
        <f t="shared" si="333"/>
        <v>0</v>
      </c>
      <c r="D600" s="10">
        <f t="shared" si="334"/>
        <v>0</v>
      </c>
      <c r="E600" s="1">
        <f t="shared" si="335"/>
        <v>0</v>
      </c>
      <c r="F600" s="1">
        <f t="shared" si="336"/>
        <v>0</v>
      </c>
      <c r="G600" s="1">
        <f t="shared" si="337"/>
        <v>0</v>
      </c>
      <c r="H600" s="1">
        <f t="shared" si="324"/>
        <v>0</v>
      </c>
      <c r="I600" s="10">
        <f t="shared" si="338"/>
        <v>0</v>
      </c>
      <c r="J600" s="1">
        <f t="shared" si="325"/>
        <v>0</v>
      </c>
      <c r="K600" s="1">
        <f t="shared" si="326"/>
        <v>0</v>
      </c>
      <c r="L600" s="1" t="str">
        <f t="shared" si="327"/>
        <v>0</v>
      </c>
      <c r="M600" s="10">
        <f t="shared" si="328"/>
        <v>0</v>
      </c>
      <c r="N600" s="1">
        <f t="shared" si="339"/>
        <v>0</v>
      </c>
      <c r="O600" s="1">
        <f t="shared" si="331"/>
        <v>0</v>
      </c>
      <c r="P600" s="1">
        <f t="shared" si="329"/>
        <v>0</v>
      </c>
      <c r="Q600" s="3" t="str">
        <f t="shared" si="330"/>
        <v/>
      </c>
      <c r="T600" s="13" t="str">
        <f t="shared" si="340"/>
        <v/>
      </c>
      <c r="U600" s="14" t="str">
        <f t="shared" si="341"/>
        <v/>
      </c>
      <c r="V600" s="13" t="str">
        <f t="shared" si="342"/>
        <v/>
      </c>
      <c r="W600" s="13" t="str">
        <f t="shared" si="343"/>
        <v/>
      </c>
      <c r="X600" s="14" t="str">
        <f t="shared" si="344"/>
        <v/>
      </c>
    </row>
    <row r="601" spans="2:24" x14ac:dyDescent="0.3">
      <c r="B601" s="1">
        <f t="shared" si="332"/>
        <v>0</v>
      </c>
      <c r="C601" s="1">
        <f t="shared" si="333"/>
        <v>0</v>
      </c>
      <c r="D601" s="10">
        <f t="shared" si="334"/>
        <v>0</v>
      </c>
      <c r="E601" s="1">
        <f t="shared" si="335"/>
        <v>0</v>
      </c>
      <c r="F601" s="1">
        <f t="shared" si="336"/>
        <v>0</v>
      </c>
      <c r="G601" s="1">
        <f t="shared" si="337"/>
        <v>0</v>
      </c>
      <c r="H601" s="1">
        <f t="shared" si="324"/>
        <v>0</v>
      </c>
      <c r="I601" s="10">
        <f t="shared" si="338"/>
        <v>0</v>
      </c>
      <c r="J601" s="1">
        <f t="shared" si="325"/>
        <v>0</v>
      </c>
      <c r="K601" s="1">
        <f t="shared" si="326"/>
        <v>0</v>
      </c>
      <c r="L601" s="1" t="str">
        <f t="shared" si="327"/>
        <v>0</v>
      </c>
      <c r="M601" s="10">
        <f t="shared" si="328"/>
        <v>0</v>
      </c>
      <c r="N601" s="1">
        <f t="shared" si="339"/>
        <v>0</v>
      </c>
      <c r="O601" s="1">
        <f t="shared" si="331"/>
        <v>0</v>
      </c>
      <c r="P601" s="1">
        <f t="shared" si="329"/>
        <v>0</v>
      </c>
      <c r="Q601" s="3" t="str">
        <f t="shared" si="330"/>
        <v/>
      </c>
      <c r="T601" s="13" t="str">
        <f t="shared" si="340"/>
        <v/>
      </c>
      <c r="U601" s="14" t="str">
        <f t="shared" si="341"/>
        <v/>
      </c>
      <c r="V601" s="13" t="str">
        <f t="shared" si="342"/>
        <v/>
      </c>
      <c r="W601" s="13" t="str">
        <f t="shared" si="343"/>
        <v/>
      </c>
      <c r="X601" s="14" t="str">
        <f t="shared" si="344"/>
        <v/>
      </c>
    </row>
    <row r="602" spans="2:24" x14ac:dyDescent="0.3">
      <c r="B602" s="1">
        <f t="shared" si="332"/>
        <v>0</v>
      </c>
      <c r="C602" s="1">
        <f t="shared" si="333"/>
        <v>0</v>
      </c>
      <c r="D602" s="10">
        <f t="shared" si="334"/>
        <v>0</v>
      </c>
      <c r="E602" s="1">
        <f t="shared" si="335"/>
        <v>0</v>
      </c>
      <c r="F602" s="1">
        <f t="shared" si="336"/>
        <v>0</v>
      </c>
      <c r="G602" s="1">
        <f t="shared" si="337"/>
        <v>0</v>
      </c>
      <c r="H602" s="1">
        <f t="shared" si="324"/>
        <v>0</v>
      </c>
      <c r="I602" s="10">
        <f t="shared" si="338"/>
        <v>0</v>
      </c>
      <c r="J602" s="1">
        <f t="shared" si="325"/>
        <v>0</v>
      </c>
      <c r="K602" s="1">
        <f t="shared" si="326"/>
        <v>0</v>
      </c>
      <c r="L602" s="1" t="str">
        <f t="shared" si="327"/>
        <v>0</v>
      </c>
      <c r="M602" s="10">
        <f t="shared" si="328"/>
        <v>0</v>
      </c>
      <c r="N602" s="1">
        <f t="shared" si="339"/>
        <v>0</v>
      </c>
      <c r="O602" s="1">
        <f t="shared" si="331"/>
        <v>0</v>
      </c>
      <c r="P602" s="1">
        <f t="shared" si="329"/>
        <v>0</v>
      </c>
      <c r="Q602" s="3" t="str">
        <f t="shared" si="330"/>
        <v/>
      </c>
      <c r="T602" s="13" t="str">
        <f t="shared" si="340"/>
        <v/>
      </c>
      <c r="U602" s="14" t="str">
        <f t="shared" si="341"/>
        <v/>
      </c>
      <c r="V602" s="13" t="str">
        <f t="shared" si="342"/>
        <v/>
      </c>
      <c r="W602" s="13" t="str">
        <f t="shared" si="343"/>
        <v/>
      </c>
      <c r="X602" s="14" t="str">
        <f t="shared" si="344"/>
        <v/>
      </c>
    </row>
    <row r="603" spans="2:24" x14ac:dyDescent="0.3">
      <c r="B603" s="1">
        <f t="shared" si="332"/>
        <v>0</v>
      </c>
      <c r="C603" s="1">
        <f t="shared" si="333"/>
        <v>0</v>
      </c>
      <c r="D603" s="10">
        <f t="shared" si="334"/>
        <v>0</v>
      </c>
      <c r="E603" s="1">
        <f t="shared" si="335"/>
        <v>0</v>
      </c>
      <c r="F603" s="1">
        <f t="shared" si="336"/>
        <v>0</v>
      </c>
      <c r="G603" s="1">
        <f t="shared" si="337"/>
        <v>0</v>
      </c>
      <c r="H603" s="1">
        <f t="shared" si="324"/>
        <v>0</v>
      </c>
      <c r="I603" s="10">
        <f t="shared" si="338"/>
        <v>0</v>
      </c>
      <c r="J603" s="1">
        <f t="shared" si="325"/>
        <v>0</v>
      </c>
      <c r="K603" s="1">
        <f t="shared" si="326"/>
        <v>0</v>
      </c>
      <c r="L603" s="1" t="str">
        <f t="shared" si="327"/>
        <v>0</v>
      </c>
      <c r="M603" s="10">
        <f t="shared" si="328"/>
        <v>0</v>
      </c>
      <c r="N603" s="1">
        <f t="shared" si="339"/>
        <v>0</v>
      </c>
      <c r="O603" s="1">
        <f t="shared" si="331"/>
        <v>0</v>
      </c>
      <c r="P603" s="1">
        <f t="shared" si="329"/>
        <v>0</v>
      </c>
      <c r="Q603" s="3" t="str">
        <f t="shared" si="330"/>
        <v/>
      </c>
      <c r="T603" s="13" t="str">
        <f t="shared" si="340"/>
        <v/>
      </c>
      <c r="U603" s="14" t="str">
        <f t="shared" si="341"/>
        <v/>
      </c>
      <c r="V603" s="13" t="str">
        <f t="shared" si="342"/>
        <v/>
      </c>
      <c r="W603" s="13" t="str">
        <f t="shared" si="343"/>
        <v/>
      </c>
      <c r="X603" s="14" t="str">
        <f t="shared" si="344"/>
        <v/>
      </c>
    </row>
    <row r="604" spans="2:24" x14ac:dyDescent="0.3">
      <c r="B604" s="1">
        <f t="shared" si="332"/>
        <v>0</v>
      </c>
      <c r="C604" s="1">
        <f t="shared" si="333"/>
        <v>0</v>
      </c>
      <c r="D604" s="10">
        <f t="shared" si="334"/>
        <v>0</v>
      </c>
      <c r="E604" s="1">
        <f t="shared" si="335"/>
        <v>0</v>
      </c>
      <c r="F604" s="1">
        <f t="shared" si="336"/>
        <v>0</v>
      </c>
      <c r="G604" s="1">
        <f t="shared" si="337"/>
        <v>0</v>
      </c>
      <c r="H604" s="1">
        <f t="shared" si="324"/>
        <v>0</v>
      </c>
      <c r="I604" s="10">
        <f t="shared" si="338"/>
        <v>0</v>
      </c>
      <c r="J604" s="1">
        <f t="shared" si="325"/>
        <v>0</v>
      </c>
      <c r="K604" s="1">
        <f t="shared" si="326"/>
        <v>0</v>
      </c>
      <c r="L604" s="1" t="str">
        <f t="shared" si="327"/>
        <v>0</v>
      </c>
      <c r="M604" s="10">
        <f t="shared" si="328"/>
        <v>0</v>
      </c>
      <c r="N604" s="1">
        <f t="shared" si="339"/>
        <v>0</v>
      </c>
      <c r="O604" s="1">
        <f t="shared" si="331"/>
        <v>0</v>
      </c>
      <c r="P604" s="1">
        <f t="shared" si="329"/>
        <v>0</v>
      </c>
      <c r="Q604" s="3" t="str">
        <f t="shared" si="330"/>
        <v/>
      </c>
      <c r="T604" s="13" t="str">
        <f t="shared" si="340"/>
        <v/>
      </c>
      <c r="U604" s="14" t="str">
        <f t="shared" si="341"/>
        <v/>
      </c>
      <c r="V604" s="13" t="str">
        <f t="shared" si="342"/>
        <v/>
      </c>
      <c r="W604" s="13" t="str">
        <f t="shared" si="343"/>
        <v/>
      </c>
      <c r="X604" s="14" t="str">
        <f t="shared" si="344"/>
        <v/>
      </c>
    </row>
    <row r="605" spans="2:24" x14ac:dyDescent="0.3">
      <c r="B605" s="1">
        <f t="shared" si="332"/>
        <v>0</v>
      </c>
      <c r="C605" s="1">
        <f t="shared" si="333"/>
        <v>0</v>
      </c>
      <c r="D605" s="10">
        <f t="shared" si="334"/>
        <v>0</v>
      </c>
      <c r="E605" s="1">
        <f t="shared" si="335"/>
        <v>0</v>
      </c>
      <c r="F605" s="1">
        <f t="shared" si="336"/>
        <v>0</v>
      </c>
      <c r="G605" s="1">
        <f t="shared" si="337"/>
        <v>0</v>
      </c>
      <c r="H605" s="1">
        <f t="shared" si="324"/>
        <v>0</v>
      </c>
      <c r="I605" s="10">
        <f t="shared" si="338"/>
        <v>0</v>
      </c>
      <c r="J605" s="1">
        <f t="shared" si="325"/>
        <v>0</v>
      </c>
      <c r="K605" s="1">
        <f t="shared" si="326"/>
        <v>0</v>
      </c>
      <c r="L605" s="1" t="str">
        <f t="shared" si="327"/>
        <v>0</v>
      </c>
      <c r="M605" s="10">
        <f t="shared" si="328"/>
        <v>0</v>
      </c>
      <c r="N605" s="1">
        <f t="shared" si="339"/>
        <v>0</v>
      </c>
      <c r="O605" s="1">
        <f t="shared" si="331"/>
        <v>0</v>
      </c>
      <c r="P605" s="1">
        <f t="shared" si="329"/>
        <v>0</v>
      </c>
      <c r="Q605" s="3" t="str">
        <f t="shared" si="330"/>
        <v/>
      </c>
      <c r="T605" s="13" t="str">
        <f t="shared" si="340"/>
        <v/>
      </c>
      <c r="U605" s="14" t="str">
        <f t="shared" si="341"/>
        <v/>
      </c>
      <c r="V605" s="13" t="str">
        <f t="shared" si="342"/>
        <v/>
      </c>
      <c r="W605" s="13" t="str">
        <f t="shared" si="343"/>
        <v/>
      </c>
      <c r="X605" s="14" t="str">
        <f t="shared" si="344"/>
        <v/>
      </c>
    </row>
    <row r="606" spans="2:24" x14ac:dyDescent="0.3">
      <c r="B606" s="1">
        <f t="shared" si="332"/>
        <v>0</v>
      </c>
      <c r="C606" s="1">
        <f t="shared" si="333"/>
        <v>0</v>
      </c>
      <c r="D606" s="10">
        <f t="shared" si="334"/>
        <v>0</v>
      </c>
      <c r="E606" s="1">
        <f t="shared" si="335"/>
        <v>0</v>
      </c>
      <c r="F606" s="1">
        <f t="shared" si="336"/>
        <v>0</v>
      </c>
      <c r="G606" s="1">
        <f t="shared" si="337"/>
        <v>0</v>
      </c>
      <c r="H606" s="1">
        <f t="shared" si="324"/>
        <v>0</v>
      </c>
      <c r="I606" s="10">
        <f t="shared" si="338"/>
        <v>0</v>
      </c>
      <c r="J606" s="1">
        <f t="shared" si="325"/>
        <v>0</v>
      </c>
      <c r="K606" s="1">
        <f t="shared" si="326"/>
        <v>0</v>
      </c>
      <c r="L606" s="1" t="str">
        <f t="shared" si="327"/>
        <v>0</v>
      </c>
      <c r="M606" s="10">
        <f t="shared" si="328"/>
        <v>0</v>
      </c>
      <c r="N606" s="1">
        <f t="shared" si="339"/>
        <v>0</v>
      </c>
      <c r="O606" s="1">
        <f t="shared" si="331"/>
        <v>0</v>
      </c>
      <c r="P606" s="1">
        <f t="shared" si="329"/>
        <v>0</v>
      </c>
      <c r="Q606" s="3" t="str">
        <f t="shared" si="330"/>
        <v/>
      </c>
      <c r="T606" s="13" t="str">
        <f t="shared" si="340"/>
        <v/>
      </c>
      <c r="U606" s="14" t="str">
        <f t="shared" si="341"/>
        <v/>
      </c>
      <c r="V606" s="13" t="str">
        <f t="shared" si="342"/>
        <v/>
      </c>
      <c r="W606" s="13" t="str">
        <f t="shared" si="343"/>
        <v/>
      </c>
      <c r="X606" s="14" t="str">
        <f t="shared" si="344"/>
        <v/>
      </c>
    </row>
    <row r="607" spans="2:24" x14ac:dyDescent="0.3">
      <c r="B607" s="1">
        <f t="shared" si="332"/>
        <v>0</v>
      </c>
      <c r="C607" s="1">
        <f t="shared" si="333"/>
        <v>0</v>
      </c>
      <c r="D607" s="10">
        <f t="shared" si="334"/>
        <v>0</v>
      </c>
      <c r="E607" s="1">
        <f t="shared" si="335"/>
        <v>0</v>
      </c>
      <c r="F607" s="1">
        <f t="shared" si="336"/>
        <v>0</v>
      </c>
      <c r="G607" s="1">
        <f t="shared" si="337"/>
        <v>0</v>
      </c>
      <c r="H607" s="1">
        <f t="shared" si="324"/>
        <v>0</v>
      </c>
      <c r="I607" s="10">
        <f t="shared" si="338"/>
        <v>0</v>
      </c>
      <c r="J607" s="1">
        <f t="shared" si="325"/>
        <v>0</v>
      </c>
      <c r="K607" s="1">
        <f t="shared" si="326"/>
        <v>0</v>
      </c>
      <c r="L607" s="1" t="str">
        <f t="shared" si="327"/>
        <v>0</v>
      </c>
      <c r="M607" s="10">
        <f t="shared" si="328"/>
        <v>0</v>
      </c>
      <c r="N607" s="1">
        <f t="shared" si="339"/>
        <v>0</v>
      </c>
      <c r="O607" s="1">
        <f t="shared" si="331"/>
        <v>0</v>
      </c>
      <c r="P607" s="1">
        <f t="shared" si="329"/>
        <v>0</v>
      </c>
      <c r="Q607" s="3" t="str">
        <f t="shared" si="330"/>
        <v/>
      </c>
      <c r="T607" s="13" t="str">
        <f t="shared" si="340"/>
        <v/>
      </c>
      <c r="U607" s="14" t="str">
        <f t="shared" si="341"/>
        <v/>
      </c>
      <c r="V607" s="13" t="str">
        <f t="shared" si="342"/>
        <v/>
      </c>
      <c r="W607" s="13" t="str">
        <f t="shared" si="343"/>
        <v/>
      </c>
      <c r="X607" s="14" t="str">
        <f t="shared" si="344"/>
        <v/>
      </c>
    </row>
    <row r="608" spans="2:24" x14ac:dyDescent="0.3">
      <c r="B608" s="1">
        <f t="shared" si="332"/>
        <v>0</v>
      </c>
      <c r="C608" s="1">
        <f t="shared" si="333"/>
        <v>0</v>
      </c>
      <c r="D608" s="10">
        <f t="shared" si="334"/>
        <v>0</v>
      </c>
      <c r="E608" s="1">
        <f t="shared" si="335"/>
        <v>0</v>
      </c>
      <c r="F608" s="1">
        <f t="shared" si="336"/>
        <v>0</v>
      </c>
      <c r="G608" s="1">
        <f t="shared" si="337"/>
        <v>0</v>
      </c>
      <c r="H608" s="1">
        <f t="shared" si="324"/>
        <v>0</v>
      </c>
      <c r="I608" s="10">
        <f t="shared" si="338"/>
        <v>0</v>
      </c>
      <c r="J608" s="1">
        <f t="shared" si="325"/>
        <v>0</v>
      </c>
      <c r="K608" s="1">
        <f t="shared" si="326"/>
        <v>0</v>
      </c>
      <c r="L608" s="1" t="str">
        <f t="shared" si="327"/>
        <v>0</v>
      </c>
      <c r="M608" s="10">
        <f t="shared" si="328"/>
        <v>0</v>
      </c>
      <c r="N608" s="1">
        <f t="shared" si="339"/>
        <v>0</v>
      </c>
      <c r="O608" s="1">
        <f t="shared" si="331"/>
        <v>0</v>
      </c>
      <c r="P608" s="1">
        <f t="shared" si="329"/>
        <v>0</v>
      </c>
      <c r="Q608" s="3" t="str">
        <f t="shared" si="330"/>
        <v/>
      </c>
      <c r="T608" s="13" t="str">
        <f t="shared" si="340"/>
        <v/>
      </c>
      <c r="U608" s="14" t="str">
        <f t="shared" si="341"/>
        <v/>
      </c>
      <c r="V608" s="13" t="str">
        <f t="shared" si="342"/>
        <v/>
      </c>
      <c r="W608" s="13" t="str">
        <f t="shared" si="343"/>
        <v/>
      </c>
      <c r="X608" s="14" t="str">
        <f t="shared" si="344"/>
        <v/>
      </c>
    </row>
    <row r="609" spans="2:24" x14ac:dyDescent="0.3">
      <c r="B609" s="1">
        <f t="shared" si="332"/>
        <v>0</v>
      </c>
      <c r="C609" s="1">
        <f t="shared" si="333"/>
        <v>0</v>
      </c>
      <c r="D609" s="10">
        <f t="shared" si="334"/>
        <v>0</v>
      </c>
      <c r="E609" s="1">
        <f t="shared" si="335"/>
        <v>0</v>
      </c>
      <c r="F609" s="1">
        <f t="shared" si="336"/>
        <v>0</v>
      </c>
      <c r="G609" s="1">
        <f t="shared" si="337"/>
        <v>0</v>
      </c>
      <c r="H609" s="1">
        <f t="shared" si="324"/>
        <v>0</v>
      </c>
      <c r="I609" s="10">
        <f t="shared" si="338"/>
        <v>0</v>
      </c>
      <c r="J609" s="1">
        <f t="shared" si="325"/>
        <v>0</v>
      </c>
      <c r="K609" s="1">
        <f t="shared" si="326"/>
        <v>0</v>
      </c>
      <c r="L609" s="1" t="str">
        <f t="shared" si="327"/>
        <v>0</v>
      </c>
      <c r="M609" s="10">
        <f t="shared" si="328"/>
        <v>0</v>
      </c>
      <c r="N609" s="1">
        <f t="shared" si="339"/>
        <v>0</v>
      </c>
      <c r="O609" s="1">
        <f t="shared" si="331"/>
        <v>0</v>
      </c>
      <c r="P609" s="1">
        <f t="shared" si="329"/>
        <v>0</v>
      </c>
      <c r="Q609" s="3" t="str">
        <f t="shared" si="330"/>
        <v/>
      </c>
      <c r="T609" s="13" t="str">
        <f t="shared" si="340"/>
        <v/>
      </c>
      <c r="U609" s="14" t="str">
        <f t="shared" si="341"/>
        <v/>
      </c>
      <c r="V609" s="13" t="str">
        <f t="shared" si="342"/>
        <v/>
      </c>
      <c r="W609" s="13" t="str">
        <f t="shared" si="343"/>
        <v/>
      </c>
      <c r="X609" s="14" t="str">
        <f t="shared" si="344"/>
        <v/>
      </c>
    </row>
    <row r="610" spans="2:24" x14ac:dyDescent="0.3">
      <c r="B610" s="1">
        <f t="shared" si="332"/>
        <v>0</v>
      </c>
      <c r="C610" s="1">
        <f t="shared" si="333"/>
        <v>0</v>
      </c>
      <c r="D610" s="10">
        <f t="shared" si="334"/>
        <v>0</v>
      </c>
      <c r="E610" s="1">
        <f t="shared" si="335"/>
        <v>0</v>
      </c>
      <c r="F610" s="1">
        <f t="shared" si="336"/>
        <v>0</v>
      </c>
      <c r="G610" s="1">
        <f t="shared" si="337"/>
        <v>0</v>
      </c>
      <c r="H610" s="1">
        <f t="shared" si="324"/>
        <v>0</v>
      </c>
      <c r="I610" s="10">
        <f t="shared" si="338"/>
        <v>0</v>
      </c>
      <c r="J610" s="1">
        <f t="shared" si="325"/>
        <v>0</v>
      </c>
      <c r="K610" s="1">
        <f t="shared" si="326"/>
        <v>0</v>
      </c>
      <c r="L610" s="1" t="str">
        <f t="shared" si="327"/>
        <v>0</v>
      </c>
      <c r="M610" s="10">
        <f t="shared" si="328"/>
        <v>0</v>
      </c>
      <c r="N610" s="1">
        <f t="shared" si="339"/>
        <v>0</v>
      </c>
      <c r="O610" s="1">
        <f t="shared" si="331"/>
        <v>0</v>
      </c>
      <c r="P610" s="1">
        <f t="shared" si="329"/>
        <v>0</v>
      </c>
      <c r="Q610" s="3" t="str">
        <f t="shared" si="330"/>
        <v/>
      </c>
      <c r="T610" s="13" t="str">
        <f t="shared" si="340"/>
        <v/>
      </c>
      <c r="U610" s="14" t="str">
        <f t="shared" si="341"/>
        <v/>
      </c>
      <c r="V610" s="13" t="str">
        <f t="shared" si="342"/>
        <v/>
      </c>
      <c r="W610" s="13" t="str">
        <f t="shared" si="343"/>
        <v/>
      </c>
      <c r="X610" s="14" t="str">
        <f t="shared" si="344"/>
        <v/>
      </c>
    </row>
    <row r="611" spans="2:24" x14ac:dyDescent="0.3">
      <c r="B611" s="1">
        <f t="shared" si="332"/>
        <v>0</v>
      </c>
      <c r="C611" s="1">
        <f t="shared" si="333"/>
        <v>0</v>
      </c>
      <c r="D611" s="10">
        <f t="shared" si="334"/>
        <v>0</v>
      </c>
      <c r="E611" s="1">
        <f t="shared" si="335"/>
        <v>0</v>
      </c>
      <c r="F611" s="1">
        <f t="shared" si="336"/>
        <v>0</v>
      </c>
      <c r="G611" s="1">
        <f t="shared" si="337"/>
        <v>0</v>
      </c>
      <c r="H611" s="1">
        <f t="shared" si="324"/>
        <v>0</v>
      </c>
      <c r="I611" s="10">
        <f t="shared" si="338"/>
        <v>0</v>
      </c>
      <c r="J611" s="1">
        <f t="shared" si="325"/>
        <v>0</v>
      </c>
      <c r="K611" s="1">
        <f t="shared" si="326"/>
        <v>0</v>
      </c>
      <c r="L611" s="1" t="str">
        <f t="shared" si="327"/>
        <v>0</v>
      </c>
      <c r="M611" s="10">
        <f t="shared" si="328"/>
        <v>0</v>
      </c>
      <c r="N611" s="1">
        <f t="shared" si="339"/>
        <v>0</v>
      </c>
      <c r="O611" s="1">
        <f t="shared" si="331"/>
        <v>0</v>
      </c>
      <c r="P611" s="1">
        <f t="shared" si="329"/>
        <v>0</v>
      </c>
      <c r="Q611" s="3" t="str">
        <f t="shared" si="330"/>
        <v/>
      </c>
      <c r="T611" s="13" t="str">
        <f t="shared" si="340"/>
        <v/>
      </c>
      <c r="U611" s="14" t="str">
        <f t="shared" si="341"/>
        <v/>
      </c>
      <c r="V611" s="13" t="str">
        <f t="shared" si="342"/>
        <v/>
      </c>
      <c r="W611" s="13" t="str">
        <f t="shared" si="343"/>
        <v/>
      </c>
      <c r="X611" s="14" t="str">
        <f t="shared" si="344"/>
        <v/>
      </c>
    </row>
    <row r="612" spans="2:24" x14ac:dyDescent="0.3">
      <c r="B612" s="1">
        <f t="shared" si="332"/>
        <v>0</v>
      </c>
      <c r="C612" s="1">
        <f t="shared" si="333"/>
        <v>0</v>
      </c>
      <c r="D612" s="10">
        <f t="shared" si="334"/>
        <v>0</v>
      </c>
      <c r="E612" s="1">
        <f t="shared" si="335"/>
        <v>0</v>
      </c>
      <c r="F612" s="1">
        <f t="shared" si="336"/>
        <v>0</v>
      </c>
      <c r="G612" s="1">
        <f t="shared" si="337"/>
        <v>0</v>
      </c>
      <c r="H612" s="1">
        <f t="shared" si="324"/>
        <v>0</v>
      </c>
      <c r="I612" s="10">
        <f t="shared" si="338"/>
        <v>0</v>
      </c>
      <c r="J612" s="1">
        <f t="shared" si="325"/>
        <v>0</v>
      </c>
      <c r="K612" s="1">
        <f t="shared" si="326"/>
        <v>0</v>
      </c>
      <c r="L612" s="1" t="str">
        <f t="shared" si="327"/>
        <v>0</v>
      </c>
      <c r="M612" s="10">
        <f t="shared" si="328"/>
        <v>0</v>
      </c>
      <c r="N612" s="1">
        <f t="shared" si="339"/>
        <v>0</v>
      </c>
      <c r="O612" s="1">
        <f t="shared" si="331"/>
        <v>0</v>
      </c>
      <c r="P612" s="1">
        <f t="shared" si="329"/>
        <v>0</v>
      </c>
      <c r="Q612" s="3" t="str">
        <f t="shared" si="330"/>
        <v/>
      </c>
      <c r="T612" s="13" t="str">
        <f t="shared" si="340"/>
        <v/>
      </c>
      <c r="U612" s="14" t="str">
        <f t="shared" si="341"/>
        <v/>
      </c>
      <c r="V612" s="13" t="str">
        <f t="shared" si="342"/>
        <v/>
      </c>
      <c r="W612" s="13" t="str">
        <f t="shared" si="343"/>
        <v/>
      </c>
      <c r="X612" s="14" t="str">
        <f t="shared" si="344"/>
        <v/>
      </c>
    </row>
    <row r="613" spans="2:24" x14ac:dyDescent="0.3">
      <c r="B613" s="1">
        <f t="shared" si="332"/>
        <v>0</v>
      </c>
      <c r="C613" s="1">
        <f t="shared" si="333"/>
        <v>0</v>
      </c>
      <c r="D613" s="10">
        <f t="shared" si="334"/>
        <v>0</v>
      </c>
      <c r="E613" s="1">
        <f t="shared" si="335"/>
        <v>0</v>
      </c>
      <c r="F613" s="1">
        <f t="shared" si="336"/>
        <v>0</v>
      </c>
      <c r="G613" s="1">
        <f t="shared" si="337"/>
        <v>0</v>
      </c>
      <c r="H613" s="1">
        <f t="shared" si="324"/>
        <v>0</v>
      </c>
      <c r="I613" s="10">
        <f t="shared" si="338"/>
        <v>0</v>
      </c>
      <c r="J613" s="1">
        <f t="shared" si="325"/>
        <v>0</v>
      </c>
      <c r="K613" s="1">
        <f t="shared" si="326"/>
        <v>0</v>
      </c>
      <c r="L613" s="1" t="str">
        <f t="shared" si="327"/>
        <v>0</v>
      </c>
      <c r="M613" s="10">
        <f t="shared" si="328"/>
        <v>0</v>
      </c>
      <c r="N613" s="1">
        <f t="shared" si="339"/>
        <v>0</v>
      </c>
      <c r="O613" s="1">
        <f t="shared" si="331"/>
        <v>0</v>
      </c>
      <c r="P613" s="1">
        <f t="shared" si="329"/>
        <v>0</v>
      </c>
      <c r="Q613" s="3" t="str">
        <f t="shared" si="330"/>
        <v/>
      </c>
      <c r="T613" s="13" t="str">
        <f t="shared" si="340"/>
        <v/>
      </c>
      <c r="U613" s="14" t="str">
        <f t="shared" si="341"/>
        <v/>
      </c>
      <c r="V613" s="13" t="str">
        <f t="shared" si="342"/>
        <v/>
      </c>
      <c r="W613" s="13" t="str">
        <f t="shared" si="343"/>
        <v/>
      </c>
      <c r="X613" s="14" t="str">
        <f t="shared" si="344"/>
        <v/>
      </c>
    </row>
    <row r="614" spans="2:24" x14ac:dyDescent="0.3">
      <c r="B614" s="1">
        <f t="shared" si="332"/>
        <v>0</v>
      </c>
      <c r="C614" s="1">
        <f t="shared" si="333"/>
        <v>0</v>
      </c>
      <c r="D614" s="10">
        <f t="shared" si="334"/>
        <v>0</v>
      </c>
      <c r="E614" s="1">
        <f t="shared" si="335"/>
        <v>0</v>
      </c>
      <c r="F614" s="1">
        <f t="shared" si="336"/>
        <v>0</v>
      </c>
      <c r="G614" s="1">
        <f t="shared" si="337"/>
        <v>0</v>
      </c>
      <c r="H614" s="1">
        <f t="shared" si="324"/>
        <v>0</v>
      </c>
      <c r="I614" s="10">
        <f t="shared" si="338"/>
        <v>0</v>
      </c>
      <c r="J614" s="1">
        <f t="shared" si="325"/>
        <v>0</v>
      </c>
      <c r="K614" s="1">
        <f t="shared" si="326"/>
        <v>0</v>
      </c>
      <c r="L614" s="1" t="str">
        <f t="shared" si="327"/>
        <v>0</v>
      </c>
      <c r="M614" s="10">
        <f t="shared" si="328"/>
        <v>0</v>
      </c>
      <c r="N614" s="1">
        <f t="shared" si="339"/>
        <v>0</v>
      </c>
      <c r="O614" s="1">
        <f t="shared" si="331"/>
        <v>0</v>
      </c>
      <c r="P614" s="1">
        <f t="shared" si="329"/>
        <v>0</v>
      </c>
      <c r="Q614" s="3" t="str">
        <f t="shared" si="330"/>
        <v/>
      </c>
      <c r="T614" s="13" t="str">
        <f t="shared" si="340"/>
        <v/>
      </c>
      <c r="U614" s="14" t="str">
        <f t="shared" si="341"/>
        <v/>
      </c>
      <c r="V614" s="13" t="str">
        <f t="shared" si="342"/>
        <v/>
      </c>
      <c r="W614" s="13" t="str">
        <f t="shared" si="343"/>
        <v/>
      </c>
      <c r="X614" s="14" t="str">
        <f t="shared" si="344"/>
        <v/>
      </c>
    </row>
    <row r="615" spans="2:24" x14ac:dyDescent="0.3">
      <c r="B615" s="1">
        <f t="shared" si="332"/>
        <v>0</v>
      </c>
      <c r="C615" s="1">
        <f t="shared" si="333"/>
        <v>0</v>
      </c>
      <c r="D615" s="10">
        <f t="shared" si="334"/>
        <v>0</v>
      </c>
      <c r="E615" s="1">
        <f t="shared" si="335"/>
        <v>0</v>
      </c>
      <c r="F615" s="1">
        <f t="shared" si="336"/>
        <v>0</v>
      </c>
      <c r="G615" s="1">
        <f t="shared" si="337"/>
        <v>0</v>
      </c>
      <c r="H615" s="1">
        <f t="shared" si="324"/>
        <v>0</v>
      </c>
      <c r="I615" s="10">
        <f t="shared" si="338"/>
        <v>0</v>
      </c>
      <c r="J615" s="1">
        <f t="shared" si="325"/>
        <v>0</v>
      </c>
      <c r="K615" s="1">
        <f t="shared" si="326"/>
        <v>0</v>
      </c>
      <c r="L615" s="1" t="str">
        <f t="shared" si="327"/>
        <v>0</v>
      </c>
      <c r="M615" s="10">
        <f t="shared" si="328"/>
        <v>0</v>
      </c>
      <c r="N615" s="1">
        <f t="shared" si="339"/>
        <v>0</v>
      </c>
      <c r="O615" s="1">
        <f t="shared" si="331"/>
        <v>0</v>
      </c>
      <c r="P615" s="1">
        <f t="shared" si="329"/>
        <v>0</v>
      </c>
      <c r="Q615" s="3" t="str">
        <f t="shared" si="330"/>
        <v/>
      </c>
      <c r="T615" s="13" t="str">
        <f t="shared" si="340"/>
        <v/>
      </c>
      <c r="U615" s="14" t="str">
        <f t="shared" si="341"/>
        <v/>
      </c>
      <c r="V615" s="13" t="str">
        <f t="shared" si="342"/>
        <v/>
      </c>
      <c r="W615" s="13" t="str">
        <f t="shared" si="343"/>
        <v/>
      </c>
      <c r="X615" s="14" t="str">
        <f t="shared" si="344"/>
        <v/>
      </c>
    </row>
    <row r="616" spans="2:24" x14ac:dyDescent="0.3">
      <c r="B616" s="1">
        <f t="shared" si="332"/>
        <v>0</v>
      </c>
      <c r="C616" s="1">
        <f t="shared" si="333"/>
        <v>0</v>
      </c>
      <c r="D616" s="10">
        <f t="shared" si="334"/>
        <v>0</v>
      </c>
      <c r="E616" s="1">
        <f t="shared" si="335"/>
        <v>0</v>
      </c>
      <c r="F616" s="1">
        <f t="shared" si="336"/>
        <v>0</v>
      </c>
      <c r="G616" s="1">
        <f t="shared" si="337"/>
        <v>0</v>
      </c>
      <c r="H616" s="1">
        <f t="shared" si="324"/>
        <v>0</v>
      </c>
      <c r="I616" s="10">
        <f t="shared" si="338"/>
        <v>0</v>
      </c>
      <c r="J616" s="1">
        <f t="shared" si="325"/>
        <v>0</v>
      </c>
      <c r="K616" s="1">
        <f t="shared" si="326"/>
        <v>0</v>
      </c>
      <c r="L616" s="1" t="str">
        <f t="shared" si="327"/>
        <v>0</v>
      </c>
      <c r="M616" s="10">
        <f t="shared" si="328"/>
        <v>0</v>
      </c>
      <c r="N616" s="1">
        <f t="shared" si="339"/>
        <v>0</v>
      </c>
      <c r="O616" s="1">
        <f t="shared" si="331"/>
        <v>0</v>
      </c>
      <c r="P616" s="1">
        <f t="shared" si="329"/>
        <v>0</v>
      </c>
      <c r="Q616" s="3" t="str">
        <f t="shared" si="330"/>
        <v/>
      </c>
      <c r="T616" s="13" t="str">
        <f t="shared" si="340"/>
        <v/>
      </c>
      <c r="U616" s="14" t="str">
        <f t="shared" si="341"/>
        <v/>
      </c>
      <c r="V616" s="13" t="str">
        <f t="shared" si="342"/>
        <v/>
      </c>
      <c r="W616" s="13" t="str">
        <f t="shared" si="343"/>
        <v/>
      </c>
      <c r="X616" s="14" t="str">
        <f t="shared" si="344"/>
        <v/>
      </c>
    </row>
    <row r="617" spans="2:24" x14ac:dyDescent="0.3">
      <c r="B617" s="1">
        <f t="shared" si="332"/>
        <v>0</v>
      </c>
      <c r="C617" s="1">
        <f t="shared" si="333"/>
        <v>0</v>
      </c>
      <c r="D617" s="10">
        <f t="shared" si="334"/>
        <v>0</v>
      </c>
      <c r="E617" s="1">
        <f t="shared" si="335"/>
        <v>0</v>
      </c>
      <c r="F617" s="1">
        <f t="shared" si="336"/>
        <v>0</v>
      </c>
      <c r="G617" s="1">
        <f t="shared" si="337"/>
        <v>0</v>
      </c>
      <c r="H617" s="1">
        <f t="shared" si="324"/>
        <v>0</v>
      </c>
      <c r="I617" s="10">
        <f t="shared" si="338"/>
        <v>0</v>
      </c>
      <c r="J617" s="1">
        <f t="shared" si="325"/>
        <v>0</v>
      </c>
      <c r="K617" s="1">
        <f t="shared" si="326"/>
        <v>0</v>
      </c>
      <c r="L617" s="1" t="str">
        <f t="shared" si="327"/>
        <v>0</v>
      </c>
      <c r="M617" s="10">
        <f t="shared" si="328"/>
        <v>0</v>
      </c>
      <c r="N617" s="1">
        <f t="shared" si="339"/>
        <v>0</v>
      </c>
      <c r="O617" s="1">
        <f t="shared" si="331"/>
        <v>0</v>
      </c>
      <c r="P617" s="1">
        <f t="shared" si="329"/>
        <v>0</v>
      </c>
      <c r="Q617" s="3" t="str">
        <f t="shared" si="330"/>
        <v/>
      </c>
      <c r="T617" s="13" t="str">
        <f t="shared" si="340"/>
        <v/>
      </c>
      <c r="U617" s="14" t="str">
        <f t="shared" si="341"/>
        <v/>
      </c>
      <c r="V617" s="13" t="str">
        <f t="shared" si="342"/>
        <v/>
      </c>
      <c r="W617" s="13" t="str">
        <f t="shared" si="343"/>
        <v/>
      </c>
      <c r="X617" s="14" t="str">
        <f t="shared" si="344"/>
        <v/>
      </c>
    </row>
    <row r="618" spans="2:24" x14ac:dyDescent="0.3">
      <c r="B618" s="1">
        <f t="shared" si="332"/>
        <v>0</v>
      </c>
      <c r="C618" s="1">
        <f t="shared" si="333"/>
        <v>0</v>
      </c>
      <c r="D618" s="10">
        <f t="shared" si="334"/>
        <v>0</v>
      </c>
      <c r="E618" s="1">
        <f t="shared" si="335"/>
        <v>0</v>
      </c>
      <c r="F618" s="1">
        <f t="shared" si="336"/>
        <v>0</v>
      </c>
      <c r="G618" s="1">
        <f t="shared" si="337"/>
        <v>0</v>
      </c>
      <c r="H618" s="1">
        <f t="shared" si="324"/>
        <v>0</v>
      </c>
      <c r="I618" s="10">
        <f t="shared" si="338"/>
        <v>0</v>
      </c>
      <c r="J618" s="1">
        <f t="shared" si="325"/>
        <v>0</v>
      </c>
      <c r="K618" s="1">
        <f t="shared" si="326"/>
        <v>0</v>
      </c>
      <c r="L618" s="1" t="str">
        <f t="shared" si="327"/>
        <v>0</v>
      </c>
      <c r="M618" s="10">
        <f t="shared" si="328"/>
        <v>0</v>
      </c>
      <c r="N618" s="1">
        <f t="shared" si="339"/>
        <v>0</v>
      </c>
      <c r="O618" s="1">
        <f t="shared" si="331"/>
        <v>0</v>
      </c>
      <c r="P618" s="1">
        <f t="shared" si="329"/>
        <v>0</v>
      </c>
      <c r="Q618" s="3" t="str">
        <f t="shared" si="330"/>
        <v/>
      </c>
      <c r="T618" s="13" t="str">
        <f t="shared" si="340"/>
        <v/>
      </c>
      <c r="U618" s="14" t="str">
        <f t="shared" si="341"/>
        <v/>
      </c>
      <c r="V618" s="13" t="str">
        <f t="shared" si="342"/>
        <v/>
      </c>
      <c r="W618" s="13" t="str">
        <f t="shared" si="343"/>
        <v/>
      </c>
      <c r="X618" s="14" t="str">
        <f t="shared" si="344"/>
        <v/>
      </c>
    </row>
    <row r="619" spans="2:24" x14ac:dyDescent="0.3">
      <c r="B619" s="1">
        <f t="shared" si="332"/>
        <v>0</v>
      </c>
      <c r="C619" s="1">
        <f t="shared" si="333"/>
        <v>0</v>
      </c>
      <c r="D619" s="10">
        <f t="shared" si="334"/>
        <v>0</v>
      </c>
      <c r="E619" s="1">
        <f t="shared" si="335"/>
        <v>0</v>
      </c>
      <c r="F619" s="1">
        <f t="shared" si="336"/>
        <v>0</v>
      </c>
      <c r="G619" s="1">
        <f t="shared" si="337"/>
        <v>0</v>
      </c>
      <c r="H619" s="1">
        <f t="shared" si="324"/>
        <v>0</v>
      </c>
      <c r="I619" s="10">
        <f t="shared" si="338"/>
        <v>0</v>
      </c>
      <c r="J619" s="1">
        <f t="shared" si="325"/>
        <v>0</v>
      </c>
      <c r="K619" s="1">
        <f t="shared" si="326"/>
        <v>0</v>
      </c>
      <c r="L619" s="1" t="str">
        <f t="shared" si="327"/>
        <v>0</v>
      </c>
      <c r="M619" s="10">
        <f t="shared" si="328"/>
        <v>0</v>
      </c>
      <c r="N619" s="1">
        <f t="shared" si="339"/>
        <v>0</v>
      </c>
      <c r="O619" s="1">
        <f t="shared" si="331"/>
        <v>0</v>
      </c>
      <c r="P619" s="1">
        <f t="shared" si="329"/>
        <v>0</v>
      </c>
      <c r="Q619" s="3" t="str">
        <f t="shared" si="330"/>
        <v/>
      </c>
      <c r="T619" s="13" t="str">
        <f t="shared" si="340"/>
        <v/>
      </c>
      <c r="U619" s="14" t="str">
        <f t="shared" si="341"/>
        <v/>
      </c>
      <c r="V619" s="13" t="str">
        <f t="shared" si="342"/>
        <v/>
      </c>
      <c r="W619" s="13" t="str">
        <f t="shared" si="343"/>
        <v/>
      </c>
      <c r="X619" s="14" t="str">
        <f t="shared" si="344"/>
        <v/>
      </c>
    </row>
    <row r="620" spans="2:24" x14ac:dyDescent="0.3">
      <c r="B620" s="1">
        <f t="shared" si="332"/>
        <v>0</v>
      </c>
      <c r="C620" s="1">
        <f t="shared" si="333"/>
        <v>0</v>
      </c>
      <c r="D620" s="10">
        <f t="shared" si="334"/>
        <v>0</v>
      </c>
      <c r="E620" s="1">
        <f t="shared" si="335"/>
        <v>0</v>
      </c>
      <c r="F620" s="1">
        <f t="shared" si="336"/>
        <v>0</v>
      </c>
      <c r="G620" s="1">
        <f t="shared" si="337"/>
        <v>0</v>
      </c>
      <c r="H620" s="1">
        <f t="shared" si="324"/>
        <v>0</v>
      </c>
      <c r="I620" s="10">
        <f t="shared" si="338"/>
        <v>0</v>
      </c>
      <c r="J620" s="1">
        <f t="shared" si="325"/>
        <v>0</v>
      </c>
      <c r="K620" s="1">
        <f t="shared" si="326"/>
        <v>0</v>
      </c>
      <c r="L620" s="1" t="str">
        <f t="shared" si="327"/>
        <v>0</v>
      </c>
      <c r="M620" s="10">
        <f t="shared" si="328"/>
        <v>0</v>
      </c>
      <c r="N620" s="1">
        <f t="shared" si="339"/>
        <v>0</v>
      </c>
      <c r="O620" s="1">
        <f t="shared" si="331"/>
        <v>0</v>
      </c>
      <c r="P620" s="1">
        <f t="shared" si="329"/>
        <v>0</v>
      </c>
      <c r="Q620" s="3" t="str">
        <f t="shared" si="330"/>
        <v/>
      </c>
      <c r="T620" s="13" t="str">
        <f t="shared" si="340"/>
        <v/>
      </c>
      <c r="U620" s="14" t="str">
        <f t="shared" si="341"/>
        <v/>
      </c>
      <c r="V620" s="13" t="str">
        <f t="shared" si="342"/>
        <v/>
      </c>
      <c r="W620" s="13" t="str">
        <f t="shared" si="343"/>
        <v/>
      </c>
      <c r="X620" s="14" t="str">
        <f t="shared" si="344"/>
        <v/>
      </c>
    </row>
    <row r="621" spans="2:24" x14ac:dyDescent="0.3">
      <c r="B621" s="1">
        <f t="shared" si="332"/>
        <v>0</v>
      </c>
      <c r="C621" s="1">
        <f t="shared" si="333"/>
        <v>0</v>
      </c>
      <c r="D621" s="10">
        <f t="shared" si="334"/>
        <v>0</v>
      </c>
      <c r="E621" s="1">
        <f t="shared" si="335"/>
        <v>0</v>
      </c>
      <c r="F621" s="1">
        <f t="shared" si="336"/>
        <v>0</v>
      </c>
      <c r="G621" s="1">
        <f t="shared" si="337"/>
        <v>0</v>
      </c>
      <c r="H621" s="1">
        <f t="shared" si="324"/>
        <v>0</v>
      </c>
      <c r="I621" s="10">
        <f t="shared" si="338"/>
        <v>0</v>
      </c>
      <c r="J621" s="1">
        <f t="shared" si="325"/>
        <v>0</v>
      </c>
      <c r="K621" s="1">
        <f t="shared" si="326"/>
        <v>0</v>
      </c>
      <c r="L621" s="1" t="str">
        <f t="shared" si="327"/>
        <v>0</v>
      </c>
      <c r="M621" s="10">
        <f t="shared" si="328"/>
        <v>0</v>
      </c>
      <c r="N621" s="1">
        <f t="shared" si="339"/>
        <v>0</v>
      </c>
      <c r="O621" s="1">
        <f t="shared" si="331"/>
        <v>0</v>
      </c>
      <c r="P621" s="1">
        <f t="shared" si="329"/>
        <v>0</v>
      </c>
      <c r="Q621" s="3" t="str">
        <f t="shared" si="330"/>
        <v/>
      </c>
      <c r="T621" s="13" t="str">
        <f t="shared" si="340"/>
        <v/>
      </c>
      <c r="U621" s="14" t="str">
        <f t="shared" si="341"/>
        <v/>
      </c>
      <c r="V621" s="13" t="str">
        <f t="shared" si="342"/>
        <v/>
      </c>
      <c r="W621" s="13" t="str">
        <f t="shared" si="343"/>
        <v/>
      </c>
      <c r="X621" s="14" t="str">
        <f t="shared" si="344"/>
        <v/>
      </c>
    </row>
    <row r="622" spans="2:24" x14ac:dyDescent="0.3">
      <c r="B622" s="1">
        <f t="shared" si="332"/>
        <v>0</v>
      </c>
      <c r="C622" s="1">
        <f t="shared" si="333"/>
        <v>0</v>
      </c>
      <c r="D622" s="10">
        <f t="shared" si="334"/>
        <v>0</v>
      </c>
      <c r="E622" s="1">
        <f t="shared" si="335"/>
        <v>0</v>
      </c>
      <c r="F622" s="1">
        <f t="shared" si="336"/>
        <v>0</v>
      </c>
      <c r="G622" s="1">
        <f t="shared" si="337"/>
        <v>0</v>
      </c>
      <c r="H622" s="1">
        <f t="shared" si="324"/>
        <v>0</v>
      </c>
      <c r="I622" s="10">
        <f t="shared" si="338"/>
        <v>0</v>
      </c>
      <c r="J622" s="1">
        <f t="shared" si="325"/>
        <v>0</v>
      </c>
      <c r="K622" s="1">
        <f t="shared" si="326"/>
        <v>0</v>
      </c>
      <c r="L622" s="1" t="str">
        <f t="shared" si="327"/>
        <v>0</v>
      </c>
      <c r="M622" s="10">
        <f t="shared" si="328"/>
        <v>0</v>
      </c>
      <c r="N622" s="1">
        <f t="shared" si="339"/>
        <v>0</v>
      </c>
      <c r="O622" s="1">
        <f t="shared" si="331"/>
        <v>0</v>
      </c>
      <c r="P622" s="1">
        <f t="shared" si="329"/>
        <v>0</v>
      </c>
      <c r="Q622" s="3" t="str">
        <f t="shared" si="330"/>
        <v/>
      </c>
      <c r="T622" s="13" t="str">
        <f t="shared" si="340"/>
        <v/>
      </c>
      <c r="U622" s="14" t="str">
        <f t="shared" si="341"/>
        <v/>
      </c>
      <c r="V622" s="13" t="str">
        <f t="shared" si="342"/>
        <v/>
      </c>
      <c r="W622" s="13" t="str">
        <f t="shared" si="343"/>
        <v/>
      </c>
      <c r="X622" s="14" t="str">
        <f t="shared" si="344"/>
        <v/>
      </c>
    </row>
    <row r="623" spans="2:24" x14ac:dyDescent="0.3">
      <c r="B623" s="1">
        <f t="shared" si="332"/>
        <v>0</v>
      </c>
      <c r="C623" s="1">
        <f t="shared" si="333"/>
        <v>0</v>
      </c>
      <c r="D623" s="10">
        <f t="shared" si="334"/>
        <v>0</v>
      </c>
      <c r="E623" s="1">
        <f t="shared" si="335"/>
        <v>0</v>
      </c>
      <c r="F623" s="1">
        <f t="shared" si="336"/>
        <v>0</v>
      </c>
      <c r="G623" s="1">
        <f t="shared" si="337"/>
        <v>0</v>
      </c>
      <c r="H623" s="1">
        <f t="shared" si="324"/>
        <v>0</v>
      </c>
      <c r="I623" s="10">
        <f t="shared" si="338"/>
        <v>0</v>
      </c>
      <c r="J623" s="1">
        <f t="shared" si="325"/>
        <v>0</v>
      </c>
      <c r="K623" s="1">
        <f t="shared" si="326"/>
        <v>0</v>
      </c>
      <c r="L623" s="1" t="str">
        <f t="shared" si="327"/>
        <v>0</v>
      </c>
      <c r="M623" s="10">
        <f t="shared" si="328"/>
        <v>0</v>
      </c>
      <c r="N623" s="1">
        <f t="shared" si="339"/>
        <v>0</v>
      </c>
      <c r="O623" s="1">
        <f t="shared" si="331"/>
        <v>0</v>
      </c>
      <c r="P623" s="1">
        <f t="shared" si="329"/>
        <v>0</v>
      </c>
      <c r="Q623" s="3" t="str">
        <f t="shared" si="330"/>
        <v/>
      </c>
      <c r="T623" s="13" t="str">
        <f t="shared" si="340"/>
        <v/>
      </c>
      <c r="U623" s="14" t="str">
        <f t="shared" si="341"/>
        <v/>
      </c>
      <c r="V623" s="13" t="str">
        <f t="shared" si="342"/>
        <v/>
      </c>
      <c r="W623" s="13" t="str">
        <f t="shared" si="343"/>
        <v/>
      </c>
      <c r="X623" s="14" t="str">
        <f t="shared" si="344"/>
        <v/>
      </c>
    </row>
    <row r="624" spans="2:24" x14ac:dyDescent="0.3">
      <c r="B624" s="1">
        <f t="shared" si="332"/>
        <v>0</v>
      </c>
      <c r="C624" s="1">
        <f t="shared" si="333"/>
        <v>0</v>
      </c>
      <c r="D624" s="10">
        <f t="shared" si="334"/>
        <v>0</v>
      </c>
      <c r="E624" s="1">
        <f t="shared" si="335"/>
        <v>0</v>
      </c>
      <c r="F624" s="1">
        <f t="shared" si="336"/>
        <v>0</v>
      </c>
      <c r="G624" s="1">
        <f t="shared" si="337"/>
        <v>0</v>
      </c>
      <c r="H624" s="1">
        <f t="shared" si="324"/>
        <v>0</v>
      </c>
      <c r="I624" s="10">
        <f t="shared" si="338"/>
        <v>0</v>
      </c>
      <c r="J624" s="1">
        <f t="shared" si="325"/>
        <v>0</v>
      </c>
      <c r="K624" s="1">
        <f t="shared" si="326"/>
        <v>0</v>
      </c>
      <c r="L624" s="1" t="str">
        <f t="shared" si="327"/>
        <v>0</v>
      </c>
      <c r="M624" s="10">
        <f t="shared" si="328"/>
        <v>0</v>
      </c>
      <c r="N624" s="1">
        <f t="shared" si="339"/>
        <v>0</v>
      </c>
      <c r="O624" s="1">
        <f t="shared" si="331"/>
        <v>0</v>
      </c>
      <c r="P624" s="1">
        <f t="shared" si="329"/>
        <v>0</v>
      </c>
      <c r="Q624" s="3" t="str">
        <f t="shared" si="330"/>
        <v/>
      </c>
      <c r="T624" s="13" t="str">
        <f t="shared" si="340"/>
        <v/>
      </c>
      <c r="U624" s="14" t="str">
        <f t="shared" si="341"/>
        <v/>
      </c>
      <c r="V624" s="13" t="str">
        <f t="shared" si="342"/>
        <v/>
      </c>
      <c r="W624" s="13" t="str">
        <f t="shared" si="343"/>
        <v/>
      </c>
      <c r="X624" s="14" t="str">
        <f t="shared" si="344"/>
        <v/>
      </c>
    </row>
    <row r="625" spans="2:24" x14ac:dyDescent="0.3">
      <c r="B625" s="1">
        <f t="shared" si="332"/>
        <v>0</v>
      </c>
      <c r="C625" s="1">
        <f t="shared" si="333"/>
        <v>0</v>
      </c>
      <c r="D625" s="10">
        <f t="shared" si="334"/>
        <v>0</v>
      </c>
      <c r="E625" s="1">
        <f t="shared" si="335"/>
        <v>0</v>
      </c>
      <c r="F625" s="1">
        <f t="shared" si="336"/>
        <v>0</v>
      </c>
      <c r="G625" s="1">
        <f t="shared" si="337"/>
        <v>0</v>
      </c>
      <c r="H625" s="1">
        <f t="shared" si="324"/>
        <v>0</v>
      </c>
      <c r="I625" s="10">
        <f t="shared" si="338"/>
        <v>0</v>
      </c>
      <c r="J625" s="1">
        <f t="shared" si="325"/>
        <v>0</v>
      </c>
      <c r="K625" s="1">
        <f t="shared" si="326"/>
        <v>0</v>
      </c>
      <c r="L625" s="1" t="str">
        <f t="shared" si="327"/>
        <v>0</v>
      </c>
      <c r="M625" s="10">
        <f t="shared" si="328"/>
        <v>0</v>
      </c>
      <c r="N625" s="1">
        <f t="shared" si="339"/>
        <v>0</v>
      </c>
      <c r="O625" s="1">
        <f t="shared" si="331"/>
        <v>0</v>
      </c>
      <c r="P625" s="1">
        <f t="shared" si="329"/>
        <v>0</v>
      </c>
      <c r="Q625" s="3" t="str">
        <f t="shared" si="330"/>
        <v/>
      </c>
      <c r="T625" s="13" t="str">
        <f t="shared" si="340"/>
        <v/>
      </c>
      <c r="U625" s="14" t="str">
        <f t="shared" si="341"/>
        <v/>
      </c>
      <c r="V625" s="13" t="str">
        <f t="shared" si="342"/>
        <v/>
      </c>
      <c r="W625" s="13" t="str">
        <f t="shared" si="343"/>
        <v/>
      </c>
      <c r="X625" s="14" t="str">
        <f t="shared" si="344"/>
        <v/>
      </c>
    </row>
    <row r="626" spans="2:24" x14ac:dyDescent="0.3">
      <c r="B626" s="1">
        <f t="shared" si="332"/>
        <v>0</v>
      </c>
      <c r="C626" s="1">
        <f t="shared" si="333"/>
        <v>0</v>
      </c>
      <c r="D626" s="10">
        <f t="shared" si="334"/>
        <v>0</v>
      </c>
      <c r="E626" s="1">
        <f t="shared" si="335"/>
        <v>0</v>
      </c>
      <c r="F626" s="1">
        <f t="shared" si="336"/>
        <v>0</v>
      </c>
      <c r="G626" s="1">
        <f t="shared" si="337"/>
        <v>0</v>
      </c>
      <c r="H626" s="1">
        <f t="shared" si="324"/>
        <v>0</v>
      </c>
      <c r="I626" s="10">
        <f t="shared" si="338"/>
        <v>0</v>
      </c>
      <c r="J626" s="1">
        <f t="shared" si="325"/>
        <v>0</v>
      </c>
      <c r="K626" s="1">
        <f t="shared" si="326"/>
        <v>0</v>
      </c>
      <c r="L626" s="1" t="str">
        <f t="shared" si="327"/>
        <v>0</v>
      </c>
      <c r="M626" s="10">
        <f t="shared" si="328"/>
        <v>0</v>
      </c>
      <c r="N626" s="1">
        <f t="shared" si="339"/>
        <v>0</v>
      </c>
      <c r="O626" s="1">
        <f t="shared" si="331"/>
        <v>0</v>
      </c>
      <c r="P626" s="1">
        <f t="shared" si="329"/>
        <v>0</v>
      </c>
      <c r="Q626" s="3" t="str">
        <f t="shared" si="330"/>
        <v/>
      </c>
      <c r="T626" s="13" t="str">
        <f t="shared" si="340"/>
        <v/>
      </c>
      <c r="U626" s="14" t="str">
        <f t="shared" si="341"/>
        <v/>
      </c>
      <c r="V626" s="13" t="str">
        <f t="shared" si="342"/>
        <v/>
      </c>
      <c r="W626" s="13" t="str">
        <f t="shared" si="343"/>
        <v/>
      </c>
      <c r="X626" s="14" t="str">
        <f t="shared" si="344"/>
        <v/>
      </c>
    </row>
    <row r="627" spans="2:24" x14ac:dyDescent="0.3">
      <c r="B627" s="1">
        <f t="shared" si="332"/>
        <v>0</v>
      </c>
      <c r="C627" s="1">
        <f t="shared" si="333"/>
        <v>0</v>
      </c>
      <c r="D627" s="10">
        <f t="shared" si="334"/>
        <v>0</v>
      </c>
      <c r="E627" s="1">
        <f t="shared" si="335"/>
        <v>0</v>
      </c>
      <c r="F627" s="1">
        <f t="shared" si="336"/>
        <v>0</v>
      </c>
      <c r="G627" s="1">
        <f t="shared" si="337"/>
        <v>0</v>
      </c>
      <c r="H627" s="1">
        <f t="shared" si="324"/>
        <v>0</v>
      </c>
      <c r="I627" s="10">
        <f t="shared" si="338"/>
        <v>0</v>
      </c>
      <c r="J627" s="1">
        <f t="shared" si="325"/>
        <v>0</v>
      </c>
      <c r="K627" s="1">
        <f t="shared" si="326"/>
        <v>0</v>
      </c>
      <c r="L627" s="1" t="str">
        <f t="shared" si="327"/>
        <v>0</v>
      </c>
      <c r="M627" s="10">
        <f t="shared" si="328"/>
        <v>0</v>
      </c>
      <c r="N627" s="1">
        <f t="shared" si="339"/>
        <v>0</v>
      </c>
      <c r="O627" s="1">
        <f t="shared" si="331"/>
        <v>0</v>
      </c>
      <c r="P627" s="1">
        <f t="shared" si="329"/>
        <v>0</v>
      </c>
      <c r="Q627" s="3" t="str">
        <f t="shared" si="330"/>
        <v/>
      </c>
      <c r="T627" s="13" t="str">
        <f t="shared" si="340"/>
        <v/>
      </c>
      <c r="U627" s="14" t="str">
        <f t="shared" si="341"/>
        <v/>
      </c>
      <c r="V627" s="13" t="str">
        <f t="shared" si="342"/>
        <v/>
      </c>
      <c r="W627" s="13" t="str">
        <f t="shared" si="343"/>
        <v/>
      </c>
      <c r="X627" s="14" t="str">
        <f t="shared" si="344"/>
        <v/>
      </c>
    </row>
    <row r="628" spans="2:24" x14ac:dyDescent="0.3">
      <c r="B628" s="1">
        <f t="shared" si="332"/>
        <v>0</v>
      </c>
      <c r="C628" s="1">
        <f t="shared" si="333"/>
        <v>0</v>
      </c>
      <c r="D628" s="10">
        <f t="shared" si="334"/>
        <v>0</v>
      </c>
      <c r="E628" s="1">
        <f t="shared" si="335"/>
        <v>0</v>
      </c>
      <c r="F628" s="1">
        <f t="shared" si="336"/>
        <v>0</v>
      </c>
      <c r="G628" s="1">
        <f t="shared" si="337"/>
        <v>0</v>
      </c>
      <c r="H628" s="1">
        <f t="shared" si="324"/>
        <v>0</v>
      </c>
      <c r="I628" s="10">
        <f t="shared" si="338"/>
        <v>0</v>
      </c>
      <c r="J628" s="1">
        <f t="shared" si="325"/>
        <v>0</v>
      </c>
      <c r="K628" s="1">
        <f t="shared" si="326"/>
        <v>0</v>
      </c>
      <c r="L628" s="1" t="str">
        <f t="shared" si="327"/>
        <v>0</v>
      </c>
      <c r="M628" s="10">
        <f t="shared" si="328"/>
        <v>0</v>
      </c>
      <c r="N628" s="1">
        <f t="shared" si="339"/>
        <v>0</v>
      </c>
      <c r="O628" s="1">
        <f t="shared" si="331"/>
        <v>0</v>
      </c>
      <c r="P628" s="1">
        <f t="shared" si="329"/>
        <v>0</v>
      </c>
      <c r="Q628" s="3" t="str">
        <f t="shared" si="330"/>
        <v/>
      </c>
      <c r="T628" s="13" t="str">
        <f t="shared" si="340"/>
        <v/>
      </c>
      <c r="U628" s="14" t="str">
        <f t="shared" si="341"/>
        <v/>
      </c>
      <c r="V628" s="13" t="str">
        <f t="shared" si="342"/>
        <v/>
      </c>
      <c r="W628" s="13" t="str">
        <f t="shared" si="343"/>
        <v/>
      </c>
      <c r="X628" s="14" t="str">
        <f t="shared" si="344"/>
        <v/>
      </c>
    </row>
    <row r="629" spans="2:24" x14ac:dyDescent="0.3">
      <c r="B629" s="1">
        <f t="shared" si="332"/>
        <v>0</v>
      </c>
      <c r="C629" s="1">
        <f t="shared" si="333"/>
        <v>0</v>
      </c>
      <c r="D629" s="10">
        <f t="shared" si="334"/>
        <v>0</v>
      </c>
      <c r="E629" s="1">
        <f t="shared" si="335"/>
        <v>0</v>
      </c>
      <c r="F629" s="1">
        <f t="shared" si="336"/>
        <v>0</v>
      </c>
      <c r="G629" s="1">
        <f t="shared" si="337"/>
        <v>0</v>
      </c>
      <c r="H629" s="1">
        <f t="shared" ref="H629:H692" si="345">IF(AND(F629&gt;0,F629&lt;G629),F629,G629)</f>
        <v>0</v>
      </c>
      <c r="I629" s="10">
        <f t="shared" si="338"/>
        <v>0</v>
      </c>
      <c r="J629" s="1">
        <f t="shared" ref="J629:J692" si="346">IF(AND(F629&gt;0,F629&lt;G629),FIND("=",A629,F629)+1,0)</f>
        <v>0</v>
      </c>
      <c r="K629" s="1">
        <f t="shared" ref="K629:K692" si="347">IF(J629&gt;0,MID(A629,J629,G629-J629),0)</f>
        <v>0</v>
      </c>
      <c r="L629" s="1" t="str">
        <f t="shared" ref="L629:L692" si="348">IFERROR(RIGHT(K629,LEN(K629)-FIND("0x",K629)-1),DEC2HEX(K629))</f>
        <v>0</v>
      </c>
      <c r="M629" s="10">
        <f t="shared" ref="M629:M692" si="349">HEX2DEC(L629)</f>
        <v>0</v>
      </c>
      <c r="N629" s="1">
        <f t="shared" si="339"/>
        <v>0</v>
      </c>
      <c r="O629" s="1">
        <f t="shared" si="331"/>
        <v>0</v>
      </c>
      <c r="P629" s="1">
        <f t="shared" ref="P629:P692" si="350">IFERROR(FIND("*/",$A629,N629+1),0)</f>
        <v>0</v>
      </c>
      <c r="Q629" s="3" t="str">
        <f t="shared" si="330"/>
        <v/>
      </c>
      <c r="T629" s="13" t="str">
        <f t="shared" si="340"/>
        <v/>
      </c>
      <c r="U629" s="14" t="str">
        <f t="shared" si="341"/>
        <v/>
      </c>
      <c r="V629" s="13" t="str">
        <f t="shared" si="342"/>
        <v/>
      </c>
      <c r="W629" s="13" t="str">
        <f t="shared" si="343"/>
        <v/>
      </c>
      <c r="X629" s="14" t="str">
        <f t="shared" si="344"/>
        <v/>
      </c>
    </row>
    <row r="630" spans="2:24" x14ac:dyDescent="0.3">
      <c r="B630" s="1">
        <f t="shared" si="332"/>
        <v>0</v>
      </c>
      <c r="C630" s="1">
        <f t="shared" si="333"/>
        <v>0</v>
      </c>
      <c r="D630" s="10">
        <f t="shared" si="334"/>
        <v>0</v>
      </c>
      <c r="E630" s="1">
        <f t="shared" si="335"/>
        <v>0</v>
      </c>
      <c r="F630" s="1">
        <f t="shared" si="336"/>
        <v>0</v>
      </c>
      <c r="G630" s="1">
        <f t="shared" si="337"/>
        <v>0</v>
      </c>
      <c r="H630" s="1">
        <f t="shared" si="345"/>
        <v>0</v>
      </c>
      <c r="I630" s="10">
        <f t="shared" si="338"/>
        <v>0</v>
      </c>
      <c r="J630" s="1">
        <f t="shared" si="346"/>
        <v>0</v>
      </c>
      <c r="K630" s="1">
        <f t="shared" si="347"/>
        <v>0</v>
      </c>
      <c r="L630" s="1" t="str">
        <f t="shared" si="348"/>
        <v>0</v>
      </c>
      <c r="M630" s="10">
        <f t="shared" si="349"/>
        <v>0</v>
      </c>
      <c r="N630" s="1">
        <f t="shared" si="339"/>
        <v>0</v>
      </c>
      <c r="O630" s="1">
        <f t="shared" si="331"/>
        <v>0</v>
      </c>
      <c r="P630" s="1">
        <f t="shared" si="350"/>
        <v>0</v>
      </c>
      <c r="Q630" s="3" t="str">
        <f t="shared" si="330"/>
        <v/>
      </c>
      <c r="T630" s="13" t="str">
        <f t="shared" si="340"/>
        <v/>
      </c>
      <c r="U630" s="14" t="str">
        <f t="shared" si="341"/>
        <v/>
      </c>
      <c r="V630" s="13" t="str">
        <f t="shared" si="342"/>
        <v/>
      </c>
      <c r="W630" s="13" t="str">
        <f t="shared" si="343"/>
        <v/>
      </c>
      <c r="X630" s="14" t="str">
        <f t="shared" si="344"/>
        <v/>
      </c>
    </row>
    <row r="631" spans="2:24" x14ac:dyDescent="0.3">
      <c r="B631" s="1">
        <f t="shared" si="332"/>
        <v>0</v>
      </c>
      <c r="C631" s="1">
        <f t="shared" si="333"/>
        <v>0</v>
      </c>
      <c r="D631" s="10">
        <f t="shared" si="334"/>
        <v>0</v>
      </c>
      <c r="E631" s="1">
        <f t="shared" si="335"/>
        <v>0</v>
      </c>
      <c r="F631" s="1">
        <f t="shared" si="336"/>
        <v>0</v>
      </c>
      <c r="G631" s="1">
        <f t="shared" si="337"/>
        <v>0</v>
      </c>
      <c r="H631" s="1">
        <f t="shared" si="345"/>
        <v>0</v>
      </c>
      <c r="I631" s="10">
        <f t="shared" si="338"/>
        <v>0</v>
      </c>
      <c r="J631" s="1">
        <f t="shared" si="346"/>
        <v>0</v>
      </c>
      <c r="K631" s="1">
        <f t="shared" si="347"/>
        <v>0</v>
      </c>
      <c r="L631" s="1" t="str">
        <f t="shared" si="348"/>
        <v>0</v>
      </c>
      <c r="M631" s="10">
        <f t="shared" si="349"/>
        <v>0</v>
      </c>
      <c r="N631" s="1">
        <f t="shared" si="339"/>
        <v>0</v>
      </c>
      <c r="O631" s="1">
        <f t="shared" si="331"/>
        <v>0</v>
      </c>
      <c r="P631" s="1">
        <f t="shared" si="350"/>
        <v>0</v>
      </c>
      <c r="Q631" s="3" t="str">
        <f t="shared" si="330"/>
        <v/>
      </c>
      <c r="T631" s="13" t="str">
        <f t="shared" si="340"/>
        <v/>
      </c>
      <c r="U631" s="14" t="str">
        <f t="shared" si="341"/>
        <v/>
      </c>
      <c r="V631" s="13" t="str">
        <f t="shared" si="342"/>
        <v/>
      </c>
      <c r="W631" s="13" t="str">
        <f t="shared" si="343"/>
        <v/>
      </c>
      <c r="X631" s="14" t="str">
        <f t="shared" si="344"/>
        <v/>
      </c>
    </row>
    <row r="632" spans="2:24" x14ac:dyDescent="0.3">
      <c r="B632" s="1">
        <f t="shared" si="332"/>
        <v>0</v>
      </c>
      <c r="C632" s="1">
        <f t="shared" si="333"/>
        <v>0</v>
      </c>
      <c r="D632" s="10">
        <f t="shared" si="334"/>
        <v>0</v>
      </c>
      <c r="E632" s="1">
        <f t="shared" si="335"/>
        <v>0</v>
      </c>
      <c r="F632" s="1">
        <f t="shared" si="336"/>
        <v>0</v>
      </c>
      <c r="G632" s="1">
        <f t="shared" si="337"/>
        <v>0</v>
      </c>
      <c r="H632" s="1">
        <f t="shared" si="345"/>
        <v>0</v>
      </c>
      <c r="I632" s="10">
        <f t="shared" si="338"/>
        <v>0</v>
      </c>
      <c r="J632" s="1">
        <f t="shared" si="346"/>
        <v>0</v>
      </c>
      <c r="K632" s="1">
        <f t="shared" si="347"/>
        <v>0</v>
      </c>
      <c r="L632" s="1" t="str">
        <f t="shared" si="348"/>
        <v>0</v>
      </c>
      <c r="M632" s="10">
        <f t="shared" si="349"/>
        <v>0</v>
      </c>
      <c r="N632" s="1">
        <f t="shared" si="339"/>
        <v>0</v>
      </c>
      <c r="O632" s="1">
        <f t="shared" si="331"/>
        <v>0</v>
      </c>
      <c r="P632" s="1">
        <f t="shared" si="350"/>
        <v>0</v>
      </c>
      <c r="Q632" s="3" t="str">
        <f t="shared" si="330"/>
        <v/>
      </c>
      <c r="T632" s="13" t="str">
        <f t="shared" si="340"/>
        <v/>
      </c>
      <c r="U632" s="14" t="str">
        <f t="shared" si="341"/>
        <v/>
      </c>
      <c r="V632" s="13" t="str">
        <f t="shared" si="342"/>
        <v/>
      </c>
      <c r="W632" s="13" t="str">
        <f t="shared" si="343"/>
        <v/>
      </c>
      <c r="X632" s="14" t="str">
        <f t="shared" si="344"/>
        <v/>
      </c>
    </row>
    <row r="633" spans="2:24" x14ac:dyDescent="0.3">
      <c r="B633" s="1">
        <f t="shared" si="332"/>
        <v>0</v>
      </c>
      <c r="C633" s="1">
        <f t="shared" si="333"/>
        <v>0</v>
      </c>
      <c r="D633" s="10">
        <f t="shared" si="334"/>
        <v>0</v>
      </c>
      <c r="E633" s="1">
        <f t="shared" si="335"/>
        <v>0</v>
      </c>
      <c r="F633" s="1">
        <f t="shared" si="336"/>
        <v>0</v>
      </c>
      <c r="G633" s="1">
        <f t="shared" si="337"/>
        <v>0</v>
      </c>
      <c r="H633" s="1">
        <f t="shared" si="345"/>
        <v>0</v>
      </c>
      <c r="I633" s="10">
        <f t="shared" si="338"/>
        <v>0</v>
      </c>
      <c r="J633" s="1">
        <f t="shared" si="346"/>
        <v>0</v>
      </c>
      <c r="K633" s="1">
        <f t="shared" si="347"/>
        <v>0</v>
      </c>
      <c r="L633" s="1" t="str">
        <f t="shared" si="348"/>
        <v>0</v>
      </c>
      <c r="M633" s="10">
        <f t="shared" si="349"/>
        <v>0</v>
      </c>
      <c r="N633" s="1">
        <f t="shared" si="339"/>
        <v>0</v>
      </c>
      <c r="O633" s="1">
        <f t="shared" si="331"/>
        <v>0</v>
      </c>
      <c r="P633" s="1">
        <f t="shared" si="350"/>
        <v>0</v>
      </c>
      <c r="Q633" s="3" t="str">
        <f t="shared" si="330"/>
        <v/>
      </c>
      <c r="T633" s="13" t="str">
        <f t="shared" si="340"/>
        <v/>
      </c>
      <c r="U633" s="14" t="str">
        <f t="shared" si="341"/>
        <v/>
      </c>
      <c r="V633" s="13" t="str">
        <f t="shared" si="342"/>
        <v/>
      </c>
      <c r="W633" s="13" t="str">
        <f t="shared" si="343"/>
        <v/>
      </c>
      <c r="X633" s="14" t="str">
        <f t="shared" si="344"/>
        <v/>
      </c>
    </row>
    <row r="634" spans="2:24" x14ac:dyDescent="0.3">
      <c r="B634" s="1">
        <f t="shared" si="332"/>
        <v>0</v>
      </c>
      <c r="C634" s="1">
        <f t="shared" si="333"/>
        <v>0</v>
      </c>
      <c r="D634" s="10">
        <f t="shared" si="334"/>
        <v>0</v>
      </c>
      <c r="E634" s="1">
        <f t="shared" si="335"/>
        <v>0</v>
      </c>
      <c r="F634" s="1">
        <f t="shared" si="336"/>
        <v>0</v>
      </c>
      <c r="G634" s="1">
        <f t="shared" si="337"/>
        <v>0</v>
      </c>
      <c r="H634" s="1">
        <f t="shared" si="345"/>
        <v>0</v>
      </c>
      <c r="I634" s="10">
        <f t="shared" si="338"/>
        <v>0</v>
      </c>
      <c r="J634" s="1">
        <f t="shared" si="346"/>
        <v>0</v>
      </c>
      <c r="K634" s="1">
        <f t="shared" si="347"/>
        <v>0</v>
      </c>
      <c r="L634" s="1" t="str">
        <f t="shared" si="348"/>
        <v>0</v>
      </c>
      <c r="M634" s="10">
        <f t="shared" si="349"/>
        <v>0</v>
      </c>
      <c r="N634" s="1">
        <f t="shared" si="339"/>
        <v>0</v>
      </c>
      <c r="O634" s="1">
        <f t="shared" si="331"/>
        <v>0</v>
      </c>
      <c r="P634" s="1">
        <f t="shared" si="350"/>
        <v>0</v>
      </c>
      <c r="Q634" s="3" t="str">
        <f t="shared" si="330"/>
        <v/>
      </c>
      <c r="T634" s="13" t="str">
        <f t="shared" si="340"/>
        <v/>
      </c>
      <c r="U634" s="14" t="str">
        <f t="shared" si="341"/>
        <v/>
      </c>
      <c r="V634" s="13" t="str">
        <f t="shared" si="342"/>
        <v/>
      </c>
      <c r="W634" s="13" t="str">
        <f t="shared" si="343"/>
        <v/>
      </c>
      <c r="X634" s="14" t="str">
        <f t="shared" si="344"/>
        <v/>
      </c>
    </row>
    <row r="635" spans="2:24" x14ac:dyDescent="0.3">
      <c r="B635" s="1">
        <f t="shared" si="332"/>
        <v>0</v>
      </c>
      <c r="C635" s="1">
        <f t="shared" si="333"/>
        <v>0</v>
      </c>
      <c r="D635" s="10">
        <f t="shared" si="334"/>
        <v>0</v>
      </c>
      <c r="E635" s="1">
        <f t="shared" si="335"/>
        <v>0</v>
      </c>
      <c r="F635" s="1">
        <f t="shared" si="336"/>
        <v>0</v>
      </c>
      <c r="G635" s="1">
        <f t="shared" si="337"/>
        <v>0</v>
      </c>
      <c r="H635" s="1">
        <f t="shared" si="345"/>
        <v>0</v>
      </c>
      <c r="I635" s="10">
        <f t="shared" si="338"/>
        <v>0</v>
      </c>
      <c r="J635" s="1">
        <f t="shared" si="346"/>
        <v>0</v>
      </c>
      <c r="K635" s="1">
        <f t="shared" si="347"/>
        <v>0</v>
      </c>
      <c r="L635" s="1" t="str">
        <f t="shared" si="348"/>
        <v>0</v>
      </c>
      <c r="M635" s="10">
        <f t="shared" si="349"/>
        <v>0</v>
      </c>
      <c r="N635" s="1">
        <f t="shared" si="339"/>
        <v>0</v>
      </c>
      <c r="O635" s="1">
        <f t="shared" si="331"/>
        <v>0</v>
      </c>
      <c r="P635" s="1">
        <f t="shared" si="350"/>
        <v>0</v>
      </c>
      <c r="Q635" s="3" t="str">
        <f t="shared" si="330"/>
        <v/>
      </c>
      <c r="T635" s="13" t="str">
        <f t="shared" si="340"/>
        <v/>
      </c>
      <c r="U635" s="14" t="str">
        <f t="shared" si="341"/>
        <v/>
      </c>
      <c r="V635" s="13" t="str">
        <f t="shared" si="342"/>
        <v/>
      </c>
      <c r="W635" s="13" t="str">
        <f t="shared" si="343"/>
        <v/>
      </c>
      <c r="X635" s="14" t="str">
        <f t="shared" si="344"/>
        <v/>
      </c>
    </row>
    <row r="636" spans="2:24" x14ac:dyDescent="0.3">
      <c r="B636" s="1">
        <f t="shared" si="332"/>
        <v>0</v>
      </c>
      <c r="C636" s="1">
        <f t="shared" si="333"/>
        <v>0</v>
      </c>
      <c r="D636" s="10">
        <f t="shared" si="334"/>
        <v>0</v>
      </c>
      <c r="E636" s="1">
        <f t="shared" si="335"/>
        <v>0</v>
      </c>
      <c r="F636" s="1">
        <f t="shared" si="336"/>
        <v>0</v>
      </c>
      <c r="G636" s="1">
        <f t="shared" si="337"/>
        <v>0</v>
      </c>
      <c r="H636" s="1">
        <f t="shared" si="345"/>
        <v>0</v>
      </c>
      <c r="I636" s="10">
        <f t="shared" si="338"/>
        <v>0</v>
      </c>
      <c r="J636" s="1">
        <f t="shared" si="346"/>
        <v>0</v>
      </c>
      <c r="K636" s="1">
        <f t="shared" si="347"/>
        <v>0</v>
      </c>
      <c r="L636" s="1" t="str">
        <f t="shared" si="348"/>
        <v>0</v>
      </c>
      <c r="M636" s="10">
        <f t="shared" si="349"/>
        <v>0</v>
      </c>
      <c r="N636" s="1">
        <f t="shared" si="339"/>
        <v>0</v>
      </c>
      <c r="O636" s="1">
        <f t="shared" si="331"/>
        <v>0</v>
      </c>
      <c r="P636" s="1">
        <f t="shared" si="350"/>
        <v>0</v>
      </c>
      <c r="Q636" s="3" t="str">
        <f t="shared" si="330"/>
        <v/>
      </c>
      <c r="T636" s="13" t="str">
        <f t="shared" si="340"/>
        <v/>
      </c>
      <c r="U636" s="14" t="str">
        <f t="shared" si="341"/>
        <v/>
      </c>
      <c r="V636" s="13" t="str">
        <f t="shared" si="342"/>
        <v/>
      </c>
      <c r="W636" s="13" t="str">
        <f t="shared" si="343"/>
        <v/>
      </c>
      <c r="X636" s="14" t="str">
        <f t="shared" si="344"/>
        <v/>
      </c>
    </row>
    <row r="637" spans="2:24" x14ac:dyDescent="0.3">
      <c r="B637" s="1">
        <f t="shared" si="332"/>
        <v>0</v>
      </c>
      <c r="C637" s="1">
        <f t="shared" si="333"/>
        <v>0</v>
      </c>
      <c r="D637" s="10">
        <f t="shared" si="334"/>
        <v>0</v>
      </c>
      <c r="E637" s="1">
        <f t="shared" si="335"/>
        <v>0</v>
      </c>
      <c r="F637" s="1">
        <f t="shared" si="336"/>
        <v>0</v>
      </c>
      <c r="G637" s="1">
        <f t="shared" si="337"/>
        <v>0</v>
      </c>
      <c r="H637" s="1">
        <f t="shared" si="345"/>
        <v>0</v>
      </c>
      <c r="I637" s="10">
        <f t="shared" si="338"/>
        <v>0</v>
      </c>
      <c r="J637" s="1">
        <f t="shared" si="346"/>
        <v>0</v>
      </c>
      <c r="K637" s="1">
        <f t="shared" si="347"/>
        <v>0</v>
      </c>
      <c r="L637" s="1" t="str">
        <f t="shared" si="348"/>
        <v>0</v>
      </c>
      <c r="M637" s="10">
        <f t="shared" si="349"/>
        <v>0</v>
      </c>
      <c r="N637" s="1">
        <f t="shared" si="339"/>
        <v>0</v>
      </c>
      <c r="O637" s="1">
        <f t="shared" si="331"/>
        <v>0</v>
      </c>
      <c r="P637" s="1">
        <f t="shared" si="350"/>
        <v>0</v>
      </c>
      <c r="Q637" s="3" t="str">
        <f t="shared" si="330"/>
        <v/>
      </c>
      <c r="T637" s="13" t="str">
        <f t="shared" si="340"/>
        <v/>
      </c>
      <c r="U637" s="14" t="str">
        <f t="shared" si="341"/>
        <v/>
      </c>
      <c r="V637" s="13" t="str">
        <f t="shared" si="342"/>
        <v/>
      </c>
      <c r="W637" s="13" t="str">
        <f t="shared" si="343"/>
        <v/>
      </c>
      <c r="X637" s="14" t="str">
        <f t="shared" si="344"/>
        <v/>
      </c>
    </row>
    <row r="638" spans="2:24" x14ac:dyDescent="0.3">
      <c r="B638" s="1">
        <f t="shared" si="332"/>
        <v>0</v>
      </c>
      <c r="C638" s="1">
        <f t="shared" si="333"/>
        <v>0</v>
      </c>
      <c r="D638" s="10">
        <f t="shared" si="334"/>
        <v>0</v>
      </c>
      <c r="E638" s="1">
        <f t="shared" si="335"/>
        <v>0</v>
      </c>
      <c r="F638" s="1">
        <f t="shared" si="336"/>
        <v>0</v>
      </c>
      <c r="G638" s="1">
        <f t="shared" si="337"/>
        <v>0</v>
      </c>
      <c r="H638" s="1">
        <f t="shared" si="345"/>
        <v>0</v>
      </c>
      <c r="I638" s="10">
        <f t="shared" si="338"/>
        <v>0</v>
      </c>
      <c r="J638" s="1">
        <f t="shared" si="346"/>
        <v>0</v>
      </c>
      <c r="K638" s="1">
        <f t="shared" si="347"/>
        <v>0</v>
      </c>
      <c r="L638" s="1" t="str">
        <f t="shared" si="348"/>
        <v>0</v>
      </c>
      <c r="M638" s="10">
        <f t="shared" si="349"/>
        <v>0</v>
      </c>
      <c r="N638" s="1">
        <f t="shared" si="339"/>
        <v>0</v>
      </c>
      <c r="O638" s="1">
        <f t="shared" si="331"/>
        <v>0</v>
      </c>
      <c r="P638" s="1">
        <f t="shared" si="350"/>
        <v>0</v>
      </c>
      <c r="Q638" s="3" t="str">
        <f t="shared" si="330"/>
        <v/>
      </c>
      <c r="T638" s="13" t="str">
        <f t="shared" si="340"/>
        <v/>
      </c>
      <c r="U638" s="14" t="str">
        <f t="shared" si="341"/>
        <v/>
      </c>
      <c r="V638" s="13" t="str">
        <f t="shared" si="342"/>
        <v/>
      </c>
      <c r="W638" s="13" t="str">
        <f t="shared" si="343"/>
        <v/>
      </c>
      <c r="X638" s="14" t="str">
        <f t="shared" si="344"/>
        <v/>
      </c>
    </row>
    <row r="639" spans="2:24" x14ac:dyDescent="0.3">
      <c r="B639" s="1">
        <f t="shared" si="332"/>
        <v>0</v>
      </c>
      <c r="C639" s="1">
        <f t="shared" si="333"/>
        <v>0</v>
      </c>
      <c r="D639" s="10">
        <f t="shared" si="334"/>
        <v>0</v>
      </c>
      <c r="E639" s="1">
        <f t="shared" si="335"/>
        <v>0</v>
      </c>
      <c r="F639" s="1">
        <f t="shared" si="336"/>
        <v>0</v>
      </c>
      <c r="G639" s="1">
        <f t="shared" si="337"/>
        <v>0</v>
      </c>
      <c r="H639" s="1">
        <f t="shared" si="345"/>
        <v>0</v>
      </c>
      <c r="I639" s="10">
        <f t="shared" si="338"/>
        <v>0</v>
      </c>
      <c r="J639" s="1">
        <f t="shared" si="346"/>
        <v>0</v>
      </c>
      <c r="K639" s="1">
        <f t="shared" si="347"/>
        <v>0</v>
      </c>
      <c r="L639" s="1" t="str">
        <f t="shared" si="348"/>
        <v>0</v>
      </c>
      <c r="M639" s="10">
        <f t="shared" si="349"/>
        <v>0</v>
      </c>
      <c r="N639" s="1">
        <f t="shared" si="339"/>
        <v>0</v>
      </c>
      <c r="O639" s="1">
        <f t="shared" si="331"/>
        <v>0</v>
      </c>
      <c r="P639" s="1">
        <f t="shared" si="350"/>
        <v>0</v>
      </c>
      <c r="Q639" s="3" t="str">
        <f t="shared" si="330"/>
        <v/>
      </c>
      <c r="T639" s="13" t="str">
        <f t="shared" si="340"/>
        <v/>
      </c>
      <c r="U639" s="14" t="str">
        <f t="shared" si="341"/>
        <v/>
      </c>
      <c r="V639" s="13" t="str">
        <f t="shared" si="342"/>
        <v/>
      </c>
      <c r="W639" s="13" t="str">
        <f t="shared" si="343"/>
        <v/>
      </c>
      <c r="X639" s="14" t="str">
        <f t="shared" si="344"/>
        <v/>
      </c>
    </row>
    <row r="640" spans="2:24" x14ac:dyDescent="0.3">
      <c r="B640" s="1">
        <f t="shared" si="332"/>
        <v>0</v>
      </c>
      <c r="C640" s="1">
        <f t="shared" si="333"/>
        <v>0</v>
      </c>
      <c r="D640" s="10">
        <f t="shared" si="334"/>
        <v>0</v>
      </c>
      <c r="E640" s="1">
        <f t="shared" si="335"/>
        <v>0</v>
      </c>
      <c r="F640" s="1">
        <f t="shared" si="336"/>
        <v>0</v>
      </c>
      <c r="G640" s="1">
        <f t="shared" si="337"/>
        <v>0</v>
      </c>
      <c r="H640" s="1">
        <f t="shared" si="345"/>
        <v>0</v>
      </c>
      <c r="I640" s="10">
        <f t="shared" si="338"/>
        <v>0</v>
      </c>
      <c r="J640" s="1">
        <f t="shared" si="346"/>
        <v>0</v>
      </c>
      <c r="K640" s="1">
        <f t="shared" si="347"/>
        <v>0</v>
      </c>
      <c r="L640" s="1" t="str">
        <f t="shared" si="348"/>
        <v>0</v>
      </c>
      <c r="M640" s="10">
        <f t="shared" si="349"/>
        <v>0</v>
      </c>
      <c r="N640" s="1">
        <f t="shared" si="339"/>
        <v>0</v>
      </c>
      <c r="O640" s="1">
        <f t="shared" si="331"/>
        <v>0</v>
      </c>
      <c r="P640" s="1">
        <f t="shared" si="350"/>
        <v>0</v>
      </c>
      <c r="Q640" s="3" t="str">
        <f t="shared" si="330"/>
        <v/>
      </c>
      <c r="T640" s="13" t="str">
        <f t="shared" si="340"/>
        <v/>
      </c>
      <c r="U640" s="14" t="str">
        <f t="shared" si="341"/>
        <v/>
      </c>
      <c r="V640" s="13" t="str">
        <f t="shared" si="342"/>
        <v/>
      </c>
      <c r="W640" s="13" t="str">
        <f t="shared" si="343"/>
        <v/>
      </c>
      <c r="X640" s="14" t="str">
        <f t="shared" si="344"/>
        <v/>
      </c>
    </row>
    <row r="641" spans="2:24" x14ac:dyDescent="0.3">
      <c r="B641" s="1">
        <f t="shared" si="332"/>
        <v>0</v>
      </c>
      <c r="C641" s="1">
        <f t="shared" si="333"/>
        <v>0</v>
      </c>
      <c r="D641" s="10">
        <f t="shared" si="334"/>
        <v>0</v>
      </c>
      <c r="E641" s="1">
        <f t="shared" si="335"/>
        <v>0</v>
      </c>
      <c r="F641" s="1">
        <f t="shared" si="336"/>
        <v>0</v>
      </c>
      <c r="G641" s="1">
        <f t="shared" si="337"/>
        <v>0</v>
      </c>
      <c r="H641" s="1">
        <f t="shared" si="345"/>
        <v>0</v>
      </c>
      <c r="I641" s="10">
        <f t="shared" si="338"/>
        <v>0</v>
      </c>
      <c r="J641" s="1">
        <f t="shared" si="346"/>
        <v>0</v>
      </c>
      <c r="K641" s="1">
        <f t="shared" si="347"/>
        <v>0</v>
      </c>
      <c r="L641" s="1" t="str">
        <f t="shared" si="348"/>
        <v>0</v>
      </c>
      <c r="M641" s="10">
        <f t="shared" si="349"/>
        <v>0</v>
      </c>
      <c r="N641" s="1">
        <f t="shared" si="339"/>
        <v>0</v>
      </c>
      <c r="O641" s="1">
        <f t="shared" si="331"/>
        <v>0</v>
      </c>
      <c r="P641" s="1">
        <f t="shared" si="350"/>
        <v>0</v>
      </c>
      <c r="Q641" s="3" t="str">
        <f t="shared" si="330"/>
        <v/>
      </c>
      <c r="T641" s="13" t="str">
        <f t="shared" si="340"/>
        <v/>
      </c>
      <c r="U641" s="14" t="str">
        <f t="shared" si="341"/>
        <v/>
      </c>
      <c r="V641" s="13" t="str">
        <f t="shared" si="342"/>
        <v/>
      </c>
      <c r="W641" s="13" t="str">
        <f t="shared" si="343"/>
        <v/>
      </c>
      <c r="X641" s="14" t="str">
        <f t="shared" si="344"/>
        <v/>
      </c>
    </row>
    <row r="642" spans="2:24" x14ac:dyDescent="0.3">
      <c r="B642" s="1">
        <f t="shared" si="332"/>
        <v>0</v>
      </c>
      <c r="C642" s="1">
        <f t="shared" si="333"/>
        <v>0</v>
      </c>
      <c r="D642" s="10">
        <f t="shared" si="334"/>
        <v>0</v>
      </c>
      <c r="E642" s="1">
        <f t="shared" si="335"/>
        <v>0</v>
      </c>
      <c r="F642" s="1">
        <f t="shared" si="336"/>
        <v>0</v>
      </c>
      <c r="G642" s="1">
        <f t="shared" si="337"/>
        <v>0</v>
      </c>
      <c r="H642" s="1">
        <f t="shared" si="345"/>
        <v>0</v>
      </c>
      <c r="I642" s="10">
        <f t="shared" si="338"/>
        <v>0</v>
      </c>
      <c r="J642" s="1">
        <f t="shared" si="346"/>
        <v>0</v>
      </c>
      <c r="K642" s="1">
        <f t="shared" si="347"/>
        <v>0</v>
      </c>
      <c r="L642" s="1" t="str">
        <f t="shared" si="348"/>
        <v>0</v>
      </c>
      <c r="M642" s="10">
        <f t="shared" si="349"/>
        <v>0</v>
      </c>
      <c r="N642" s="1">
        <f t="shared" si="339"/>
        <v>0</v>
      </c>
      <c r="O642" s="1">
        <f t="shared" si="331"/>
        <v>0</v>
      </c>
      <c r="P642" s="1">
        <f t="shared" si="350"/>
        <v>0</v>
      </c>
      <c r="Q642" s="3" t="str">
        <f t="shared" si="330"/>
        <v/>
      </c>
      <c r="T642" s="13" t="str">
        <f t="shared" si="340"/>
        <v/>
      </c>
      <c r="U642" s="14" t="str">
        <f t="shared" si="341"/>
        <v/>
      </c>
      <c r="V642" s="13" t="str">
        <f t="shared" si="342"/>
        <v/>
      </c>
      <c r="W642" s="13" t="str">
        <f t="shared" si="343"/>
        <v/>
      </c>
      <c r="X642" s="14" t="str">
        <f t="shared" si="344"/>
        <v/>
      </c>
    </row>
    <row r="643" spans="2:24" x14ac:dyDescent="0.3">
      <c r="B643" s="1">
        <f t="shared" si="332"/>
        <v>0</v>
      </c>
      <c r="C643" s="1">
        <f t="shared" si="333"/>
        <v>0</v>
      </c>
      <c r="D643" s="10">
        <f t="shared" si="334"/>
        <v>0</v>
      </c>
      <c r="E643" s="1">
        <f t="shared" si="335"/>
        <v>0</v>
      </c>
      <c r="F643" s="1">
        <f t="shared" si="336"/>
        <v>0</v>
      </c>
      <c r="G643" s="1">
        <f t="shared" si="337"/>
        <v>0</v>
      </c>
      <c r="H643" s="1">
        <f t="shared" si="345"/>
        <v>0</v>
      </c>
      <c r="I643" s="10">
        <f t="shared" si="338"/>
        <v>0</v>
      </c>
      <c r="J643" s="1">
        <f t="shared" si="346"/>
        <v>0</v>
      </c>
      <c r="K643" s="1">
        <f t="shared" si="347"/>
        <v>0</v>
      </c>
      <c r="L643" s="1" t="str">
        <f t="shared" si="348"/>
        <v>0</v>
      </c>
      <c r="M643" s="10">
        <f t="shared" si="349"/>
        <v>0</v>
      </c>
      <c r="N643" s="1">
        <f t="shared" si="339"/>
        <v>0</v>
      </c>
      <c r="O643" s="1">
        <f t="shared" si="331"/>
        <v>0</v>
      </c>
      <c r="P643" s="1">
        <f t="shared" si="350"/>
        <v>0</v>
      </c>
      <c r="Q643" s="3" t="str">
        <f t="shared" si="330"/>
        <v/>
      </c>
      <c r="T643" s="13" t="str">
        <f t="shared" si="340"/>
        <v/>
      </c>
      <c r="U643" s="14" t="str">
        <f t="shared" si="341"/>
        <v/>
      </c>
      <c r="V643" s="13" t="str">
        <f t="shared" si="342"/>
        <v/>
      </c>
      <c r="W643" s="13" t="str">
        <f t="shared" si="343"/>
        <v/>
      </c>
      <c r="X643" s="14" t="str">
        <f t="shared" si="344"/>
        <v/>
      </c>
    </row>
    <row r="644" spans="2:24" x14ac:dyDescent="0.3">
      <c r="B644" s="1">
        <f t="shared" si="332"/>
        <v>0</v>
      </c>
      <c r="C644" s="1">
        <f t="shared" si="333"/>
        <v>0</v>
      </c>
      <c r="D644" s="10">
        <f t="shared" si="334"/>
        <v>0</v>
      </c>
      <c r="E644" s="1">
        <f t="shared" si="335"/>
        <v>0</v>
      </c>
      <c r="F644" s="1">
        <f t="shared" si="336"/>
        <v>0</v>
      </c>
      <c r="G644" s="1">
        <f t="shared" si="337"/>
        <v>0</v>
      </c>
      <c r="H644" s="1">
        <f t="shared" si="345"/>
        <v>0</v>
      </c>
      <c r="I644" s="10">
        <f t="shared" si="338"/>
        <v>0</v>
      </c>
      <c r="J644" s="1">
        <f t="shared" si="346"/>
        <v>0</v>
      </c>
      <c r="K644" s="1">
        <f t="shared" si="347"/>
        <v>0</v>
      </c>
      <c r="L644" s="1" t="str">
        <f t="shared" si="348"/>
        <v>0</v>
      </c>
      <c r="M644" s="10">
        <f t="shared" si="349"/>
        <v>0</v>
      </c>
      <c r="N644" s="1">
        <f t="shared" si="339"/>
        <v>0</v>
      </c>
      <c r="O644" s="1">
        <f t="shared" si="331"/>
        <v>0</v>
      </c>
      <c r="P644" s="1">
        <f t="shared" si="350"/>
        <v>0</v>
      </c>
      <c r="Q644" s="3" t="str">
        <f t="shared" ref="Q644:Q707" si="351">IF($N644&gt;0,MID($A644,($N644+$O644),$P644-($N644+$O644)),"")</f>
        <v/>
      </c>
      <c r="T644" s="13" t="str">
        <f t="shared" si="340"/>
        <v/>
      </c>
      <c r="U644" s="14" t="str">
        <f t="shared" si="341"/>
        <v/>
      </c>
      <c r="V644" s="13" t="str">
        <f t="shared" si="342"/>
        <v/>
      </c>
      <c r="W644" s="13" t="str">
        <f t="shared" si="343"/>
        <v/>
      </c>
      <c r="X644" s="14" t="str">
        <f t="shared" si="344"/>
        <v/>
      </c>
    </row>
    <row r="645" spans="2:24" x14ac:dyDescent="0.3">
      <c r="B645" s="1">
        <f t="shared" si="332"/>
        <v>0</v>
      </c>
      <c r="C645" s="1">
        <f t="shared" si="333"/>
        <v>0</v>
      </c>
      <c r="D645" s="10">
        <f t="shared" si="334"/>
        <v>0</v>
      </c>
      <c r="E645" s="1">
        <f t="shared" si="335"/>
        <v>0</v>
      </c>
      <c r="F645" s="1">
        <f t="shared" si="336"/>
        <v>0</v>
      </c>
      <c r="G645" s="1">
        <f t="shared" si="337"/>
        <v>0</v>
      </c>
      <c r="H645" s="1">
        <f t="shared" si="345"/>
        <v>0</v>
      </c>
      <c r="I645" s="10">
        <f t="shared" si="338"/>
        <v>0</v>
      </c>
      <c r="J645" s="1">
        <f t="shared" si="346"/>
        <v>0</v>
      </c>
      <c r="K645" s="1">
        <f t="shared" si="347"/>
        <v>0</v>
      </c>
      <c r="L645" s="1" t="str">
        <f t="shared" si="348"/>
        <v>0</v>
      </c>
      <c r="M645" s="10">
        <f t="shared" si="349"/>
        <v>0</v>
      </c>
      <c r="N645" s="1">
        <f t="shared" si="339"/>
        <v>0</v>
      </c>
      <c r="O645" s="1">
        <f t="shared" ref="O645:O708" si="352">IFERROR(FIND("#",$A645)+1-N645,0)</f>
        <v>0</v>
      </c>
      <c r="P645" s="1">
        <f t="shared" si="350"/>
        <v>0</v>
      </c>
      <c r="Q645" s="3" t="str">
        <f t="shared" si="351"/>
        <v/>
      </c>
      <c r="T645" s="13" t="str">
        <f t="shared" si="340"/>
        <v/>
      </c>
      <c r="U645" s="14" t="str">
        <f t="shared" si="341"/>
        <v/>
      </c>
      <c r="V645" s="13" t="str">
        <f t="shared" si="342"/>
        <v/>
      </c>
      <c r="W645" s="13" t="str">
        <f t="shared" si="343"/>
        <v/>
      </c>
      <c r="X645" s="14" t="str">
        <f t="shared" si="344"/>
        <v/>
      </c>
    </row>
    <row r="646" spans="2:24" x14ac:dyDescent="0.3">
      <c r="B646" s="1">
        <f t="shared" si="332"/>
        <v>0</v>
      </c>
      <c r="C646" s="1">
        <f t="shared" si="333"/>
        <v>0</v>
      </c>
      <c r="D646" s="10">
        <f t="shared" si="334"/>
        <v>0</v>
      </c>
      <c r="E646" s="1">
        <f t="shared" si="335"/>
        <v>0</v>
      </c>
      <c r="F646" s="1">
        <f t="shared" si="336"/>
        <v>0</v>
      </c>
      <c r="G646" s="1">
        <f t="shared" si="337"/>
        <v>0</v>
      </c>
      <c r="H646" s="1">
        <f t="shared" si="345"/>
        <v>0</v>
      </c>
      <c r="I646" s="10">
        <f t="shared" si="338"/>
        <v>0</v>
      </c>
      <c r="J646" s="1">
        <f t="shared" si="346"/>
        <v>0</v>
      </c>
      <c r="K646" s="1">
        <f t="shared" si="347"/>
        <v>0</v>
      </c>
      <c r="L646" s="1" t="str">
        <f t="shared" si="348"/>
        <v>0</v>
      </c>
      <c r="M646" s="10">
        <f t="shared" si="349"/>
        <v>0</v>
      </c>
      <c r="N646" s="1">
        <f t="shared" si="339"/>
        <v>0</v>
      </c>
      <c r="O646" s="1">
        <f t="shared" si="352"/>
        <v>0</v>
      </c>
      <c r="P646" s="1">
        <f t="shared" si="350"/>
        <v>0</v>
      </c>
      <c r="Q646" s="3" t="str">
        <f t="shared" si="351"/>
        <v/>
      </c>
      <c r="T646" s="13" t="str">
        <f t="shared" si="340"/>
        <v/>
      </c>
      <c r="U646" s="14" t="str">
        <f t="shared" si="341"/>
        <v/>
      </c>
      <c r="V646" s="13" t="str">
        <f t="shared" si="342"/>
        <v/>
      </c>
      <c r="W646" s="13" t="str">
        <f t="shared" si="343"/>
        <v/>
      </c>
      <c r="X646" s="14" t="str">
        <f t="shared" si="344"/>
        <v/>
      </c>
    </row>
    <row r="647" spans="2:24" x14ac:dyDescent="0.3">
      <c r="B647" s="1">
        <f t="shared" ref="B647:B710" si="353">IFERROR(FIND("UP_SET(",$A647)+7,0)</f>
        <v>0</v>
      </c>
      <c r="C647" s="1">
        <f t="shared" ref="C647:C710" si="354">IF($B647&gt;0,FIND(",",$A647,$B647),0)</f>
        <v>0</v>
      </c>
      <c r="D647" s="10">
        <f t="shared" ref="D647:D710" si="355">IF($B647&gt;0,MID($A647,$B647,$C647-$B647),0)</f>
        <v>0</v>
      </c>
      <c r="E647" s="1">
        <f t="shared" ref="E647:E710" si="356">IF($B647&gt;0,FIND("Up",$A647,$C647),0)</f>
        <v>0</v>
      </c>
      <c r="F647" s="1">
        <f t="shared" ref="F647:F710" si="357">IF($B647&gt;0,IFERROR(FIND(",",$A647,$E647),0),0)</f>
        <v>0</v>
      </c>
      <c r="G647" s="1">
        <f t="shared" ref="G647:G710" si="358">IF($B647&gt;0,FIND(")",$A647,$B647),0)</f>
        <v>0</v>
      </c>
      <c r="H647" s="1">
        <f t="shared" si="345"/>
        <v>0</v>
      </c>
      <c r="I647" s="10">
        <f t="shared" ref="I647:I710" si="359">IF($B647&gt;0,MID($A647,$E647,$H647-$E647),0)</f>
        <v>0</v>
      </c>
      <c r="J647" s="1">
        <f t="shared" si="346"/>
        <v>0</v>
      </c>
      <c r="K647" s="1">
        <f t="shared" si="347"/>
        <v>0</v>
      </c>
      <c r="L647" s="1" t="str">
        <f t="shared" si="348"/>
        <v>0</v>
      </c>
      <c r="M647" s="10">
        <f t="shared" si="349"/>
        <v>0</v>
      </c>
      <c r="N647" s="1">
        <f t="shared" ref="N647:N710" si="360">IFERROR(FIND("/*",$A647)+2,0)</f>
        <v>0</v>
      </c>
      <c r="O647" s="1">
        <f t="shared" si="352"/>
        <v>0</v>
      </c>
      <c r="P647" s="1">
        <f t="shared" si="350"/>
        <v>0</v>
      </c>
      <c r="Q647" s="3" t="str">
        <f t="shared" si="351"/>
        <v/>
      </c>
      <c r="T647" s="13" t="str">
        <f t="shared" si="340"/>
        <v/>
      </c>
      <c r="U647" s="14" t="str">
        <f t="shared" si="341"/>
        <v/>
      </c>
      <c r="V647" s="13" t="str">
        <f t="shared" si="342"/>
        <v/>
      </c>
      <c r="W647" s="13" t="str">
        <f t="shared" si="343"/>
        <v/>
      </c>
      <c r="X647" s="14" t="str">
        <f t="shared" si="344"/>
        <v/>
      </c>
    </row>
    <row r="648" spans="2:24" x14ac:dyDescent="0.3">
      <c r="B648" s="1">
        <f t="shared" si="353"/>
        <v>0</v>
      </c>
      <c r="C648" s="1">
        <f t="shared" si="354"/>
        <v>0</v>
      </c>
      <c r="D648" s="10">
        <f t="shared" si="355"/>
        <v>0</v>
      </c>
      <c r="E648" s="1">
        <f t="shared" si="356"/>
        <v>0</v>
      </c>
      <c r="F648" s="1">
        <f t="shared" si="357"/>
        <v>0</v>
      </c>
      <c r="G648" s="1">
        <f t="shared" si="358"/>
        <v>0</v>
      </c>
      <c r="H648" s="1">
        <f t="shared" si="345"/>
        <v>0</v>
      </c>
      <c r="I648" s="10">
        <f t="shared" si="359"/>
        <v>0</v>
      </c>
      <c r="J648" s="1">
        <f t="shared" si="346"/>
        <v>0</v>
      </c>
      <c r="K648" s="1">
        <f t="shared" si="347"/>
        <v>0</v>
      </c>
      <c r="L648" s="1" t="str">
        <f t="shared" si="348"/>
        <v>0</v>
      </c>
      <c r="M648" s="10">
        <f t="shared" si="349"/>
        <v>0</v>
      </c>
      <c r="N648" s="1">
        <f t="shared" si="360"/>
        <v>0</v>
      </c>
      <c r="O648" s="1">
        <f t="shared" si="352"/>
        <v>0</v>
      </c>
      <c r="P648" s="1">
        <f t="shared" si="350"/>
        <v>0</v>
      </c>
      <c r="Q648" s="3" t="str">
        <f t="shared" si="351"/>
        <v/>
      </c>
      <c r="T648" s="13" t="str">
        <f t="shared" si="340"/>
        <v/>
      </c>
      <c r="U648" s="14" t="str">
        <f t="shared" si="341"/>
        <v/>
      </c>
      <c r="V648" s="13" t="str">
        <f t="shared" si="342"/>
        <v/>
      </c>
      <c r="W648" s="13" t="str">
        <f t="shared" si="343"/>
        <v/>
      </c>
      <c r="X648" s="14" t="str">
        <f t="shared" si="344"/>
        <v/>
      </c>
    </row>
    <row r="649" spans="2:24" x14ac:dyDescent="0.3">
      <c r="B649" s="1">
        <f t="shared" si="353"/>
        <v>0</v>
      </c>
      <c r="C649" s="1">
        <f t="shared" si="354"/>
        <v>0</v>
      </c>
      <c r="D649" s="10">
        <f t="shared" si="355"/>
        <v>0</v>
      </c>
      <c r="E649" s="1">
        <f t="shared" si="356"/>
        <v>0</v>
      </c>
      <c r="F649" s="1">
        <f t="shared" si="357"/>
        <v>0</v>
      </c>
      <c r="G649" s="1">
        <f t="shared" si="358"/>
        <v>0</v>
      </c>
      <c r="H649" s="1">
        <f t="shared" si="345"/>
        <v>0</v>
      </c>
      <c r="I649" s="10">
        <f t="shared" si="359"/>
        <v>0</v>
      </c>
      <c r="J649" s="1">
        <f t="shared" si="346"/>
        <v>0</v>
      </c>
      <c r="K649" s="1">
        <f t="shared" si="347"/>
        <v>0</v>
      </c>
      <c r="L649" s="1" t="str">
        <f t="shared" si="348"/>
        <v>0</v>
      </c>
      <c r="M649" s="10">
        <f t="shared" si="349"/>
        <v>0</v>
      </c>
      <c r="N649" s="1">
        <f t="shared" si="360"/>
        <v>0</v>
      </c>
      <c r="O649" s="1">
        <f t="shared" si="352"/>
        <v>0</v>
      </c>
      <c r="P649" s="1">
        <f t="shared" si="350"/>
        <v>0</v>
      </c>
      <c r="Q649" s="3" t="str">
        <f t="shared" si="351"/>
        <v/>
      </c>
      <c r="T649" s="13" t="str">
        <f t="shared" si="340"/>
        <v/>
      </c>
      <c r="U649" s="14" t="str">
        <f t="shared" si="341"/>
        <v/>
      </c>
      <c r="V649" s="13" t="str">
        <f t="shared" si="342"/>
        <v/>
      </c>
      <c r="W649" s="13" t="str">
        <f t="shared" si="343"/>
        <v/>
      </c>
      <c r="X649" s="14" t="str">
        <f t="shared" si="344"/>
        <v/>
      </c>
    </row>
    <row r="650" spans="2:24" x14ac:dyDescent="0.3">
      <c r="B650" s="1">
        <f t="shared" si="353"/>
        <v>0</v>
      </c>
      <c r="C650" s="1">
        <f t="shared" si="354"/>
        <v>0</v>
      </c>
      <c r="D650" s="10">
        <f t="shared" si="355"/>
        <v>0</v>
      </c>
      <c r="E650" s="1">
        <f t="shared" si="356"/>
        <v>0</v>
      </c>
      <c r="F650" s="1">
        <f t="shared" si="357"/>
        <v>0</v>
      </c>
      <c r="G650" s="1">
        <f t="shared" si="358"/>
        <v>0</v>
      </c>
      <c r="H650" s="1">
        <f t="shared" si="345"/>
        <v>0</v>
      </c>
      <c r="I650" s="10">
        <f t="shared" si="359"/>
        <v>0</v>
      </c>
      <c r="J650" s="1">
        <f t="shared" si="346"/>
        <v>0</v>
      </c>
      <c r="K650" s="1">
        <f t="shared" si="347"/>
        <v>0</v>
      </c>
      <c r="L650" s="1" t="str">
        <f t="shared" si="348"/>
        <v>0</v>
      </c>
      <c r="M650" s="10">
        <f t="shared" si="349"/>
        <v>0</v>
      </c>
      <c r="N650" s="1">
        <f t="shared" si="360"/>
        <v>0</v>
      </c>
      <c r="O650" s="1">
        <f t="shared" si="352"/>
        <v>0</v>
      </c>
      <c r="P650" s="1">
        <f t="shared" si="350"/>
        <v>0</v>
      </c>
      <c r="Q650" s="3" t="str">
        <f t="shared" si="351"/>
        <v/>
      </c>
      <c r="T650" s="13" t="str">
        <f t="shared" si="340"/>
        <v/>
      </c>
      <c r="U650" s="14" t="str">
        <f t="shared" si="341"/>
        <v/>
      </c>
      <c r="V650" s="13" t="str">
        <f t="shared" si="342"/>
        <v/>
      </c>
      <c r="W650" s="13" t="str">
        <f t="shared" si="343"/>
        <v/>
      </c>
      <c r="X650" s="14" t="str">
        <f t="shared" si="344"/>
        <v/>
      </c>
    </row>
    <row r="651" spans="2:24" x14ac:dyDescent="0.3">
      <c r="B651" s="1">
        <f t="shared" si="353"/>
        <v>0</v>
      </c>
      <c r="C651" s="1">
        <f t="shared" si="354"/>
        <v>0</v>
      </c>
      <c r="D651" s="10">
        <f t="shared" si="355"/>
        <v>0</v>
      </c>
      <c r="E651" s="1">
        <f t="shared" si="356"/>
        <v>0</v>
      </c>
      <c r="F651" s="1">
        <f t="shared" si="357"/>
        <v>0</v>
      </c>
      <c r="G651" s="1">
        <f t="shared" si="358"/>
        <v>0</v>
      </c>
      <c r="H651" s="1">
        <f t="shared" si="345"/>
        <v>0</v>
      </c>
      <c r="I651" s="10">
        <f t="shared" si="359"/>
        <v>0</v>
      </c>
      <c r="J651" s="1">
        <f t="shared" si="346"/>
        <v>0</v>
      </c>
      <c r="K651" s="1">
        <f t="shared" si="347"/>
        <v>0</v>
      </c>
      <c r="L651" s="1" t="str">
        <f t="shared" si="348"/>
        <v>0</v>
      </c>
      <c r="M651" s="10">
        <f t="shared" si="349"/>
        <v>0</v>
      </c>
      <c r="N651" s="1">
        <f t="shared" si="360"/>
        <v>0</v>
      </c>
      <c r="O651" s="1">
        <f t="shared" si="352"/>
        <v>0</v>
      </c>
      <c r="P651" s="1">
        <f t="shared" si="350"/>
        <v>0</v>
      </c>
      <c r="Q651" s="3" t="str">
        <f t="shared" si="351"/>
        <v/>
      </c>
      <c r="T651" s="13" t="str">
        <f t="shared" si="340"/>
        <v/>
      </c>
      <c r="U651" s="14" t="str">
        <f t="shared" si="341"/>
        <v/>
      </c>
      <c r="V651" s="13" t="str">
        <f t="shared" si="342"/>
        <v/>
      </c>
      <c r="W651" s="13" t="str">
        <f t="shared" si="343"/>
        <v/>
      </c>
      <c r="X651" s="14" t="str">
        <f t="shared" si="344"/>
        <v/>
      </c>
    </row>
    <row r="652" spans="2:24" x14ac:dyDescent="0.3">
      <c r="B652" s="1">
        <f t="shared" si="353"/>
        <v>0</v>
      </c>
      <c r="C652" s="1">
        <f t="shared" si="354"/>
        <v>0</v>
      </c>
      <c r="D652" s="10">
        <f t="shared" si="355"/>
        <v>0</v>
      </c>
      <c r="E652" s="1">
        <f t="shared" si="356"/>
        <v>0</v>
      </c>
      <c r="F652" s="1">
        <f t="shared" si="357"/>
        <v>0</v>
      </c>
      <c r="G652" s="1">
        <f t="shared" si="358"/>
        <v>0</v>
      </c>
      <c r="H652" s="1">
        <f t="shared" si="345"/>
        <v>0</v>
      </c>
      <c r="I652" s="10">
        <f t="shared" si="359"/>
        <v>0</v>
      </c>
      <c r="J652" s="1">
        <f t="shared" si="346"/>
        <v>0</v>
      </c>
      <c r="K652" s="1">
        <f t="shared" si="347"/>
        <v>0</v>
      </c>
      <c r="L652" s="1" t="str">
        <f t="shared" si="348"/>
        <v>0</v>
      </c>
      <c r="M652" s="10">
        <f t="shared" si="349"/>
        <v>0</v>
      </c>
      <c r="N652" s="1">
        <f t="shared" si="360"/>
        <v>0</v>
      </c>
      <c r="O652" s="1">
        <f t="shared" si="352"/>
        <v>0</v>
      </c>
      <c r="P652" s="1">
        <f t="shared" si="350"/>
        <v>0</v>
      </c>
      <c r="Q652" s="3" t="str">
        <f t="shared" si="351"/>
        <v/>
      </c>
      <c r="T652" s="13" t="str">
        <f t="shared" si="340"/>
        <v/>
      </c>
      <c r="U652" s="14" t="str">
        <f t="shared" si="341"/>
        <v/>
      </c>
      <c r="V652" s="13" t="str">
        <f t="shared" si="342"/>
        <v/>
      </c>
      <c r="W652" s="13" t="str">
        <f t="shared" si="343"/>
        <v/>
      </c>
      <c r="X652" s="14" t="str">
        <f t="shared" si="344"/>
        <v/>
      </c>
    </row>
    <row r="653" spans="2:24" x14ac:dyDescent="0.3">
      <c r="B653" s="1">
        <f t="shared" si="353"/>
        <v>0</v>
      </c>
      <c r="C653" s="1">
        <f t="shared" si="354"/>
        <v>0</v>
      </c>
      <c r="D653" s="10">
        <f t="shared" si="355"/>
        <v>0</v>
      </c>
      <c r="E653" s="1">
        <f t="shared" si="356"/>
        <v>0</v>
      </c>
      <c r="F653" s="1">
        <f t="shared" si="357"/>
        <v>0</v>
      </c>
      <c r="G653" s="1">
        <f t="shared" si="358"/>
        <v>0</v>
      </c>
      <c r="H653" s="1">
        <f t="shared" si="345"/>
        <v>0</v>
      </c>
      <c r="I653" s="10">
        <f t="shared" si="359"/>
        <v>0</v>
      </c>
      <c r="J653" s="1">
        <f t="shared" si="346"/>
        <v>0</v>
      </c>
      <c r="K653" s="1">
        <f t="shared" si="347"/>
        <v>0</v>
      </c>
      <c r="L653" s="1" t="str">
        <f t="shared" si="348"/>
        <v>0</v>
      </c>
      <c r="M653" s="10">
        <f t="shared" si="349"/>
        <v>0</v>
      </c>
      <c r="N653" s="1">
        <f t="shared" si="360"/>
        <v>0</v>
      </c>
      <c r="O653" s="1">
        <f t="shared" si="352"/>
        <v>0</v>
      </c>
      <c r="P653" s="1">
        <f t="shared" si="350"/>
        <v>0</v>
      </c>
      <c r="Q653" s="3" t="str">
        <f t="shared" si="351"/>
        <v/>
      </c>
      <c r="T653" s="13" t="str">
        <f t="shared" si="340"/>
        <v/>
      </c>
      <c r="U653" s="14" t="str">
        <f t="shared" si="341"/>
        <v/>
      </c>
      <c r="V653" s="13" t="str">
        <f t="shared" si="342"/>
        <v/>
      </c>
      <c r="W653" s="13" t="str">
        <f t="shared" si="343"/>
        <v/>
      </c>
      <c r="X653" s="14" t="str">
        <f t="shared" si="344"/>
        <v/>
      </c>
    </row>
    <row r="654" spans="2:24" x14ac:dyDescent="0.3">
      <c r="B654" s="1">
        <f t="shared" si="353"/>
        <v>0</v>
      </c>
      <c r="C654" s="1">
        <f t="shared" si="354"/>
        <v>0</v>
      </c>
      <c r="D654" s="10">
        <f t="shared" si="355"/>
        <v>0</v>
      </c>
      <c r="E654" s="1">
        <f t="shared" si="356"/>
        <v>0</v>
      </c>
      <c r="F654" s="1">
        <f t="shared" si="357"/>
        <v>0</v>
      </c>
      <c r="G654" s="1">
        <f t="shared" si="358"/>
        <v>0</v>
      </c>
      <c r="H654" s="1">
        <f t="shared" si="345"/>
        <v>0</v>
      </c>
      <c r="I654" s="10">
        <f t="shared" si="359"/>
        <v>0</v>
      </c>
      <c r="J654" s="1">
        <f t="shared" si="346"/>
        <v>0</v>
      </c>
      <c r="K654" s="1">
        <f t="shared" si="347"/>
        <v>0</v>
      </c>
      <c r="L654" s="1" t="str">
        <f t="shared" si="348"/>
        <v>0</v>
      </c>
      <c r="M654" s="10">
        <f t="shared" si="349"/>
        <v>0</v>
      </c>
      <c r="N654" s="1">
        <f t="shared" si="360"/>
        <v>0</v>
      </c>
      <c r="O654" s="1">
        <f t="shared" si="352"/>
        <v>0</v>
      </c>
      <c r="P654" s="1">
        <f t="shared" si="350"/>
        <v>0</v>
      </c>
      <c r="Q654" s="3" t="str">
        <f t="shared" si="351"/>
        <v/>
      </c>
      <c r="T654" s="13" t="str">
        <f t="shared" si="340"/>
        <v/>
      </c>
      <c r="U654" s="14" t="str">
        <f t="shared" si="341"/>
        <v/>
      </c>
      <c r="V654" s="13" t="str">
        <f t="shared" si="342"/>
        <v/>
      </c>
      <c r="W654" s="13" t="str">
        <f t="shared" si="343"/>
        <v/>
      </c>
      <c r="X654" s="14" t="str">
        <f t="shared" si="344"/>
        <v/>
      </c>
    </row>
    <row r="655" spans="2:24" x14ac:dyDescent="0.3">
      <c r="B655" s="1">
        <f t="shared" si="353"/>
        <v>0</v>
      </c>
      <c r="C655" s="1">
        <f t="shared" si="354"/>
        <v>0</v>
      </c>
      <c r="D655" s="10">
        <f t="shared" si="355"/>
        <v>0</v>
      </c>
      <c r="E655" s="1">
        <f t="shared" si="356"/>
        <v>0</v>
      </c>
      <c r="F655" s="1">
        <f t="shared" si="357"/>
        <v>0</v>
      </c>
      <c r="G655" s="1">
        <f t="shared" si="358"/>
        <v>0</v>
      </c>
      <c r="H655" s="1">
        <f t="shared" si="345"/>
        <v>0</v>
      </c>
      <c r="I655" s="10">
        <f t="shared" si="359"/>
        <v>0</v>
      </c>
      <c r="J655" s="1">
        <f t="shared" si="346"/>
        <v>0</v>
      </c>
      <c r="K655" s="1">
        <f t="shared" si="347"/>
        <v>0</v>
      </c>
      <c r="L655" s="1" t="str">
        <f t="shared" si="348"/>
        <v>0</v>
      </c>
      <c r="M655" s="10">
        <f t="shared" si="349"/>
        <v>0</v>
      </c>
      <c r="N655" s="1">
        <f t="shared" si="360"/>
        <v>0</v>
      </c>
      <c r="O655" s="1">
        <f t="shared" si="352"/>
        <v>0</v>
      </c>
      <c r="P655" s="1">
        <f t="shared" si="350"/>
        <v>0</v>
      </c>
      <c r="Q655" s="3" t="str">
        <f t="shared" si="351"/>
        <v/>
      </c>
      <c r="T655" s="13" t="str">
        <f t="shared" si="340"/>
        <v/>
      </c>
      <c r="U655" s="14" t="str">
        <f t="shared" si="341"/>
        <v/>
      </c>
      <c r="V655" s="13" t="str">
        <f t="shared" si="342"/>
        <v/>
      </c>
      <c r="W655" s="13" t="str">
        <f t="shared" si="343"/>
        <v/>
      </c>
      <c r="X655" s="14" t="str">
        <f t="shared" si="344"/>
        <v/>
      </c>
    </row>
    <row r="656" spans="2:24" x14ac:dyDescent="0.3">
      <c r="B656" s="1">
        <f t="shared" si="353"/>
        <v>0</v>
      </c>
      <c r="C656" s="1">
        <f t="shared" si="354"/>
        <v>0</v>
      </c>
      <c r="D656" s="10">
        <f t="shared" si="355"/>
        <v>0</v>
      </c>
      <c r="E656" s="1">
        <f t="shared" si="356"/>
        <v>0</v>
      </c>
      <c r="F656" s="1">
        <f t="shared" si="357"/>
        <v>0</v>
      </c>
      <c r="G656" s="1">
        <f t="shared" si="358"/>
        <v>0</v>
      </c>
      <c r="H656" s="1">
        <f t="shared" si="345"/>
        <v>0</v>
      </c>
      <c r="I656" s="10">
        <f t="shared" si="359"/>
        <v>0</v>
      </c>
      <c r="J656" s="1">
        <f t="shared" si="346"/>
        <v>0</v>
      </c>
      <c r="K656" s="1">
        <f t="shared" si="347"/>
        <v>0</v>
      </c>
      <c r="L656" s="1" t="str">
        <f t="shared" si="348"/>
        <v>0</v>
      </c>
      <c r="M656" s="10">
        <f t="shared" si="349"/>
        <v>0</v>
      </c>
      <c r="N656" s="1">
        <f t="shared" si="360"/>
        <v>0</v>
      </c>
      <c r="O656" s="1">
        <f t="shared" si="352"/>
        <v>0</v>
      </c>
      <c r="P656" s="1">
        <f t="shared" si="350"/>
        <v>0</v>
      </c>
      <c r="Q656" s="3" t="str">
        <f t="shared" si="351"/>
        <v/>
      </c>
      <c r="T656" s="13" t="str">
        <f t="shared" si="340"/>
        <v/>
      </c>
      <c r="U656" s="14" t="str">
        <f t="shared" si="341"/>
        <v/>
      </c>
      <c r="V656" s="13" t="str">
        <f t="shared" si="342"/>
        <v/>
      </c>
      <c r="W656" s="13" t="str">
        <f t="shared" si="343"/>
        <v/>
      </c>
      <c r="X656" s="14" t="str">
        <f t="shared" si="344"/>
        <v/>
      </c>
    </row>
    <row r="657" spans="2:24" x14ac:dyDescent="0.3">
      <c r="B657" s="1">
        <f t="shared" si="353"/>
        <v>0</v>
      </c>
      <c r="C657" s="1">
        <f t="shared" si="354"/>
        <v>0</v>
      </c>
      <c r="D657" s="10">
        <f t="shared" si="355"/>
        <v>0</v>
      </c>
      <c r="E657" s="1">
        <f t="shared" si="356"/>
        <v>0</v>
      </c>
      <c r="F657" s="1">
        <f t="shared" si="357"/>
        <v>0</v>
      </c>
      <c r="G657" s="1">
        <f t="shared" si="358"/>
        <v>0</v>
      </c>
      <c r="H657" s="1">
        <f t="shared" si="345"/>
        <v>0</v>
      </c>
      <c r="I657" s="10">
        <f t="shared" si="359"/>
        <v>0</v>
      </c>
      <c r="J657" s="1">
        <f t="shared" si="346"/>
        <v>0</v>
      </c>
      <c r="K657" s="1">
        <f t="shared" si="347"/>
        <v>0</v>
      </c>
      <c r="L657" s="1" t="str">
        <f t="shared" si="348"/>
        <v>0</v>
      </c>
      <c r="M657" s="10">
        <f t="shared" si="349"/>
        <v>0</v>
      </c>
      <c r="N657" s="1">
        <f t="shared" si="360"/>
        <v>0</v>
      </c>
      <c r="O657" s="1">
        <f t="shared" si="352"/>
        <v>0</v>
      </c>
      <c r="P657" s="1">
        <f t="shared" si="350"/>
        <v>0</v>
      </c>
      <c r="Q657" s="3" t="str">
        <f t="shared" si="351"/>
        <v/>
      </c>
      <c r="T657" s="13" t="str">
        <f t="shared" si="340"/>
        <v/>
      </c>
      <c r="U657" s="14" t="str">
        <f t="shared" si="341"/>
        <v/>
      </c>
      <c r="V657" s="13" t="str">
        <f t="shared" si="342"/>
        <v/>
      </c>
      <c r="W657" s="13" t="str">
        <f t="shared" si="343"/>
        <v/>
      </c>
      <c r="X657" s="14" t="str">
        <f t="shared" si="344"/>
        <v/>
      </c>
    </row>
    <row r="658" spans="2:24" x14ac:dyDescent="0.3">
      <c r="B658" s="1">
        <f t="shared" si="353"/>
        <v>0</v>
      </c>
      <c r="C658" s="1">
        <f t="shared" si="354"/>
        <v>0</v>
      </c>
      <c r="D658" s="10">
        <f t="shared" si="355"/>
        <v>0</v>
      </c>
      <c r="E658" s="1">
        <f t="shared" si="356"/>
        <v>0</v>
      </c>
      <c r="F658" s="1">
        <f t="shared" si="357"/>
        <v>0</v>
      </c>
      <c r="G658" s="1">
        <f t="shared" si="358"/>
        <v>0</v>
      </c>
      <c r="H658" s="1">
        <f t="shared" si="345"/>
        <v>0</v>
      </c>
      <c r="I658" s="10">
        <f t="shared" si="359"/>
        <v>0</v>
      </c>
      <c r="J658" s="1">
        <f t="shared" si="346"/>
        <v>0</v>
      </c>
      <c r="K658" s="1">
        <f t="shared" si="347"/>
        <v>0</v>
      </c>
      <c r="L658" s="1" t="str">
        <f t="shared" si="348"/>
        <v>0</v>
      </c>
      <c r="M658" s="10">
        <f t="shared" si="349"/>
        <v>0</v>
      </c>
      <c r="N658" s="1">
        <f t="shared" si="360"/>
        <v>0</v>
      </c>
      <c r="O658" s="1">
        <f t="shared" si="352"/>
        <v>0</v>
      </c>
      <c r="P658" s="1">
        <f t="shared" si="350"/>
        <v>0</v>
      </c>
      <c r="Q658" s="3" t="str">
        <f t="shared" si="351"/>
        <v/>
      </c>
      <c r="T658" s="13" t="str">
        <f t="shared" si="340"/>
        <v/>
      </c>
      <c r="U658" s="14" t="str">
        <f t="shared" si="341"/>
        <v/>
      </c>
      <c r="V658" s="13" t="str">
        <f t="shared" si="342"/>
        <v/>
      </c>
      <c r="W658" s="13" t="str">
        <f t="shared" si="343"/>
        <v/>
      </c>
      <c r="X658" s="14" t="str">
        <f t="shared" si="344"/>
        <v/>
      </c>
    </row>
    <row r="659" spans="2:24" x14ac:dyDescent="0.3">
      <c r="B659" s="1">
        <f t="shared" si="353"/>
        <v>0</v>
      </c>
      <c r="C659" s="1">
        <f t="shared" si="354"/>
        <v>0</v>
      </c>
      <c r="D659" s="10">
        <f t="shared" si="355"/>
        <v>0</v>
      </c>
      <c r="E659" s="1">
        <f t="shared" si="356"/>
        <v>0</v>
      </c>
      <c r="F659" s="1">
        <f t="shared" si="357"/>
        <v>0</v>
      </c>
      <c r="G659" s="1">
        <f t="shared" si="358"/>
        <v>0</v>
      </c>
      <c r="H659" s="1">
        <f t="shared" si="345"/>
        <v>0</v>
      </c>
      <c r="I659" s="10">
        <f t="shared" si="359"/>
        <v>0</v>
      </c>
      <c r="J659" s="1">
        <f t="shared" si="346"/>
        <v>0</v>
      </c>
      <c r="K659" s="1">
        <f t="shared" si="347"/>
        <v>0</v>
      </c>
      <c r="L659" s="1" t="str">
        <f t="shared" si="348"/>
        <v>0</v>
      </c>
      <c r="M659" s="10">
        <f t="shared" si="349"/>
        <v>0</v>
      </c>
      <c r="N659" s="1">
        <f t="shared" si="360"/>
        <v>0</v>
      </c>
      <c r="O659" s="1">
        <f t="shared" si="352"/>
        <v>0</v>
      </c>
      <c r="P659" s="1">
        <f t="shared" si="350"/>
        <v>0</v>
      </c>
      <c r="Q659" s="3" t="str">
        <f t="shared" si="351"/>
        <v/>
      </c>
      <c r="T659" s="13" t="str">
        <f t="shared" ref="T659:T722" si="361">IF(A659="",IF(A658="","",$T$1),IF(O659=1,"#",IF(B659=0,"*",DEC2HEX(R659))))</f>
        <v/>
      </c>
      <c r="U659" s="14" t="str">
        <f t="shared" ref="U659:U722" si="362">IF(A659="",IF(A658="","",$U$1),  IF(B659=0,Q659,I659)  )</f>
        <v/>
      </c>
      <c r="V659" s="13" t="str">
        <f t="shared" ref="V659:V722" si="363">IF(U659=$U$1,"",IF(A659="",IF(A658="","",1),  IF(B659=0,1,D659)  ))</f>
        <v/>
      </c>
      <c r="W659" s="13" t="str">
        <f t="shared" ref="W659:W722" si="364">IF(U659=$U$1,"",IF(A659="",IF(A658="","",0),  IF(C659=0,0,0)  ))</f>
        <v/>
      </c>
      <c r="X659" s="14" t="str">
        <f t="shared" ref="X659:X722" si="365">IF(U659=$U$1,"",IF(U659="","",IF(B659&gt;0,IF(Q659&lt;&gt;"",Q659,"No description"),"-")))</f>
        <v/>
      </c>
    </row>
    <row r="660" spans="2:24" x14ac:dyDescent="0.3">
      <c r="B660" s="1">
        <f t="shared" si="353"/>
        <v>0</v>
      </c>
      <c r="C660" s="1">
        <f t="shared" si="354"/>
        <v>0</v>
      </c>
      <c r="D660" s="10">
        <f t="shared" si="355"/>
        <v>0</v>
      </c>
      <c r="E660" s="1">
        <f t="shared" si="356"/>
        <v>0</v>
      </c>
      <c r="F660" s="1">
        <f t="shared" si="357"/>
        <v>0</v>
      </c>
      <c r="G660" s="1">
        <f t="shared" si="358"/>
        <v>0</v>
      </c>
      <c r="H660" s="1">
        <f t="shared" si="345"/>
        <v>0</v>
      </c>
      <c r="I660" s="10">
        <f t="shared" si="359"/>
        <v>0</v>
      </c>
      <c r="J660" s="1">
        <f t="shared" si="346"/>
        <v>0</v>
      </c>
      <c r="K660" s="1">
        <f t="shared" si="347"/>
        <v>0</v>
      </c>
      <c r="L660" s="1" t="str">
        <f t="shared" si="348"/>
        <v>0</v>
      </c>
      <c r="M660" s="10">
        <f t="shared" si="349"/>
        <v>0</v>
      </c>
      <c r="N660" s="1">
        <f t="shared" si="360"/>
        <v>0</v>
      </c>
      <c r="O660" s="1">
        <f t="shared" si="352"/>
        <v>0</v>
      </c>
      <c r="P660" s="1">
        <f t="shared" si="350"/>
        <v>0</v>
      </c>
      <c r="Q660" s="3" t="str">
        <f t="shared" si="351"/>
        <v/>
      </c>
      <c r="T660" s="13" t="str">
        <f t="shared" si="361"/>
        <v/>
      </c>
      <c r="U660" s="14" t="str">
        <f t="shared" si="362"/>
        <v/>
      </c>
      <c r="V660" s="13" t="str">
        <f t="shared" si="363"/>
        <v/>
      </c>
      <c r="W660" s="13" t="str">
        <f t="shared" si="364"/>
        <v/>
      </c>
      <c r="X660" s="14" t="str">
        <f t="shared" si="365"/>
        <v/>
      </c>
    </row>
    <row r="661" spans="2:24" x14ac:dyDescent="0.3">
      <c r="B661" s="1">
        <f t="shared" si="353"/>
        <v>0</v>
      </c>
      <c r="C661" s="1">
        <f t="shared" si="354"/>
        <v>0</v>
      </c>
      <c r="D661" s="10">
        <f t="shared" si="355"/>
        <v>0</v>
      </c>
      <c r="E661" s="1">
        <f t="shared" si="356"/>
        <v>0</v>
      </c>
      <c r="F661" s="1">
        <f t="shared" si="357"/>
        <v>0</v>
      </c>
      <c r="G661" s="1">
        <f t="shared" si="358"/>
        <v>0</v>
      </c>
      <c r="H661" s="1">
        <f t="shared" si="345"/>
        <v>0</v>
      </c>
      <c r="I661" s="10">
        <f t="shared" si="359"/>
        <v>0</v>
      </c>
      <c r="J661" s="1">
        <f t="shared" si="346"/>
        <v>0</v>
      </c>
      <c r="K661" s="1">
        <f t="shared" si="347"/>
        <v>0</v>
      </c>
      <c r="L661" s="1" t="str">
        <f t="shared" si="348"/>
        <v>0</v>
      </c>
      <c r="M661" s="10">
        <f t="shared" si="349"/>
        <v>0</v>
      </c>
      <c r="N661" s="1">
        <f t="shared" si="360"/>
        <v>0</v>
      </c>
      <c r="O661" s="1">
        <f t="shared" si="352"/>
        <v>0</v>
      </c>
      <c r="P661" s="1">
        <f t="shared" si="350"/>
        <v>0</v>
      </c>
      <c r="Q661" s="3" t="str">
        <f t="shared" si="351"/>
        <v/>
      </c>
      <c r="T661" s="13" t="str">
        <f t="shared" si="361"/>
        <v/>
      </c>
      <c r="U661" s="14" t="str">
        <f t="shared" si="362"/>
        <v/>
      </c>
      <c r="V661" s="13" t="str">
        <f t="shared" si="363"/>
        <v/>
      </c>
      <c r="W661" s="13" t="str">
        <f t="shared" si="364"/>
        <v/>
      </c>
      <c r="X661" s="14" t="str">
        <f t="shared" si="365"/>
        <v/>
      </c>
    </row>
    <row r="662" spans="2:24" x14ac:dyDescent="0.3">
      <c r="B662" s="1">
        <f t="shared" si="353"/>
        <v>0</v>
      </c>
      <c r="C662" s="1">
        <f t="shared" si="354"/>
        <v>0</v>
      </c>
      <c r="D662" s="10">
        <f t="shared" si="355"/>
        <v>0</v>
      </c>
      <c r="E662" s="1">
        <f t="shared" si="356"/>
        <v>0</v>
      </c>
      <c r="F662" s="1">
        <f t="shared" si="357"/>
        <v>0</v>
      </c>
      <c r="G662" s="1">
        <f t="shared" si="358"/>
        <v>0</v>
      </c>
      <c r="H662" s="1">
        <f t="shared" si="345"/>
        <v>0</v>
      </c>
      <c r="I662" s="10">
        <f t="shared" si="359"/>
        <v>0</v>
      </c>
      <c r="J662" s="1">
        <f t="shared" si="346"/>
        <v>0</v>
      </c>
      <c r="K662" s="1">
        <f t="shared" si="347"/>
        <v>0</v>
      </c>
      <c r="L662" s="1" t="str">
        <f t="shared" si="348"/>
        <v>0</v>
      </c>
      <c r="M662" s="10">
        <f t="shared" si="349"/>
        <v>0</v>
      </c>
      <c r="N662" s="1">
        <f t="shared" si="360"/>
        <v>0</v>
      </c>
      <c r="O662" s="1">
        <f t="shared" si="352"/>
        <v>0</v>
      </c>
      <c r="P662" s="1">
        <f t="shared" si="350"/>
        <v>0</v>
      </c>
      <c r="Q662" s="3" t="str">
        <f t="shared" si="351"/>
        <v/>
      </c>
      <c r="T662" s="13" t="str">
        <f t="shared" si="361"/>
        <v/>
      </c>
      <c r="U662" s="14" t="str">
        <f t="shared" si="362"/>
        <v/>
      </c>
      <c r="V662" s="13" t="str">
        <f t="shared" si="363"/>
        <v/>
      </c>
      <c r="W662" s="13" t="str">
        <f t="shared" si="364"/>
        <v/>
      </c>
      <c r="X662" s="14" t="str">
        <f t="shared" si="365"/>
        <v/>
      </c>
    </row>
    <row r="663" spans="2:24" x14ac:dyDescent="0.3">
      <c r="B663" s="1">
        <f t="shared" si="353"/>
        <v>0</v>
      </c>
      <c r="C663" s="1">
        <f t="shared" si="354"/>
        <v>0</v>
      </c>
      <c r="D663" s="10">
        <f t="shared" si="355"/>
        <v>0</v>
      </c>
      <c r="E663" s="1">
        <f t="shared" si="356"/>
        <v>0</v>
      </c>
      <c r="F663" s="1">
        <f t="shared" si="357"/>
        <v>0</v>
      </c>
      <c r="G663" s="1">
        <f t="shared" si="358"/>
        <v>0</v>
      </c>
      <c r="H663" s="1">
        <f t="shared" si="345"/>
        <v>0</v>
      </c>
      <c r="I663" s="10">
        <f t="shared" si="359"/>
        <v>0</v>
      </c>
      <c r="J663" s="1">
        <f t="shared" si="346"/>
        <v>0</v>
      </c>
      <c r="K663" s="1">
        <f t="shared" si="347"/>
        <v>0</v>
      </c>
      <c r="L663" s="1" t="str">
        <f t="shared" si="348"/>
        <v>0</v>
      </c>
      <c r="M663" s="10">
        <f t="shared" si="349"/>
        <v>0</v>
      </c>
      <c r="N663" s="1">
        <f t="shared" si="360"/>
        <v>0</v>
      </c>
      <c r="O663" s="1">
        <f t="shared" si="352"/>
        <v>0</v>
      </c>
      <c r="P663" s="1">
        <f t="shared" si="350"/>
        <v>0</v>
      </c>
      <c r="Q663" s="3" t="str">
        <f t="shared" si="351"/>
        <v/>
      </c>
      <c r="T663" s="13" t="str">
        <f t="shared" si="361"/>
        <v/>
      </c>
      <c r="U663" s="14" t="str">
        <f t="shared" si="362"/>
        <v/>
      </c>
      <c r="V663" s="13" t="str">
        <f t="shared" si="363"/>
        <v/>
      </c>
      <c r="W663" s="13" t="str">
        <f t="shared" si="364"/>
        <v/>
      </c>
      <c r="X663" s="14" t="str">
        <f t="shared" si="365"/>
        <v/>
      </c>
    </row>
    <row r="664" spans="2:24" x14ac:dyDescent="0.3">
      <c r="B664" s="1">
        <f t="shared" si="353"/>
        <v>0</v>
      </c>
      <c r="C664" s="1">
        <f t="shared" si="354"/>
        <v>0</v>
      </c>
      <c r="D664" s="10">
        <f t="shared" si="355"/>
        <v>0</v>
      </c>
      <c r="E664" s="1">
        <f t="shared" si="356"/>
        <v>0</v>
      </c>
      <c r="F664" s="1">
        <f t="shared" si="357"/>
        <v>0</v>
      </c>
      <c r="G664" s="1">
        <f t="shared" si="358"/>
        <v>0</v>
      </c>
      <c r="H664" s="1">
        <f t="shared" si="345"/>
        <v>0</v>
      </c>
      <c r="I664" s="10">
        <f t="shared" si="359"/>
        <v>0</v>
      </c>
      <c r="J664" s="1">
        <f t="shared" si="346"/>
        <v>0</v>
      </c>
      <c r="K664" s="1">
        <f t="shared" si="347"/>
        <v>0</v>
      </c>
      <c r="L664" s="1" t="str">
        <f t="shared" si="348"/>
        <v>0</v>
      </c>
      <c r="M664" s="10">
        <f t="shared" si="349"/>
        <v>0</v>
      </c>
      <c r="N664" s="1">
        <f t="shared" si="360"/>
        <v>0</v>
      </c>
      <c r="O664" s="1">
        <f t="shared" si="352"/>
        <v>0</v>
      </c>
      <c r="P664" s="1">
        <f t="shared" si="350"/>
        <v>0</v>
      </c>
      <c r="Q664" s="3" t="str">
        <f t="shared" si="351"/>
        <v/>
      </c>
      <c r="T664" s="13" t="str">
        <f t="shared" si="361"/>
        <v/>
      </c>
      <c r="U664" s="14" t="str">
        <f t="shared" si="362"/>
        <v/>
      </c>
      <c r="V664" s="13" t="str">
        <f t="shared" si="363"/>
        <v/>
      </c>
      <c r="W664" s="13" t="str">
        <f t="shared" si="364"/>
        <v/>
      </c>
      <c r="X664" s="14" t="str">
        <f t="shared" si="365"/>
        <v/>
      </c>
    </row>
    <row r="665" spans="2:24" x14ac:dyDescent="0.3">
      <c r="B665" s="1">
        <f t="shared" si="353"/>
        <v>0</v>
      </c>
      <c r="C665" s="1">
        <f t="shared" si="354"/>
        <v>0</v>
      </c>
      <c r="D665" s="10">
        <f t="shared" si="355"/>
        <v>0</v>
      </c>
      <c r="E665" s="1">
        <f t="shared" si="356"/>
        <v>0</v>
      </c>
      <c r="F665" s="1">
        <f t="shared" si="357"/>
        <v>0</v>
      </c>
      <c r="G665" s="1">
        <f t="shared" si="358"/>
        <v>0</v>
      </c>
      <c r="H665" s="1">
        <f t="shared" si="345"/>
        <v>0</v>
      </c>
      <c r="I665" s="10">
        <f t="shared" si="359"/>
        <v>0</v>
      </c>
      <c r="J665" s="1">
        <f t="shared" si="346"/>
        <v>0</v>
      </c>
      <c r="K665" s="1">
        <f t="shared" si="347"/>
        <v>0</v>
      </c>
      <c r="L665" s="1" t="str">
        <f t="shared" si="348"/>
        <v>0</v>
      </c>
      <c r="M665" s="10">
        <f t="shared" si="349"/>
        <v>0</v>
      </c>
      <c r="N665" s="1">
        <f t="shared" si="360"/>
        <v>0</v>
      </c>
      <c r="O665" s="1">
        <f t="shared" si="352"/>
        <v>0</v>
      </c>
      <c r="P665" s="1">
        <f t="shared" si="350"/>
        <v>0</v>
      </c>
      <c r="Q665" s="3" t="str">
        <f t="shared" si="351"/>
        <v/>
      </c>
      <c r="T665" s="13" t="str">
        <f t="shared" si="361"/>
        <v/>
      </c>
      <c r="U665" s="14" t="str">
        <f t="shared" si="362"/>
        <v/>
      </c>
      <c r="V665" s="13" t="str">
        <f t="shared" si="363"/>
        <v/>
      </c>
      <c r="W665" s="13" t="str">
        <f t="shared" si="364"/>
        <v/>
      </c>
      <c r="X665" s="14" t="str">
        <f t="shared" si="365"/>
        <v/>
      </c>
    </row>
    <row r="666" spans="2:24" x14ac:dyDescent="0.3">
      <c r="B666" s="1">
        <f t="shared" si="353"/>
        <v>0</v>
      </c>
      <c r="C666" s="1">
        <f t="shared" si="354"/>
        <v>0</v>
      </c>
      <c r="D666" s="10">
        <f t="shared" si="355"/>
        <v>0</v>
      </c>
      <c r="E666" s="1">
        <f t="shared" si="356"/>
        <v>0</v>
      </c>
      <c r="F666" s="1">
        <f t="shared" si="357"/>
        <v>0</v>
      </c>
      <c r="G666" s="1">
        <f t="shared" si="358"/>
        <v>0</v>
      </c>
      <c r="H666" s="1">
        <f t="shared" si="345"/>
        <v>0</v>
      </c>
      <c r="I666" s="10">
        <f t="shared" si="359"/>
        <v>0</v>
      </c>
      <c r="J666" s="1">
        <f t="shared" si="346"/>
        <v>0</v>
      </c>
      <c r="K666" s="1">
        <f t="shared" si="347"/>
        <v>0</v>
      </c>
      <c r="L666" s="1" t="str">
        <f t="shared" si="348"/>
        <v>0</v>
      </c>
      <c r="M666" s="10">
        <f t="shared" si="349"/>
        <v>0</v>
      </c>
      <c r="N666" s="1">
        <f t="shared" si="360"/>
        <v>0</v>
      </c>
      <c r="O666" s="1">
        <f t="shared" si="352"/>
        <v>0</v>
      </c>
      <c r="P666" s="1">
        <f t="shared" si="350"/>
        <v>0</v>
      </c>
      <c r="Q666" s="3" t="str">
        <f t="shared" si="351"/>
        <v/>
      </c>
      <c r="T666" s="13" t="str">
        <f t="shared" si="361"/>
        <v/>
      </c>
      <c r="U666" s="14" t="str">
        <f t="shared" si="362"/>
        <v/>
      </c>
      <c r="V666" s="13" t="str">
        <f t="shared" si="363"/>
        <v/>
      </c>
      <c r="W666" s="13" t="str">
        <f t="shared" si="364"/>
        <v/>
      </c>
      <c r="X666" s="14" t="str">
        <f t="shared" si="365"/>
        <v/>
      </c>
    </row>
    <row r="667" spans="2:24" x14ac:dyDescent="0.3">
      <c r="B667" s="1">
        <f t="shared" si="353"/>
        <v>0</v>
      </c>
      <c r="C667" s="1">
        <f t="shared" si="354"/>
        <v>0</v>
      </c>
      <c r="D667" s="10">
        <f t="shared" si="355"/>
        <v>0</v>
      </c>
      <c r="E667" s="1">
        <f t="shared" si="356"/>
        <v>0</v>
      </c>
      <c r="F667" s="1">
        <f t="shared" si="357"/>
        <v>0</v>
      </c>
      <c r="G667" s="1">
        <f t="shared" si="358"/>
        <v>0</v>
      </c>
      <c r="H667" s="1">
        <f t="shared" si="345"/>
        <v>0</v>
      </c>
      <c r="I667" s="10">
        <f t="shared" si="359"/>
        <v>0</v>
      </c>
      <c r="J667" s="1">
        <f t="shared" si="346"/>
        <v>0</v>
      </c>
      <c r="K667" s="1">
        <f t="shared" si="347"/>
        <v>0</v>
      </c>
      <c r="L667" s="1" t="str">
        <f t="shared" si="348"/>
        <v>0</v>
      </c>
      <c r="M667" s="10">
        <f t="shared" si="349"/>
        <v>0</v>
      </c>
      <c r="N667" s="1">
        <f t="shared" si="360"/>
        <v>0</v>
      </c>
      <c r="O667" s="1">
        <f t="shared" si="352"/>
        <v>0</v>
      </c>
      <c r="P667" s="1">
        <f t="shared" si="350"/>
        <v>0</v>
      </c>
      <c r="Q667" s="3" t="str">
        <f t="shared" si="351"/>
        <v/>
      </c>
      <c r="T667" s="13" t="str">
        <f t="shared" si="361"/>
        <v/>
      </c>
      <c r="U667" s="14" t="str">
        <f t="shared" si="362"/>
        <v/>
      </c>
      <c r="V667" s="13" t="str">
        <f t="shared" si="363"/>
        <v/>
      </c>
      <c r="W667" s="13" t="str">
        <f t="shared" si="364"/>
        <v/>
      </c>
      <c r="X667" s="14" t="str">
        <f t="shared" si="365"/>
        <v/>
      </c>
    </row>
    <row r="668" spans="2:24" x14ac:dyDescent="0.3">
      <c r="B668" s="1">
        <f t="shared" si="353"/>
        <v>0</v>
      </c>
      <c r="C668" s="1">
        <f t="shared" si="354"/>
        <v>0</v>
      </c>
      <c r="D668" s="10">
        <f t="shared" si="355"/>
        <v>0</v>
      </c>
      <c r="E668" s="1">
        <f t="shared" si="356"/>
        <v>0</v>
      </c>
      <c r="F668" s="1">
        <f t="shared" si="357"/>
        <v>0</v>
      </c>
      <c r="G668" s="1">
        <f t="shared" si="358"/>
        <v>0</v>
      </c>
      <c r="H668" s="1">
        <f t="shared" si="345"/>
        <v>0</v>
      </c>
      <c r="I668" s="10">
        <f t="shared" si="359"/>
        <v>0</v>
      </c>
      <c r="J668" s="1">
        <f t="shared" si="346"/>
        <v>0</v>
      </c>
      <c r="K668" s="1">
        <f t="shared" si="347"/>
        <v>0</v>
      </c>
      <c r="L668" s="1" t="str">
        <f t="shared" si="348"/>
        <v>0</v>
      </c>
      <c r="M668" s="10">
        <f t="shared" si="349"/>
        <v>0</v>
      </c>
      <c r="N668" s="1">
        <f t="shared" si="360"/>
        <v>0</v>
      </c>
      <c r="O668" s="1">
        <f t="shared" si="352"/>
        <v>0</v>
      </c>
      <c r="P668" s="1">
        <f t="shared" si="350"/>
        <v>0</v>
      </c>
      <c r="Q668" s="3" t="str">
        <f t="shared" si="351"/>
        <v/>
      </c>
      <c r="T668" s="13" t="str">
        <f t="shared" si="361"/>
        <v/>
      </c>
      <c r="U668" s="14" t="str">
        <f t="shared" si="362"/>
        <v/>
      </c>
      <c r="V668" s="13" t="str">
        <f t="shared" si="363"/>
        <v/>
      </c>
      <c r="W668" s="13" t="str">
        <f t="shared" si="364"/>
        <v/>
      </c>
      <c r="X668" s="14" t="str">
        <f t="shared" si="365"/>
        <v/>
      </c>
    </row>
    <row r="669" spans="2:24" x14ac:dyDescent="0.3">
      <c r="B669" s="1">
        <f t="shared" si="353"/>
        <v>0</v>
      </c>
      <c r="C669" s="1">
        <f t="shared" si="354"/>
        <v>0</v>
      </c>
      <c r="D669" s="10">
        <f t="shared" si="355"/>
        <v>0</v>
      </c>
      <c r="E669" s="1">
        <f t="shared" si="356"/>
        <v>0</v>
      </c>
      <c r="F669" s="1">
        <f t="shared" si="357"/>
        <v>0</v>
      </c>
      <c r="G669" s="1">
        <f t="shared" si="358"/>
        <v>0</v>
      </c>
      <c r="H669" s="1">
        <f t="shared" si="345"/>
        <v>0</v>
      </c>
      <c r="I669" s="10">
        <f t="shared" si="359"/>
        <v>0</v>
      </c>
      <c r="J669" s="1">
        <f t="shared" si="346"/>
        <v>0</v>
      </c>
      <c r="K669" s="1">
        <f t="shared" si="347"/>
        <v>0</v>
      </c>
      <c r="L669" s="1" t="str">
        <f t="shared" si="348"/>
        <v>0</v>
      </c>
      <c r="M669" s="10">
        <f t="shared" si="349"/>
        <v>0</v>
      </c>
      <c r="N669" s="1">
        <f t="shared" si="360"/>
        <v>0</v>
      </c>
      <c r="O669" s="1">
        <f t="shared" si="352"/>
        <v>0</v>
      </c>
      <c r="P669" s="1">
        <f t="shared" si="350"/>
        <v>0</v>
      </c>
      <c r="Q669" s="3" t="str">
        <f t="shared" si="351"/>
        <v/>
      </c>
      <c r="T669" s="13" t="str">
        <f t="shared" si="361"/>
        <v/>
      </c>
      <c r="U669" s="14" t="str">
        <f t="shared" si="362"/>
        <v/>
      </c>
      <c r="V669" s="13" t="str">
        <f t="shared" si="363"/>
        <v/>
      </c>
      <c r="W669" s="13" t="str">
        <f t="shared" si="364"/>
        <v/>
      </c>
      <c r="X669" s="14" t="str">
        <f t="shared" si="365"/>
        <v/>
      </c>
    </row>
    <row r="670" spans="2:24" x14ac:dyDescent="0.3">
      <c r="B670" s="1">
        <f t="shared" si="353"/>
        <v>0</v>
      </c>
      <c r="C670" s="1">
        <f t="shared" si="354"/>
        <v>0</v>
      </c>
      <c r="D670" s="10">
        <f t="shared" si="355"/>
        <v>0</v>
      </c>
      <c r="E670" s="1">
        <f t="shared" si="356"/>
        <v>0</v>
      </c>
      <c r="F670" s="1">
        <f t="shared" si="357"/>
        <v>0</v>
      </c>
      <c r="G670" s="1">
        <f t="shared" si="358"/>
        <v>0</v>
      </c>
      <c r="H670" s="1">
        <f t="shared" si="345"/>
        <v>0</v>
      </c>
      <c r="I670" s="10">
        <f t="shared" si="359"/>
        <v>0</v>
      </c>
      <c r="J670" s="1">
        <f t="shared" si="346"/>
        <v>0</v>
      </c>
      <c r="K670" s="1">
        <f t="shared" si="347"/>
        <v>0</v>
      </c>
      <c r="L670" s="1" t="str">
        <f t="shared" si="348"/>
        <v>0</v>
      </c>
      <c r="M670" s="10">
        <f t="shared" si="349"/>
        <v>0</v>
      </c>
      <c r="N670" s="1">
        <f t="shared" si="360"/>
        <v>0</v>
      </c>
      <c r="O670" s="1">
        <f t="shared" si="352"/>
        <v>0</v>
      </c>
      <c r="P670" s="1">
        <f t="shared" si="350"/>
        <v>0</v>
      </c>
      <c r="Q670" s="3" t="str">
        <f t="shared" si="351"/>
        <v/>
      </c>
      <c r="T670" s="13" t="str">
        <f t="shared" si="361"/>
        <v/>
      </c>
      <c r="U670" s="14" t="str">
        <f t="shared" si="362"/>
        <v/>
      </c>
      <c r="V670" s="13" t="str">
        <f t="shared" si="363"/>
        <v/>
      </c>
      <c r="W670" s="13" t="str">
        <f t="shared" si="364"/>
        <v/>
      </c>
      <c r="X670" s="14" t="str">
        <f t="shared" si="365"/>
        <v/>
      </c>
    </row>
    <row r="671" spans="2:24" x14ac:dyDescent="0.3">
      <c r="B671" s="1">
        <f t="shared" si="353"/>
        <v>0</v>
      </c>
      <c r="C671" s="1">
        <f t="shared" si="354"/>
        <v>0</v>
      </c>
      <c r="D671" s="10">
        <f t="shared" si="355"/>
        <v>0</v>
      </c>
      <c r="E671" s="1">
        <f t="shared" si="356"/>
        <v>0</v>
      </c>
      <c r="F671" s="1">
        <f t="shared" si="357"/>
        <v>0</v>
      </c>
      <c r="G671" s="1">
        <f t="shared" si="358"/>
        <v>0</v>
      </c>
      <c r="H671" s="1">
        <f t="shared" si="345"/>
        <v>0</v>
      </c>
      <c r="I671" s="10">
        <f t="shared" si="359"/>
        <v>0</v>
      </c>
      <c r="J671" s="1">
        <f t="shared" si="346"/>
        <v>0</v>
      </c>
      <c r="K671" s="1">
        <f t="shared" si="347"/>
        <v>0</v>
      </c>
      <c r="L671" s="1" t="str">
        <f t="shared" si="348"/>
        <v>0</v>
      </c>
      <c r="M671" s="10">
        <f t="shared" si="349"/>
        <v>0</v>
      </c>
      <c r="N671" s="1">
        <f t="shared" si="360"/>
        <v>0</v>
      </c>
      <c r="O671" s="1">
        <f t="shared" si="352"/>
        <v>0</v>
      </c>
      <c r="P671" s="1">
        <f t="shared" si="350"/>
        <v>0</v>
      </c>
      <c r="Q671" s="3" t="str">
        <f t="shared" si="351"/>
        <v/>
      </c>
      <c r="T671" s="13" t="str">
        <f t="shared" si="361"/>
        <v/>
      </c>
      <c r="U671" s="14" t="str">
        <f t="shared" si="362"/>
        <v/>
      </c>
      <c r="V671" s="13" t="str">
        <f t="shared" si="363"/>
        <v/>
      </c>
      <c r="W671" s="13" t="str">
        <f t="shared" si="364"/>
        <v/>
      </c>
      <c r="X671" s="14" t="str">
        <f t="shared" si="365"/>
        <v/>
      </c>
    </row>
    <row r="672" spans="2:24" x14ac:dyDescent="0.3">
      <c r="B672" s="1">
        <f t="shared" si="353"/>
        <v>0</v>
      </c>
      <c r="C672" s="1">
        <f t="shared" si="354"/>
        <v>0</v>
      </c>
      <c r="D672" s="10">
        <f t="shared" si="355"/>
        <v>0</v>
      </c>
      <c r="E672" s="1">
        <f t="shared" si="356"/>
        <v>0</v>
      </c>
      <c r="F672" s="1">
        <f t="shared" si="357"/>
        <v>0</v>
      </c>
      <c r="G672" s="1">
        <f t="shared" si="358"/>
        <v>0</v>
      </c>
      <c r="H672" s="1">
        <f t="shared" si="345"/>
        <v>0</v>
      </c>
      <c r="I672" s="10">
        <f t="shared" si="359"/>
        <v>0</v>
      </c>
      <c r="J672" s="1">
        <f t="shared" si="346"/>
        <v>0</v>
      </c>
      <c r="K672" s="1">
        <f t="shared" si="347"/>
        <v>0</v>
      </c>
      <c r="L672" s="1" t="str">
        <f t="shared" si="348"/>
        <v>0</v>
      </c>
      <c r="M672" s="10">
        <f t="shared" si="349"/>
        <v>0</v>
      </c>
      <c r="N672" s="1">
        <f t="shared" si="360"/>
        <v>0</v>
      </c>
      <c r="O672" s="1">
        <f t="shared" si="352"/>
        <v>0</v>
      </c>
      <c r="P672" s="1">
        <f t="shared" si="350"/>
        <v>0</v>
      </c>
      <c r="Q672" s="3" t="str">
        <f t="shared" si="351"/>
        <v/>
      </c>
      <c r="T672" s="13" t="str">
        <f t="shared" si="361"/>
        <v/>
      </c>
      <c r="U672" s="14" t="str">
        <f t="shared" si="362"/>
        <v/>
      </c>
      <c r="V672" s="13" t="str">
        <f t="shared" si="363"/>
        <v/>
      </c>
      <c r="W672" s="13" t="str">
        <f t="shared" si="364"/>
        <v/>
      </c>
      <c r="X672" s="14" t="str">
        <f t="shared" si="365"/>
        <v/>
      </c>
    </row>
    <row r="673" spans="2:24" x14ac:dyDescent="0.3">
      <c r="B673" s="1">
        <f t="shared" si="353"/>
        <v>0</v>
      </c>
      <c r="C673" s="1">
        <f t="shared" si="354"/>
        <v>0</v>
      </c>
      <c r="D673" s="10">
        <f t="shared" si="355"/>
        <v>0</v>
      </c>
      <c r="E673" s="1">
        <f t="shared" si="356"/>
        <v>0</v>
      </c>
      <c r="F673" s="1">
        <f t="shared" si="357"/>
        <v>0</v>
      </c>
      <c r="G673" s="1">
        <f t="shared" si="358"/>
        <v>0</v>
      </c>
      <c r="H673" s="1">
        <f t="shared" si="345"/>
        <v>0</v>
      </c>
      <c r="I673" s="10">
        <f t="shared" si="359"/>
        <v>0</v>
      </c>
      <c r="J673" s="1">
        <f t="shared" si="346"/>
        <v>0</v>
      </c>
      <c r="K673" s="1">
        <f t="shared" si="347"/>
        <v>0</v>
      </c>
      <c r="L673" s="1" t="str">
        <f t="shared" si="348"/>
        <v>0</v>
      </c>
      <c r="M673" s="10">
        <f t="shared" si="349"/>
        <v>0</v>
      </c>
      <c r="N673" s="1">
        <f t="shared" si="360"/>
        <v>0</v>
      </c>
      <c r="O673" s="1">
        <f t="shared" si="352"/>
        <v>0</v>
      </c>
      <c r="P673" s="1">
        <f t="shared" si="350"/>
        <v>0</v>
      </c>
      <c r="Q673" s="3" t="str">
        <f t="shared" si="351"/>
        <v/>
      </c>
      <c r="T673" s="13" t="str">
        <f t="shared" si="361"/>
        <v/>
      </c>
      <c r="U673" s="14" t="str">
        <f t="shared" si="362"/>
        <v/>
      </c>
      <c r="V673" s="13" t="str">
        <f t="shared" si="363"/>
        <v/>
      </c>
      <c r="W673" s="13" t="str">
        <f t="shared" si="364"/>
        <v/>
      </c>
      <c r="X673" s="14" t="str">
        <f t="shared" si="365"/>
        <v/>
      </c>
    </row>
    <row r="674" spans="2:24" x14ac:dyDescent="0.3">
      <c r="B674" s="1">
        <f t="shared" si="353"/>
        <v>0</v>
      </c>
      <c r="C674" s="1">
        <f t="shared" si="354"/>
        <v>0</v>
      </c>
      <c r="D674" s="10">
        <f t="shared" si="355"/>
        <v>0</v>
      </c>
      <c r="E674" s="1">
        <f t="shared" si="356"/>
        <v>0</v>
      </c>
      <c r="F674" s="1">
        <f t="shared" si="357"/>
        <v>0</v>
      </c>
      <c r="G674" s="1">
        <f t="shared" si="358"/>
        <v>0</v>
      </c>
      <c r="H674" s="1">
        <f t="shared" si="345"/>
        <v>0</v>
      </c>
      <c r="I674" s="10">
        <f t="shared" si="359"/>
        <v>0</v>
      </c>
      <c r="J674" s="1">
        <f t="shared" si="346"/>
        <v>0</v>
      </c>
      <c r="K674" s="1">
        <f t="shared" si="347"/>
        <v>0</v>
      </c>
      <c r="L674" s="1" t="str">
        <f t="shared" si="348"/>
        <v>0</v>
      </c>
      <c r="M674" s="10">
        <f t="shared" si="349"/>
        <v>0</v>
      </c>
      <c r="N674" s="1">
        <f t="shared" si="360"/>
        <v>0</v>
      </c>
      <c r="O674" s="1">
        <f t="shared" si="352"/>
        <v>0</v>
      </c>
      <c r="P674" s="1">
        <f t="shared" si="350"/>
        <v>0</v>
      </c>
      <c r="Q674" s="3" t="str">
        <f t="shared" si="351"/>
        <v/>
      </c>
      <c r="T674" s="13" t="str">
        <f t="shared" si="361"/>
        <v/>
      </c>
      <c r="U674" s="14" t="str">
        <f t="shared" si="362"/>
        <v/>
      </c>
      <c r="V674" s="13" t="str">
        <f t="shared" si="363"/>
        <v/>
      </c>
      <c r="W674" s="13" t="str">
        <f t="shared" si="364"/>
        <v/>
      </c>
      <c r="X674" s="14" t="str">
        <f t="shared" si="365"/>
        <v/>
      </c>
    </row>
    <row r="675" spans="2:24" x14ac:dyDescent="0.3">
      <c r="B675" s="1">
        <f t="shared" si="353"/>
        <v>0</v>
      </c>
      <c r="C675" s="1">
        <f t="shared" si="354"/>
        <v>0</v>
      </c>
      <c r="D675" s="10">
        <f t="shared" si="355"/>
        <v>0</v>
      </c>
      <c r="E675" s="1">
        <f t="shared" si="356"/>
        <v>0</v>
      </c>
      <c r="F675" s="1">
        <f t="shared" si="357"/>
        <v>0</v>
      </c>
      <c r="G675" s="1">
        <f t="shared" si="358"/>
        <v>0</v>
      </c>
      <c r="H675" s="1">
        <f t="shared" si="345"/>
        <v>0</v>
      </c>
      <c r="I675" s="10">
        <f t="shared" si="359"/>
        <v>0</v>
      </c>
      <c r="J675" s="1">
        <f t="shared" si="346"/>
        <v>0</v>
      </c>
      <c r="K675" s="1">
        <f t="shared" si="347"/>
        <v>0</v>
      </c>
      <c r="L675" s="1" t="str">
        <f t="shared" si="348"/>
        <v>0</v>
      </c>
      <c r="M675" s="10">
        <f t="shared" si="349"/>
        <v>0</v>
      </c>
      <c r="N675" s="1">
        <f t="shared" si="360"/>
        <v>0</v>
      </c>
      <c r="O675" s="1">
        <f t="shared" si="352"/>
        <v>0</v>
      </c>
      <c r="P675" s="1">
        <f t="shared" si="350"/>
        <v>0</v>
      </c>
      <c r="Q675" s="3" t="str">
        <f t="shared" si="351"/>
        <v/>
      </c>
      <c r="T675" s="13" t="str">
        <f t="shared" si="361"/>
        <v/>
      </c>
      <c r="U675" s="14" t="str">
        <f t="shared" si="362"/>
        <v/>
      </c>
      <c r="V675" s="13" t="str">
        <f t="shared" si="363"/>
        <v/>
      </c>
      <c r="W675" s="13" t="str">
        <f t="shared" si="364"/>
        <v/>
      </c>
      <c r="X675" s="14" t="str">
        <f t="shared" si="365"/>
        <v/>
      </c>
    </row>
    <row r="676" spans="2:24" x14ac:dyDescent="0.3">
      <c r="B676" s="1">
        <f t="shared" si="353"/>
        <v>0</v>
      </c>
      <c r="C676" s="1">
        <f t="shared" si="354"/>
        <v>0</v>
      </c>
      <c r="D676" s="10">
        <f t="shared" si="355"/>
        <v>0</v>
      </c>
      <c r="E676" s="1">
        <f t="shared" si="356"/>
        <v>0</v>
      </c>
      <c r="F676" s="1">
        <f t="shared" si="357"/>
        <v>0</v>
      </c>
      <c r="G676" s="1">
        <f t="shared" si="358"/>
        <v>0</v>
      </c>
      <c r="H676" s="1">
        <f t="shared" si="345"/>
        <v>0</v>
      </c>
      <c r="I676" s="10">
        <f t="shared" si="359"/>
        <v>0</v>
      </c>
      <c r="J676" s="1">
        <f t="shared" si="346"/>
        <v>0</v>
      </c>
      <c r="K676" s="1">
        <f t="shared" si="347"/>
        <v>0</v>
      </c>
      <c r="L676" s="1" t="str">
        <f t="shared" si="348"/>
        <v>0</v>
      </c>
      <c r="M676" s="10">
        <f t="shared" si="349"/>
        <v>0</v>
      </c>
      <c r="N676" s="1">
        <f t="shared" si="360"/>
        <v>0</v>
      </c>
      <c r="O676" s="1">
        <f t="shared" si="352"/>
        <v>0</v>
      </c>
      <c r="P676" s="1">
        <f t="shared" si="350"/>
        <v>0</v>
      </c>
      <c r="Q676" s="3" t="str">
        <f t="shared" si="351"/>
        <v/>
      </c>
      <c r="T676" s="13" t="str">
        <f t="shared" si="361"/>
        <v/>
      </c>
      <c r="U676" s="14" t="str">
        <f t="shared" si="362"/>
        <v/>
      </c>
      <c r="V676" s="13" t="str">
        <f t="shared" si="363"/>
        <v/>
      </c>
      <c r="W676" s="13" t="str">
        <f t="shared" si="364"/>
        <v/>
      </c>
      <c r="X676" s="14" t="str">
        <f t="shared" si="365"/>
        <v/>
      </c>
    </row>
    <row r="677" spans="2:24" x14ac:dyDescent="0.3">
      <c r="B677" s="1">
        <f t="shared" si="353"/>
        <v>0</v>
      </c>
      <c r="C677" s="1">
        <f t="shared" si="354"/>
        <v>0</v>
      </c>
      <c r="D677" s="10">
        <f t="shared" si="355"/>
        <v>0</v>
      </c>
      <c r="E677" s="1">
        <f t="shared" si="356"/>
        <v>0</v>
      </c>
      <c r="F677" s="1">
        <f t="shared" si="357"/>
        <v>0</v>
      </c>
      <c r="G677" s="1">
        <f t="shared" si="358"/>
        <v>0</v>
      </c>
      <c r="H677" s="1">
        <f t="shared" si="345"/>
        <v>0</v>
      </c>
      <c r="I677" s="10">
        <f t="shared" si="359"/>
        <v>0</v>
      </c>
      <c r="J677" s="1">
        <f t="shared" si="346"/>
        <v>0</v>
      </c>
      <c r="K677" s="1">
        <f t="shared" si="347"/>
        <v>0</v>
      </c>
      <c r="L677" s="1" t="str">
        <f t="shared" si="348"/>
        <v>0</v>
      </c>
      <c r="M677" s="10">
        <f t="shared" si="349"/>
        <v>0</v>
      </c>
      <c r="N677" s="1">
        <f t="shared" si="360"/>
        <v>0</v>
      </c>
      <c r="O677" s="1">
        <f t="shared" si="352"/>
        <v>0</v>
      </c>
      <c r="P677" s="1">
        <f t="shared" si="350"/>
        <v>0</v>
      </c>
      <c r="Q677" s="3" t="str">
        <f t="shared" si="351"/>
        <v/>
      </c>
      <c r="T677" s="13" t="str">
        <f t="shared" si="361"/>
        <v/>
      </c>
      <c r="U677" s="14" t="str">
        <f t="shared" si="362"/>
        <v/>
      </c>
      <c r="V677" s="13" t="str">
        <f t="shared" si="363"/>
        <v/>
      </c>
      <c r="W677" s="13" t="str">
        <f t="shared" si="364"/>
        <v/>
      </c>
      <c r="X677" s="14" t="str">
        <f t="shared" si="365"/>
        <v/>
      </c>
    </row>
    <row r="678" spans="2:24" x14ac:dyDescent="0.3">
      <c r="B678" s="1">
        <f t="shared" si="353"/>
        <v>0</v>
      </c>
      <c r="C678" s="1">
        <f t="shared" si="354"/>
        <v>0</v>
      </c>
      <c r="D678" s="10">
        <f t="shared" si="355"/>
        <v>0</v>
      </c>
      <c r="E678" s="1">
        <f t="shared" si="356"/>
        <v>0</v>
      </c>
      <c r="F678" s="1">
        <f t="shared" si="357"/>
        <v>0</v>
      </c>
      <c r="G678" s="1">
        <f t="shared" si="358"/>
        <v>0</v>
      </c>
      <c r="H678" s="1">
        <f t="shared" si="345"/>
        <v>0</v>
      </c>
      <c r="I678" s="10">
        <f t="shared" si="359"/>
        <v>0</v>
      </c>
      <c r="J678" s="1">
        <f t="shared" si="346"/>
        <v>0</v>
      </c>
      <c r="K678" s="1">
        <f t="shared" si="347"/>
        <v>0</v>
      </c>
      <c r="L678" s="1" t="str">
        <f t="shared" si="348"/>
        <v>0</v>
      </c>
      <c r="M678" s="10">
        <f t="shared" si="349"/>
        <v>0</v>
      </c>
      <c r="N678" s="1">
        <f t="shared" si="360"/>
        <v>0</v>
      </c>
      <c r="O678" s="1">
        <f t="shared" si="352"/>
        <v>0</v>
      </c>
      <c r="P678" s="1">
        <f t="shared" si="350"/>
        <v>0</v>
      </c>
      <c r="Q678" s="3" t="str">
        <f t="shared" si="351"/>
        <v/>
      </c>
      <c r="T678" s="13" t="str">
        <f t="shared" si="361"/>
        <v/>
      </c>
      <c r="U678" s="14" t="str">
        <f t="shared" si="362"/>
        <v/>
      </c>
      <c r="V678" s="13" t="str">
        <f t="shared" si="363"/>
        <v/>
      </c>
      <c r="W678" s="13" t="str">
        <f t="shared" si="364"/>
        <v/>
      </c>
      <c r="X678" s="14" t="str">
        <f t="shared" si="365"/>
        <v/>
      </c>
    </row>
    <row r="679" spans="2:24" x14ac:dyDescent="0.3">
      <c r="B679" s="1">
        <f t="shared" si="353"/>
        <v>0</v>
      </c>
      <c r="C679" s="1">
        <f t="shared" si="354"/>
        <v>0</v>
      </c>
      <c r="D679" s="10">
        <f t="shared" si="355"/>
        <v>0</v>
      </c>
      <c r="E679" s="1">
        <f t="shared" si="356"/>
        <v>0</v>
      </c>
      <c r="F679" s="1">
        <f t="shared" si="357"/>
        <v>0</v>
      </c>
      <c r="G679" s="1">
        <f t="shared" si="358"/>
        <v>0</v>
      </c>
      <c r="H679" s="1">
        <f t="shared" si="345"/>
        <v>0</v>
      </c>
      <c r="I679" s="10">
        <f t="shared" si="359"/>
        <v>0</v>
      </c>
      <c r="J679" s="1">
        <f t="shared" si="346"/>
        <v>0</v>
      </c>
      <c r="K679" s="1">
        <f t="shared" si="347"/>
        <v>0</v>
      </c>
      <c r="L679" s="1" t="str">
        <f t="shared" si="348"/>
        <v>0</v>
      </c>
      <c r="M679" s="10">
        <f t="shared" si="349"/>
        <v>0</v>
      </c>
      <c r="N679" s="1">
        <f t="shared" si="360"/>
        <v>0</v>
      </c>
      <c r="O679" s="1">
        <f t="shared" si="352"/>
        <v>0</v>
      </c>
      <c r="P679" s="1">
        <f t="shared" si="350"/>
        <v>0</v>
      </c>
      <c r="Q679" s="3" t="str">
        <f t="shared" si="351"/>
        <v/>
      </c>
      <c r="T679" s="13" t="str">
        <f t="shared" si="361"/>
        <v/>
      </c>
      <c r="U679" s="14" t="str">
        <f t="shared" si="362"/>
        <v/>
      </c>
      <c r="V679" s="13" t="str">
        <f t="shared" si="363"/>
        <v/>
      </c>
      <c r="W679" s="13" t="str">
        <f t="shared" si="364"/>
        <v/>
      </c>
      <c r="X679" s="14" t="str">
        <f t="shared" si="365"/>
        <v/>
      </c>
    </row>
    <row r="680" spans="2:24" x14ac:dyDescent="0.3">
      <c r="B680" s="1">
        <f t="shared" si="353"/>
        <v>0</v>
      </c>
      <c r="C680" s="1">
        <f t="shared" si="354"/>
        <v>0</v>
      </c>
      <c r="D680" s="10">
        <f t="shared" si="355"/>
        <v>0</v>
      </c>
      <c r="E680" s="1">
        <f t="shared" si="356"/>
        <v>0</v>
      </c>
      <c r="F680" s="1">
        <f t="shared" si="357"/>
        <v>0</v>
      </c>
      <c r="G680" s="1">
        <f t="shared" si="358"/>
        <v>0</v>
      </c>
      <c r="H680" s="1">
        <f t="shared" si="345"/>
        <v>0</v>
      </c>
      <c r="I680" s="10">
        <f t="shared" si="359"/>
        <v>0</v>
      </c>
      <c r="J680" s="1">
        <f t="shared" si="346"/>
        <v>0</v>
      </c>
      <c r="K680" s="1">
        <f t="shared" si="347"/>
        <v>0</v>
      </c>
      <c r="L680" s="1" t="str">
        <f t="shared" si="348"/>
        <v>0</v>
      </c>
      <c r="M680" s="10">
        <f t="shared" si="349"/>
        <v>0</v>
      </c>
      <c r="N680" s="1">
        <f t="shared" si="360"/>
        <v>0</v>
      </c>
      <c r="O680" s="1">
        <f t="shared" si="352"/>
        <v>0</v>
      </c>
      <c r="P680" s="1">
        <f t="shared" si="350"/>
        <v>0</v>
      </c>
      <c r="Q680" s="3" t="str">
        <f t="shared" si="351"/>
        <v/>
      </c>
      <c r="T680" s="13" t="str">
        <f t="shared" si="361"/>
        <v/>
      </c>
      <c r="U680" s="14" t="str">
        <f t="shared" si="362"/>
        <v/>
      </c>
      <c r="V680" s="13" t="str">
        <f t="shared" si="363"/>
        <v/>
      </c>
      <c r="W680" s="13" t="str">
        <f t="shared" si="364"/>
        <v/>
      </c>
      <c r="X680" s="14" t="str">
        <f t="shared" si="365"/>
        <v/>
      </c>
    </row>
    <row r="681" spans="2:24" x14ac:dyDescent="0.3">
      <c r="B681" s="1">
        <f t="shared" si="353"/>
        <v>0</v>
      </c>
      <c r="C681" s="1">
        <f t="shared" si="354"/>
        <v>0</v>
      </c>
      <c r="D681" s="10">
        <f t="shared" si="355"/>
        <v>0</v>
      </c>
      <c r="E681" s="1">
        <f t="shared" si="356"/>
        <v>0</v>
      </c>
      <c r="F681" s="1">
        <f t="shared" si="357"/>
        <v>0</v>
      </c>
      <c r="G681" s="1">
        <f t="shared" si="358"/>
        <v>0</v>
      </c>
      <c r="H681" s="1">
        <f t="shared" si="345"/>
        <v>0</v>
      </c>
      <c r="I681" s="10">
        <f t="shared" si="359"/>
        <v>0</v>
      </c>
      <c r="J681" s="1">
        <f t="shared" si="346"/>
        <v>0</v>
      </c>
      <c r="K681" s="1">
        <f t="shared" si="347"/>
        <v>0</v>
      </c>
      <c r="L681" s="1" t="str">
        <f t="shared" si="348"/>
        <v>0</v>
      </c>
      <c r="M681" s="10">
        <f t="shared" si="349"/>
        <v>0</v>
      </c>
      <c r="N681" s="1">
        <f t="shared" si="360"/>
        <v>0</v>
      </c>
      <c r="O681" s="1">
        <f t="shared" si="352"/>
        <v>0</v>
      </c>
      <c r="P681" s="1">
        <f t="shared" si="350"/>
        <v>0</v>
      </c>
      <c r="Q681" s="3" t="str">
        <f t="shared" si="351"/>
        <v/>
      </c>
      <c r="T681" s="13" t="str">
        <f t="shared" si="361"/>
        <v/>
      </c>
      <c r="U681" s="14" t="str">
        <f t="shared" si="362"/>
        <v/>
      </c>
      <c r="V681" s="13" t="str">
        <f t="shared" si="363"/>
        <v/>
      </c>
      <c r="W681" s="13" t="str">
        <f t="shared" si="364"/>
        <v/>
      </c>
      <c r="X681" s="14" t="str">
        <f t="shared" si="365"/>
        <v/>
      </c>
    </row>
    <row r="682" spans="2:24" x14ac:dyDescent="0.3">
      <c r="B682" s="1">
        <f t="shared" si="353"/>
        <v>0</v>
      </c>
      <c r="C682" s="1">
        <f t="shared" si="354"/>
        <v>0</v>
      </c>
      <c r="D682" s="10">
        <f t="shared" si="355"/>
        <v>0</v>
      </c>
      <c r="E682" s="1">
        <f t="shared" si="356"/>
        <v>0</v>
      </c>
      <c r="F682" s="1">
        <f t="shared" si="357"/>
        <v>0</v>
      </c>
      <c r="G682" s="1">
        <f t="shared" si="358"/>
        <v>0</v>
      </c>
      <c r="H682" s="1">
        <f t="shared" si="345"/>
        <v>0</v>
      </c>
      <c r="I682" s="10">
        <f t="shared" si="359"/>
        <v>0</v>
      </c>
      <c r="J682" s="1">
        <f t="shared" si="346"/>
        <v>0</v>
      </c>
      <c r="K682" s="1">
        <f t="shared" si="347"/>
        <v>0</v>
      </c>
      <c r="L682" s="1" t="str">
        <f t="shared" si="348"/>
        <v>0</v>
      </c>
      <c r="M682" s="10">
        <f t="shared" si="349"/>
        <v>0</v>
      </c>
      <c r="N682" s="1">
        <f t="shared" si="360"/>
        <v>0</v>
      </c>
      <c r="O682" s="1">
        <f t="shared" si="352"/>
        <v>0</v>
      </c>
      <c r="P682" s="1">
        <f t="shared" si="350"/>
        <v>0</v>
      </c>
      <c r="Q682" s="3" t="str">
        <f t="shared" si="351"/>
        <v/>
      </c>
      <c r="T682" s="13" t="str">
        <f t="shared" si="361"/>
        <v/>
      </c>
      <c r="U682" s="14" t="str">
        <f t="shared" si="362"/>
        <v/>
      </c>
      <c r="V682" s="13" t="str">
        <f t="shared" si="363"/>
        <v/>
      </c>
      <c r="W682" s="13" t="str">
        <f t="shared" si="364"/>
        <v/>
      </c>
      <c r="X682" s="14" t="str">
        <f t="shared" si="365"/>
        <v/>
      </c>
    </row>
    <row r="683" spans="2:24" x14ac:dyDescent="0.3">
      <c r="B683" s="1">
        <f t="shared" si="353"/>
        <v>0</v>
      </c>
      <c r="C683" s="1">
        <f t="shared" si="354"/>
        <v>0</v>
      </c>
      <c r="D683" s="10">
        <f t="shared" si="355"/>
        <v>0</v>
      </c>
      <c r="E683" s="1">
        <f t="shared" si="356"/>
        <v>0</v>
      </c>
      <c r="F683" s="1">
        <f t="shared" si="357"/>
        <v>0</v>
      </c>
      <c r="G683" s="1">
        <f t="shared" si="358"/>
        <v>0</v>
      </c>
      <c r="H683" s="1">
        <f t="shared" si="345"/>
        <v>0</v>
      </c>
      <c r="I683" s="10">
        <f t="shared" si="359"/>
        <v>0</v>
      </c>
      <c r="J683" s="1">
        <f t="shared" si="346"/>
        <v>0</v>
      </c>
      <c r="K683" s="1">
        <f t="shared" si="347"/>
        <v>0</v>
      </c>
      <c r="L683" s="1" t="str">
        <f t="shared" si="348"/>
        <v>0</v>
      </c>
      <c r="M683" s="10">
        <f t="shared" si="349"/>
        <v>0</v>
      </c>
      <c r="N683" s="1">
        <f t="shared" si="360"/>
        <v>0</v>
      </c>
      <c r="O683" s="1">
        <f t="shared" si="352"/>
        <v>0</v>
      </c>
      <c r="P683" s="1">
        <f t="shared" si="350"/>
        <v>0</v>
      </c>
      <c r="Q683" s="3" t="str">
        <f t="shared" si="351"/>
        <v/>
      </c>
      <c r="T683" s="13" t="str">
        <f t="shared" si="361"/>
        <v/>
      </c>
      <c r="U683" s="14" t="str">
        <f t="shared" si="362"/>
        <v/>
      </c>
      <c r="V683" s="13" t="str">
        <f t="shared" si="363"/>
        <v/>
      </c>
      <c r="W683" s="13" t="str">
        <f t="shared" si="364"/>
        <v/>
      </c>
      <c r="X683" s="14" t="str">
        <f t="shared" si="365"/>
        <v/>
      </c>
    </row>
    <row r="684" spans="2:24" x14ac:dyDescent="0.3">
      <c r="B684" s="1">
        <f t="shared" si="353"/>
        <v>0</v>
      </c>
      <c r="C684" s="1">
        <f t="shared" si="354"/>
        <v>0</v>
      </c>
      <c r="D684" s="10">
        <f t="shared" si="355"/>
        <v>0</v>
      </c>
      <c r="E684" s="1">
        <f t="shared" si="356"/>
        <v>0</v>
      </c>
      <c r="F684" s="1">
        <f t="shared" si="357"/>
        <v>0</v>
      </c>
      <c r="G684" s="1">
        <f t="shared" si="358"/>
        <v>0</v>
      </c>
      <c r="H684" s="1">
        <f t="shared" si="345"/>
        <v>0</v>
      </c>
      <c r="I684" s="10">
        <f t="shared" si="359"/>
        <v>0</v>
      </c>
      <c r="J684" s="1">
        <f t="shared" si="346"/>
        <v>0</v>
      </c>
      <c r="K684" s="1">
        <f t="shared" si="347"/>
        <v>0</v>
      </c>
      <c r="L684" s="1" t="str">
        <f t="shared" si="348"/>
        <v>0</v>
      </c>
      <c r="M684" s="10">
        <f t="shared" si="349"/>
        <v>0</v>
      </c>
      <c r="N684" s="1">
        <f t="shared" si="360"/>
        <v>0</v>
      </c>
      <c r="O684" s="1">
        <f t="shared" si="352"/>
        <v>0</v>
      </c>
      <c r="P684" s="1">
        <f t="shared" si="350"/>
        <v>0</v>
      </c>
      <c r="Q684" s="3" t="str">
        <f t="shared" si="351"/>
        <v/>
      </c>
      <c r="T684" s="13" t="str">
        <f t="shared" si="361"/>
        <v/>
      </c>
      <c r="U684" s="14" t="str">
        <f t="shared" si="362"/>
        <v/>
      </c>
      <c r="V684" s="13" t="str">
        <f t="shared" si="363"/>
        <v/>
      </c>
      <c r="W684" s="13" t="str">
        <f t="shared" si="364"/>
        <v/>
      </c>
      <c r="X684" s="14" t="str">
        <f t="shared" si="365"/>
        <v/>
      </c>
    </row>
    <row r="685" spans="2:24" x14ac:dyDescent="0.3">
      <c r="B685" s="1">
        <f t="shared" si="353"/>
        <v>0</v>
      </c>
      <c r="C685" s="1">
        <f t="shared" si="354"/>
        <v>0</v>
      </c>
      <c r="D685" s="10">
        <f t="shared" si="355"/>
        <v>0</v>
      </c>
      <c r="E685" s="1">
        <f t="shared" si="356"/>
        <v>0</v>
      </c>
      <c r="F685" s="1">
        <f t="shared" si="357"/>
        <v>0</v>
      </c>
      <c r="G685" s="1">
        <f t="shared" si="358"/>
        <v>0</v>
      </c>
      <c r="H685" s="1">
        <f t="shared" si="345"/>
        <v>0</v>
      </c>
      <c r="I685" s="10">
        <f t="shared" si="359"/>
        <v>0</v>
      </c>
      <c r="J685" s="1">
        <f t="shared" si="346"/>
        <v>0</v>
      </c>
      <c r="K685" s="1">
        <f t="shared" si="347"/>
        <v>0</v>
      </c>
      <c r="L685" s="1" t="str">
        <f t="shared" si="348"/>
        <v>0</v>
      </c>
      <c r="M685" s="10">
        <f t="shared" si="349"/>
        <v>0</v>
      </c>
      <c r="N685" s="1">
        <f t="shared" si="360"/>
        <v>0</v>
      </c>
      <c r="O685" s="1">
        <f t="shared" si="352"/>
        <v>0</v>
      </c>
      <c r="P685" s="1">
        <f t="shared" si="350"/>
        <v>0</v>
      </c>
      <c r="Q685" s="3" t="str">
        <f t="shared" si="351"/>
        <v/>
      </c>
      <c r="T685" s="13" t="str">
        <f t="shared" si="361"/>
        <v/>
      </c>
      <c r="U685" s="14" t="str">
        <f t="shared" si="362"/>
        <v/>
      </c>
      <c r="V685" s="13" t="str">
        <f t="shared" si="363"/>
        <v/>
      </c>
      <c r="W685" s="13" t="str">
        <f t="shared" si="364"/>
        <v/>
      </c>
      <c r="X685" s="14" t="str">
        <f t="shared" si="365"/>
        <v/>
      </c>
    </row>
    <row r="686" spans="2:24" x14ac:dyDescent="0.3">
      <c r="B686" s="1">
        <f t="shared" si="353"/>
        <v>0</v>
      </c>
      <c r="C686" s="1">
        <f t="shared" si="354"/>
        <v>0</v>
      </c>
      <c r="D686" s="10">
        <f t="shared" si="355"/>
        <v>0</v>
      </c>
      <c r="E686" s="1">
        <f t="shared" si="356"/>
        <v>0</v>
      </c>
      <c r="F686" s="1">
        <f t="shared" si="357"/>
        <v>0</v>
      </c>
      <c r="G686" s="1">
        <f t="shared" si="358"/>
        <v>0</v>
      </c>
      <c r="H686" s="1">
        <f t="shared" si="345"/>
        <v>0</v>
      </c>
      <c r="I686" s="10">
        <f t="shared" si="359"/>
        <v>0</v>
      </c>
      <c r="J686" s="1">
        <f t="shared" si="346"/>
        <v>0</v>
      </c>
      <c r="K686" s="1">
        <f t="shared" si="347"/>
        <v>0</v>
      </c>
      <c r="L686" s="1" t="str">
        <f t="shared" si="348"/>
        <v>0</v>
      </c>
      <c r="M686" s="10">
        <f t="shared" si="349"/>
        <v>0</v>
      </c>
      <c r="N686" s="1">
        <f t="shared" si="360"/>
        <v>0</v>
      </c>
      <c r="O686" s="1">
        <f t="shared" si="352"/>
        <v>0</v>
      </c>
      <c r="P686" s="1">
        <f t="shared" si="350"/>
        <v>0</v>
      </c>
      <c r="Q686" s="3" t="str">
        <f t="shared" si="351"/>
        <v/>
      </c>
      <c r="T686" s="13" t="str">
        <f t="shared" si="361"/>
        <v/>
      </c>
      <c r="U686" s="14" t="str">
        <f t="shared" si="362"/>
        <v/>
      </c>
      <c r="V686" s="13" t="str">
        <f t="shared" si="363"/>
        <v/>
      </c>
      <c r="W686" s="13" t="str">
        <f t="shared" si="364"/>
        <v/>
      </c>
      <c r="X686" s="14" t="str">
        <f t="shared" si="365"/>
        <v/>
      </c>
    </row>
    <row r="687" spans="2:24" x14ac:dyDescent="0.3">
      <c r="B687" s="1">
        <f t="shared" si="353"/>
        <v>0</v>
      </c>
      <c r="C687" s="1">
        <f t="shared" si="354"/>
        <v>0</v>
      </c>
      <c r="D687" s="10">
        <f t="shared" si="355"/>
        <v>0</v>
      </c>
      <c r="E687" s="1">
        <f t="shared" si="356"/>
        <v>0</v>
      </c>
      <c r="F687" s="1">
        <f t="shared" si="357"/>
        <v>0</v>
      </c>
      <c r="G687" s="1">
        <f t="shared" si="358"/>
        <v>0</v>
      </c>
      <c r="H687" s="1">
        <f t="shared" si="345"/>
        <v>0</v>
      </c>
      <c r="I687" s="10">
        <f t="shared" si="359"/>
        <v>0</v>
      </c>
      <c r="J687" s="1">
        <f t="shared" si="346"/>
        <v>0</v>
      </c>
      <c r="K687" s="1">
        <f t="shared" si="347"/>
        <v>0</v>
      </c>
      <c r="L687" s="1" t="str">
        <f t="shared" si="348"/>
        <v>0</v>
      </c>
      <c r="M687" s="10">
        <f t="shared" si="349"/>
        <v>0</v>
      </c>
      <c r="N687" s="1">
        <f t="shared" si="360"/>
        <v>0</v>
      </c>
      <c r="O687" s="1">
        <f t="shared" si="352"/>
        <v>0</v>
      </c>
      <c r="P687" s="1">
        <f t="shared" si="350"/>
        <v>0</v>
      </c>
      <c r="Q687" s="3" t="str">
        <f t="shared" si="351"/>
        <v/>
      </c>
      <c r="T687" s="13" t="str">
        <f t="shared" si="361"/>
        <v/>
      </c>
      <c r="U687" s="14" t="str">
        <f t="shared" si="362"/>
        <v/>
      </c>
      <c r="V687" s="13" t="str">
        <f t="shared" si="363"/>
        <v/>
      </c>
      <c r="W687" s="13" t="str">
        <f t="shared" si="364"/>
        <v/>
      </c>
      <c r="X687" s="14" t="str">
        <f t="shared" si="365"/>
        <v/>
      </c>
    </row>
    <row r="688" spans="2:24" x14ac:dyDescent="0.3">
      <c r="B688" s="1">
        <f t="shared" si="353"/>
        <v>0</v>
      </c>
      <c r="C688" s="1">
        <f t="shared" si="354"/>
        <v>0</v>
      </c>
      <c r="D688" s="10">
        <f t="shared" si="355"/>
        <v>0</v>
      </c>
      <c r="E688" s="1">
        <f t="shared" si="356"/>
        <v>0</v>
      </c>
      <c r="F688" s="1">
        <f t="shared" si="357"/>
        <v>0</v>
      </c>
      <c r="G688" s="1">
        <f t="shared" si="358"/>
        <v>0</v>
      </c>
      <c r="H688" s="1">
        <f t="shared" si="345"/>
        <v>0</v>
      </c>
      <c r="I688" s="10">
        <f t="shared" si="359"/>
        <v>0</v>
      </c>
      <c r="J688" s="1">
        <f t="shared" si="346"/>
        <v>0</v>
      </c>
      <c r="K688" s="1">
        <f t="shared" si="347"/>
        <v>0</v>
      </c>
      <c r="L688" s="1" t="str">
        <f t="shared" si="348"/>
        <v>0</v>
      </c>
      <c r="M688" s="10">
        <f t="shared" si="349"/>
        <v>0</v>
      </c>
      <c r="N688" s="1">
        <f t="shared" si="360"/>
        <v>0</v>
      </c>
      <c r="O688" s="1">
        <f t="shared" si="352"/>
        <v>0</v>
      </c>
      <c r="P688" s="1">
        <f t="shared" si="350"/>
        <v>0</v>
      </c>
      <c r="Q688" s="3" t="str">
        <f t="shared" si="351"/>
        <v/>
      </c>
      <c r="T688" s="13" t="str">
        <f t="shared" si="361"/>
        <v/>
      </c>
      <c r="U688" s="14" t="str">
        <f t="shared" si="362"/>
        <v/>
      </c>
      <c r="V688" s="13" t="str">
        <f t="shared" si="363"/>
        <v/>
      </c>
      <c r="W688" s="13" t="str">
        <f t="shared" si="364"/>
        <v/>
      </c>
      <c r="X688" s="14" t="str">
        <f t="shared" si="365"/>
        <v/>
      </c>
    </row>
    <row r="689" spans="2:24" x14ac:dyDescent="0.3">
      <c r="B689" s="1">
        <f t="shared" si="353"/>
        <v>0</v>
      </c>
      <c r="C689" s="1">
        <f t="shared" si="354"/>
        <v>0</v>
      </c>
      <c r="D689" s="10">
        <f t="shared" si="355"/>
        <v>0</v>
      </c>
      <c r="E689" s="1">
        <f t="shared" si="356"/>
        <v>0</v>
      </c>
      <c r="F689" s="1">
        <f t="shared" si="357"/>
        <v>0</v>
      </c>
      <c r="G689" s="1">
        <f t="shared" si="358"/>
        <v>0</v>
      </c>
      <c r="H689" s="1">
        <f t="shared" si="345"/>
        <v>0</v>
      </c>
      <c r="I689" s="10">
        <f t="shared" si="359"/>
        <v>0</v>
      </c>
      <c r="J689" s="1">
        <f t="shared" si="346"/>
        <v>0</v>
      </c>
      <c r="K689" s="1">
        <f t="shared" si="347"/>
        <v>0</v>
      </c>
      <c r="L689" s="1" t="str">
        <f t="shared" si="348"/>
        <v>0</v>
      </c>
      <c r="M689" s="10">
        <f t="shared" si="349"/>
        <v>0</v>
      </c>
      <c r="N689" s="1">
        <f t="shared" si="360"/>
        <v>0</v>
      </c>
      <c r="O689" s="1">
        <f t="shared" si="352"/>
        <v>0</v>
      </c>
      <c r="P689" s="1">
        <f t="shared" si="350"/>
        <v>0</v>
      </c>
      <c r="Q689" s="3" t="str">
        <f t="shared" si="351"/>
        <v/>
      </c>
      <c r="T689" s="13" t="str">
        <f t="shared" si="361"/>
        <v/>
      </c>
      <c r="U689" s="14" t="str">
        <f t="shared" si="362"/>
        <v/>
      </c>
      <c r="V689" s="13" t="str">
        <f t="shared" si="363"/>
        <v/>
      </c>
      <c r="W689" s="13" t="str">
        <f t="shared" si="364"/>
        <v/>
      </c>
      <c r="X689" s="14" t="str">
        <f t="shared" si="365"/>
        <v/>
      </c>
    </row>
    <row r="690" spans="2:24" x14ac:dyDescent="0.3">
      <c r="B690" s="1">
        <f t="shared" si="353"/>
        <v>0</v>
      </c>
      <c r="C690" s="1">
        <f t="shared" si="354"/>
        <v>0</v>
      </c>
      <c r="D690" s="10">
        <f t="shared" si="355"/>
        <v>0</v>
      </c>
      <c r="E690" s="1">
        <f t="shared" si="356"/>
        <v>0</v>
      </c>
      <c r="F690" s="1">
        <f t="shared" si="357"/>
        <v>0</v>
      </c>
      <c r="G690" s="1">
        <f t="shared" si="358"/>
        <v>0</v>
      </c>
      <c r="H690" s="1">
        <f t="shared" si="345"/>
        <v>0</v>
      </c>
      <c r="I690" s="10">
        <f t="shared" si="359"/>
        <v>0</v>
      </c>
      <c r="J690" s="1">
        <f t="shared" si="346"/>
        <v>0</v>
      </c>
      <c r="K690" s="1">
        <f t="shared" si="347"/>
        <v>0</v>
      </c>
      <c r="L690" s="1" t="str">
        <f t="shared" si="348"/>
        <v>0</v>
      </c>
      <c r="M690" s="10">
        <f t="shared" si="349"/>
        <v>0</v>
      </c>
      <c r="N690" s="1">
        <f t="shared" si="360"/>
        <v>0</v>
      </c>
      <c r="O690" s="1">
        <f t="shared" si="352"/>
        <v>0</v>
      </c>
      <c r="P690" s="1">
        <f t="shared" si="350"/>
        <v>0</v>
      </c>
      <c r="Q690" s="3" t="str">
        <f t="shared" si="351"/>
        <v/>
      </c>
      <c r="T690" s="13" t="str">
        <f t="shared" si="361"/>
        <v/>
      </c>
      <c r="U690" s="14" t="str">
        <f t="shared" si="362"/>
        <v/>
      </c>
      <c r="V690" s="13" t="str">
        <f t="shared" si="363"/>
        <v/>
      </c>
      <c r="W690" s="13" t="str">
        <f t="shared" si="364"/>
        <v/>
      </c>
      <c r="X690" s="14" t="str">
        <f t="shared" si="365"/>
        <v/>
      </c>
    </row>
    <row r="691" spans="2:24" x14ac:dyDescent="0.3">
      <c r="B691" s="1">
        <f t="shared" si="353"/>
        <v>0</v>
      </c>
      <c r="C691" s="1">
        <f t="shared" si="354"/>
        <v>0</v>
      </c>
      <c r="D691" s="10">
        <f t="shared" si="355"/>
        <v>0</v>
      </c>
      <c r="E691" s="1">
        <f t="shared" si="356"/>
        <v>0</v>
      </c>
      <c r="F691" s="1">
        <f t="shared" si="357"/>
        <v>0</v>
      </c>
      <c r="G691" s="1">
        <f t="shared" si="358"/>
        <v>0</v>
      </c>
      <c r="H691" s="1">
        <f t="shared" si="345"/>
        <v>0</v>
      </c>
      <c r="I691" s="10">
        <f t="shared" si="359"/>
        <v>0</v>
      </c>
      <c r="J691" s="1">
        <f t="shared" si="346"/>
        <v>0</v>
      </c>
      <c r="K691" s="1">
        <f t="shared" si="347"/>
        <v>0</v>
      </c>
      <c r="L691" s="1" t="str">
        <f t="shared" si="348"/>
        <v>0</v>
      </c>
      <c r="M691" s="10">
        <f t="shared" si="349"/>
        <v>0</v>
      </c>
      <c r="N691" s="1">
        <f t="shared" si="360"/>
        <v>0</v>
      </c>
      <c r="O691" s="1">
        <f t="shared" si="352"/>
        <v>0</v>
      </c>
      <c r="P691" s="1">
        <f t="shared" si="350"/>
        <v>0</v>
      </c>
      <c r="Q691" s="3" t="str">
        <f t="shared" si="351"/>
        <v/>
      </c>
      <c r="T691" s="13" t="str">
        <f t="shared" si="361"/>
        <v/>
      </c>
      <c r="U691" s="14" t="str">
        <f t="shared" si="362"/>
        <v/>
      </c>
      <c r="V691" s="13" t="str">
        <f t="shared" si="363"/>
        <v/>
      </c>
      <c r="W691" s="13" t="str">
        <f t="shared" si="364"/>
        <v/>
      </c>
      <c r="X691" s="14" t="str">
        <f t="shared" si="365"/>
        <v/>
      </c>
    </row>
    <row r="692" spans="2:24" x14ac:dyDescent="0.3">
      <c r="B692" s="1">
        <f t="shared" si="353"/>
        <v>0</v>
      </c>
      <c r="C692" s="1">
        <f t="shared" si="354"/>
        <v>0</v>
      </c>
      <c r="D692" s="10">
        <f t="shared" si="355"/>
        <v>0</v>
      </c>
      <c r="E692" s="1">
        <f t="shared" si="356"/>
        <v>0</v>
      </c>
      <c r="F692" s="1">
        <f t="shared" si="357"/>
        <v>0</v>
      </c>
      <c r="G692" s="1">
        <f t="shared" si="358"/>
        <v>0</v>
      </c>
      <c r="H692" s="1">
        <f t="shared" si="345"/>
        <v>0</v>
      </c>
      <c r="I692" s="10">
        <f t="shared" si="359"/>
        <v>0</v>
      </c>
      <c r="J692" s="1">
        <f t="shared" si="346"/>
        <v>0</v>
      </c>
      <c r="K692" s="1">
        <f t="shared" si="347"/>
        <v>0</v>
      </c>
      <c r="L692" s="1" t="str">
        <f t="shared" si="348"/>
        <v>0</v>
      </c>
      <c r="M692" s="10">
        <f t="shared" si="349"/>
        <v>0</v>
      </c>
      <c r="N692" s="1">
        <f t="shared" si="360"/>
        <v>0</v>
      </c>
      <c r="O692" s="1">
        <f t="shared" si="352"/>
        <v>0</v>
      </c>
      <c r="P692" s="1">
        <f t="shared" si="350"/>
        <v>0</v>
      </c>
      <c r="Q692" s="3" t="str">
        <f t="shared" si="351"/>
        <v/>
      </c>
      <c r="T692" s="13" t="str">
        <f t="shared" si="361"/>
        <v/>
      </c>
      <c r="U692" s="14" t="str">
        <f t="shared" si="362"/>
        <v/>
      </c>
      <c r="V692" s="13" t="str">
        <f t="shared" si="363"/>
        <v/>
      </c>
      <c r="W692" s="13" t="str">
        <f t="shared" si="364"/>
        <v/>
      </c>
      <c r="X692" s="14" t="str">
        <f t="shared" si="365"/>
        <v/>
      </c>
    </row>
    <row r="693" spans="2:24" x14ac:dyDescent="0.3">
      <c r="B693" s="1">
        <f t="shared" si="353"/>
        <v>0</v>
      </c>
      <c r="C693" s="1">
        <f t="shared" si="354"/>
        <v>0</v>
      </c>
      <c r="D693" s="10">
        <f t="shared" si="355"/>
        <v>0</v>
      </c>
      <c r="E693" s="1">
        <f t="shared" si="356"/>
        <v>0</v>
      </c>
      <c r="F693" s="1">
        <f t="shared" si="357"/>
        <v>0</v>
      </c>
      <c r="G693" s="1">
        <f t="shared" si="358"/>
        <v>0</v>
      </c>
      <c r="H693" s="1">
        <f t="shared" ref="H693:H756" si="366">IF(AND(F693&gt;0,F693&lt;G693),F693,G693)</f>
        <v>0</v>
      </c>
      <c r="I693" s="10">
        <f t="shared" si="359"/>
        <v>0</v>
      </c>
      <c r="J693" s="1">
        <f t="shared" ref="J693:J756" si="367">IF(AND(F693&gt;0,F693&lt;G693),FIND("=",A693,F693)+1,0)</f>
        <v>0</v>
      </c>
      <c r="K693" s="1">
        <f t="shared" ref="K693:K756" si="368">IF(J693&gt;0,MID(A693,J693,G693-J693),0)</f>
        <v>0</v>
      </c>
      <c r="L693" s="1" t="str">
        <f t="shared" ref="L693:L756" si="369">IFERROR(RIGHT(K693,LEN(K693)-FIND("0x",K693)-1),DEC2HEX(K693))</f>
        <v>0</v>
      </c>
      <c r="M693" s="10">
        <f t="shared" ref="M693:M756" si="370">HEX2DEC(L693)</f>
        <v>0</v>
      </c>
      <c r="N693" s="1">
        <f t="shared" si="360"/>
        <v>0</v>
      </c>
      <c r="O693" s="1">
        <f t="shared" si="352"/>
        <v>0</v>
      </c>
      <c r="P693" s="1">
        <f t="shared" ref="P693:P756" si="371">IFERROR(FIND("*/",$A693,N693+1),0)</f>
        <v>0</v>
      </c>
      <c r="Q693" s="3" t="str">
        <f t="shared" si="351"/>
        <v/>
      </c>
      <c r="T693" s="13" t="str">
        <f t="shared" si="361"/>
        <v/>
      </c>
      <c r="U693" s="14" t="str">
        <f t="shared" si="362"/>
        <v/>
      </c>
      <c r="V693" s="13" t="str">
        <f t="shared" si="363"/>
        <v/>
      </c>
      <c r="W693" s="13" t="str">
        <f t="shared" si="364"/>
        <v/>
      </c>
      <c r="X693" s="14" t="str">
        <f t="shared" si="365"/>
        <v/>
      </c>
    </row>
    <row r="694" spans="2:24" x14ac:dyDescent="0.3">
      <c r="B694" s="1">
        <f t="shared" si="353"/>
        <v>0</v>
      </c>
      <c r="C694" s="1">
        <f t="shared" si="354"/>
        <v>0</v>
      </c>
      <c r="D694" s="10">
        <f t="shared" si="355"/>
        <v>0</v>
      </c>
      <c r="E694" s="1">
        <f t="shared" si="356"/>
        <v>0</v>
      </c>
      <c r="F694" s="1">
        <f t="shared" si="357"/>
        <v>0</v>
      </c>
      <c r="G694" s="1">
        <f t="shared" si="358"/>
        <v>0</v>
      </c>
      <c r="H694" s="1">
        <f t="shared" si="366"/>
        <v>0</v>
      </c>
      <c r="I694" s="10">
        <f t="shared" si="359"/>
        <v>0</v>
      </c>
      <c r="J694" s="1">
        <f t="shared" si="367"/>
        <v>0</v>
      </c>
      <c r="K694" s="1">
        <f t="shared" si="368"/>
        <v>0</v>
      </c>
      <c r="L694" s="1" t="str">
        <f t="shared" si="369"/>
        <v>0</v>
      </c>
      <c r="M694" s="10">
        <f t="shared" si="370"/>
        <v>0</v>
      </c>
      <c r="N694" s="1">
        <f t="shared" si="360"/>
        <v>0</v>
      </c>
      <c r="O694" s="1">
        <f t="shared" si="352"/>
        <v>0</v>
      </c>
      <c r="P694" s="1">
        <f t="shared" si="371"/>
        <v>0</v>
      </c>
      <c r="Q694" s="3" t="str">
        <f t="shared" si="351"/>
        <v/>
      </c>
      <c r="T694" s="13" t="str">
        <f t="shared" si="361"/>
        <v/>
      </c>
      <c r="U694" s="14" t="str">
        <f t="shared" si="362"/>
        <v/>
      </c>
      <c r="V694" s="13" t="str">
        <f t="shared" si="363"/>
        <v/>
      </c>
      <c r="W694" s="13" t="str">
        <f t="shared" si="364"/>
        <v/>
      </c>
      <c r="X694" s="14" t="str">
        <f t="shared" si="365"/>
        <v/>
      </c>
    </row>
    <row r="695" spans="2:24" x14ac:dyDescent="0.3">
      <c r="B695" s="1">
        <f t="shared" si="353"/>
        <v>0</v>
      </c>
      <c r="C695" s="1">
        <f t="shared" si="354"/>
        <v>0</v>
      </c>
      <c r="D695" s="10">
        <f t="shared" si="355"/>
        <v>0</v>
      </c>
      <c r="E695" s="1">
        <f t="shared" si="356"/>
        <v>0</v>
      </c>
      <c r="F695" s="1">
        <f t="shared" si="357"/>
        <v>0</v>
      </c>
      <c r="G695" s="1">
        <f t="shared" si="358"/>
        <v>0</v>
      </c>
      <c r="H695" s="1">
        <f t="shared" si="366"/>
        <v>0</v>
      </c>
      <c r="I695" s="10">
        <f t="shared" si="359"/>
        <v>0</v>
      </c>
      <c r="J695" s="1">
        <f t="shared" si="367"/>
        <v>0</v>
      </c>
      <c r="K695" s="1">
        <f t="shared" si="368"/>
        <v>0</v>
      </c>
      <c r="L695" s="1" t="str">
        <f t="shared" si="369"/>
        <v>0</v>
      </c>
      <c r="M695" s="10">
        <f t="shared" si="370"/>
        <v>0</v>
      </c>
      <c r="N695" s="1">
        <f t="shared" si="360"/>
        <v>0</v>
      </c>
      <c r="O695" s="1">
        <f t="shared" si="352"/>
        <v>0</v>
      </c>
      <c r="P695" s="1">
        <f t="shared" si="371"/>
        <v>0</v>
      </c>
      <c r="Q695" s="3" t="str">
        <f t="shared" si="351"/>
        <v/>
      </c>
      <c r="T695" s="13" t="str">
        <f t="shared" si="361"/>
        <v/>
      </c>
      <c r="U695" s="14" t="str">
        <f t="shared" si="362"/>
        <v/>
      </c>
      <c r="V695" s="13" t="str">
        <f t="shared" si="363"/>
        <v/>
      </c>
      <c r="W695" s="13" t="str">
        <f t="shared" si="364"/>
        <v/>
      </c>
      <c r="X695" s="14" t="str">
        <f t="shared" si="365"/>
        <v/>
      </c>
    </row>
    <row r="696" spans="2:24" x14ac:dyDescent="0.3">
      <c r="B696" s="1">
        <f t="shared" si="353"/>
        <v>0</v>
      </c>
      <c r="C696" s="1">
        <f t="shared" si="354"/>
        <v>0</v>
      </c>
      <c r="D696" s="10">
        <f t="shared" si="355"/>
        <v>0</v>
      </c>
      <c r="E696" s="1">
        <f t="shared" si="356"/>
        <v>0</v>
      </c>
      <c r="F696" s="1">
        <f t="shared" si="357"/>
        <v>0</v>
      </c>
      <c r="G696" s="1">
        <f t="shared" si="358"/>
        <v>0</v>
      </c>
      <c r="H696" s="1">
        <f t="shared" si="366"/>
        <v>0</v>
      </c>
      <c r="I696" s="10">
        <f t="shared" si="359"/>
        <v>0</v>
      </c>
      <c r="J696" s="1">
        <f t="shared" si="367"/>
        <v>0</v>
      </c>
      <c r="K696" s="1">
        <f t="shared" si="368"/>
        <v>0</v>
      </c>
      <c r="L696" s="1" t="str">
        <f t="shared" si="369"/>
        <v>0</v>
      </c>
      <c r="M696" s="10">
        <f t="shared" si="370"/>
        <v>0</v>
      </c>
      <c r="N696" s="1">
        <f t="shared" si="360"/>
        <v>0</v>
      </c>
      <c r="O696" s="1">
        <f t="shared" si="352"/>
        <v>0</v>
      </c>
      <c r="P696" s="1">
        <f t="shared" si="371"/>
        <v>0</v>
      </c>
      <c r="Q696" s="3" t="str">
        <f t="shared" si="351"/>
        <v/>
      </c>
      <c r="T696" s="13" t="str">
        <f t="shared" si="361"/>
        <v/>
      </c>
      <c r="U696" s="14" t="str">
        <f t="shared" si="362"/>
        <v/>
      </c>
      <c r="V696" s="13" t="str">
        <f t="shared" si="363"/>
        <v/>
      </c>
      <c r="W696" s="13" t="str">
        <f t="shared" si="364"/>
        <v/>
      </c>
      <c r="X696" s="14" t="str">
        <f t="shared" si="365"/>
        <v/>
      </c>
    </row>
    <row r="697" spans="2:24" x14ac:dyDescent="0.3">
      <c r="B697" s="1">
        <f t="shared" si="353"/>
        <v>0</v>
      </c>
      <c r="C697" s="1">
        <f t="shared" si="354"/>
        <v>0</v>
      </c>
      <c r="D697" s="10">
        <f t="shared" si="355"/>
        <v>0</v>
      </c>
      <c r="E697" s="1">
        <f t="shared" si="356"/>
        <v>0</v>
      </c>
      <c r="F697" s="1">
        <f t="shared" si="357"/>
        <v>0</v>
      </c>
      <c r="G697" s="1">
        <f t="shared" si="358"/>
        <v>0</v>
      </c>
      <c r="H697" s="1">
        <f t="shared" si="366"/>
        <v>0</v>
      </c>
      <c r="I697" s="10">
        <f t="shared" si="359"/>
        <v>0</v>
      </c>
      <c r="J697" s="1">
        <f t="shared" si="367"/>
        <v>0</v>
      </c>
      <c r="K697" s="1">
        <f t="shared" si="368"/>
        <v>0</v>
      </c>
      <c r="L697" s="1" t="str">
        <f t="shared" si="369"/>
        <v>0</v>
      </c>
      <c r="M697" s="10">
        <f t="shared" si="370"/>
        <v>0</v>
      </c>
      <c r="N697" s="1">
        <f t="shared" si="360"/>
        <v>0</v>
      </c>
      <c r="O697" s="1">
        <f t="shared" si="352"/>
        <v>0</v>
      </c>
      <c r="P697" s="1">
        <f t="shared" si="371"/>
        <v>0</v>
      </c>
      <c r="Q697" s="3" t="str">
        <f t="shared" si="351"/>
        <v/>
      </c>
      <c r="T697" s="13" t="str">
        <f t="shared" si="361"/>
        <v/>
      </c>
      <c r="U697" s="14" t="str">
        <f t="shared" si="362"/>
        <v/>
      </c>
      <c r="V697" s="13" t="str">
        <f t="shared" si="363"/>
        <v/>
      </c>
      <c r="W697" s="13" t="str">
        <f t="shared" si="364"/>
        <v/>
      </c>
      <c r="X697" s="14" t="str">
        <f t="shared" si="365"/>
        <v/>
      </c>
    </row>
    <row r="698" spans="2:24" x14ac:dyDescent="0.3">
      <c r="B698" s="1">
        <f t="shared" si="353"/>
        <v>0</v>
      </c>
      <c r="C698" s="1">
        <f t="shared" si="354"/>
        <v>0</v>
      </c>
      <c r="D698" s="10">
        <f t="shared" si="355"/>
        <v>0</v>
      </c>
      <c r="E698" s="1">
        <f t="shared" si="356"/>
        <v>0</v>
      </c>
      <c r="F698" s="1">
        <f t="shared" si="357"/>
        <v>0</v>
      </c>
      <c r="G698" s="1">
        <f t="shared" si="358"/>
        <v>0</v>
      </c>
      <c r="H698" s="1">
        <f t="shared" si="366"/>
        <v>0</v>
      </c>
      <c r="I698" s="10">
        <f t="shared" si="359"/>
        <v>0</v>
      </c>
      <c r="J698" s="1">
        <f t="shared" si="367"/>
        <v>0</v>
      </c>
      <c r="K698" s="1">
        <f t="shared" si="368"/>
        <v>0</v>
      </c>
      <c r="L698" s="1" t="str">
        <f t="shared" si="369"/>
        <v>0</v>
      </c>
      <c r="M698" s="10">
        <f t="shared" si="370"/>
        <v>0</v>
      </c>
      <c r="N698" s="1">
        <f t="shared" si="360"/>
        <v>0</v>
      </c>
      <c r="O698" s="1">
        <f t="shared" si="352"/>
        <v>0</v>
      </c>
      <c r="P698" s="1">
        <f t="shared" si="371"/>
        <v>0</v>
      </c>
      <c r="Q698" s="3" t="str">
        <f t="shared" si="351"/>
        <v/>
      </c>
      <c r="T698" s="13" t="str">
        <f t="shared" si="361"/>
        <v/>
      </c>
      <c r="U698" s="14" t="str">
        <f t="shared" si="362"/>
        <v/>
      </c>
      <c r="V698" s="13" t="str">
        <f t="shared" si="363"/>
        <v/>
      </c>
      <c r="W698" s="13" t="str">
        <f t="shared" si="364"/>
        <v/>
      </c>
      <c r="X698" s="14" t="str">
        <f t="shared" si="365"/>
        <v/>
      </c>
    </row>
    <row r="699" spans="2:24" x14ac:dyDescent="0.3">
      <c r="B699" s="1">
        <f t="shared" si="353"/>
        <v>0</v>
      </c>
      <c r="C699" s="1">
        <f t="shared" si="354"/>
        <v>0</v>
      </c>
      <c r="D699" s="10">
        <f t="shared" si="355"/>
        <v>0</v>
      </c>
      <c r="E699" s="1">
        <f t="shared" si="356"/>
        <v>0</v>
      </c>
      <c r="F699" s="1">
        <f t="shared" si="357"/>
        <v>0</v>
      </c>
      <c r="G699" s="1">
        <f t="shared" si="358"/>
        <v>0</v>
      </c>
      <c r="H699" s="1">
        <f t="shared" si="366"/>
        <v>0</v>
      </c>
      <c r="I699" s="10">
        <f t="shared" si="359"/>
        <v>0</v>
      </c>
      <c r="J699" s="1">
        <f t="shared" si="367"/>
        <v>0</v>
      </c>
      <c r="K699" s="1">
        <f t="shared" si="368"/>
        <v>0</v>
      </c>
      <c r="L699" s="1" t="str">
        <f t="shared" si="369"/>
        <v>0</v>
      </c>
      <c r="M699" s="10">
        <f t="shared" si="370"/>
        <v>0</v>
      </c>
      <c r="N699" s="1">
        <f t="shared" si="360"/>
        <v>0</v>
      </c>
      <c r="O699" s="1">
        <f t="shared" si="352"/>
        <v>0</v>
      </c>
      <c r="P699" s="1">
        <f t="shared" si="371"/>
        <v>0</v>
      </c>
      <c r="Q699" s="3" t="str">
        <f t="shared" si="351"/>
        <v/>
      </c>
      <c r="T699" s="13" t="str">
        <f t="shared" si="361"/>
        <v/>
      </c>
      <c r="U699" s="14" t="str">
        <f t="shared" si="362"/>
        <v/>
      </c>
      <c r="V699" s="13" t="str">
        <f t="shared" si="363"/>
        <v/>
      </c>
      <c r="W699" s="13" t="str">
        <f t="shared" si="364"/>
        <v/>
      </c>
      <c r="X699" s="14" t="str">
        <f t="shared" si="365"/>
        <v/>
      </c>
    </row>
    <row r="700" spans="2:24" x14ac:dyDescent="0.3">
      <c r="B700" s="1">
        <f t="shared" si="353"/>
        <v>0</v>
      </c>
      <c r="C700" s="1">
        <f t="shared" si="354"/>
        <v>0</v>
      </c>
      <c r="D700" s="10">
        <f t="shared" si="355"/>
        <v>0</v>
      </c>
      <c r="E700" s="1">
        <f t="shared" si="356"/>
        <v>0</v>
      </c>
      <c r="F700" s="1">
        <f t="shared" si="357"/>
        <v>0</v>
      </c>
      <c r="G700" s="1">
        <f t="shared" si="358"/>
        <v>0</v>
      </c>
      <c r="H700" s="1">
        <f t="shared" si="366"/>
        <v>0</v>
      </c>
      <c r="I700" s="10">
        <f t="shared" si="359"/>
        <v>0</v>
      </c>
      <c r="J700" s="1">
        <f t="shared" si="367"/>
        <v>0</v>
      </c>
      <c r="K700" s="1">
        <f t="shared" si="368"/>
        <v>0</v>
      </c>
      <c r="L700" s="1" t="str">
        <f t="shared" si="369"/>
        <v>0</v>
      </c>
      <c r="M700" s="10">
        <f t="shared" si="370"/>
        <v>0</v>
      </c>
      <c r="N700" s="1">
        <f t="shared" si="360"/>
        <v>0</v>
      </c>
      <c r="O700" s="1">
        <f t="shared" si="352"/>
        <v>0</v>
      </c>
      <c r="P700" s="1">
        <f t="shared" si="371"/>
        <v>0</v>
      </c>
      <c r="Q700" s="3" t="str">
        <f t="shared" si="351"/>
        <v/>
      </c>
      <c r="T700" s="13" t="str">
        <f t="shared" si="361"/>
        <v/>
      </c>
      <c r="U700" s="14" t="str">
        <f t="shared" si="362"/>
        <v/>
      </c>
      <c r="V700" s="13" t="str">
        <f t="shared" si="363"/>
        <v/>
      </c>
      <c r="W700" s="13" t="str">
        <f t="shared" si="364"/>
        <v/>
      </c>
      <c r="X700" s="14" t="str">
        <f t="shared" si="365"/>
        <v/>
      </c>
    </row>
    <row r="701" spans="2:24" x14ac:dyDescent="0.3">
      <c r="B701" s="1">
        <f t="shared" si="353"/>
        <v>0</v>
      </c>
      <c r="C701" s="1">
        <f t="shared" si="354"/>
        <v>0</v>
      </c>
      <c r="D701" s="10">
        <f t="shared" si="355"/>
        <v>0</v>
      </c>
      <c r="E701" s="1">
        <f t="shared" si="356"/>
        <v>0</v>
      </c>
      <c r="F701" s="1">
        <f t="shared" si="357"/>
        <v>0</v>
      </c>
      <c r="G701" s="1">
        <f t="shared" si="358"/>
        <v>0</v>
      </c>
      <c r="H701" s="1">
        <f t="shared" si="366"/>
        <v>0</v>
      </c>
      <c r="I701" s="10">
        <f t="shared" si="359"/>
        <v>0</v>
      </c>
      <c r="J701" s="1">
        <f t="shared" si="367"/>
        <v>0</v>
      </c>
      <c r="K701" s="1">
        <f t="shared" si="368"/>
        <v>0</v>
      </c>
      <c r="L701" s="1" t="str">
        <f t="shared" si="369"/>
        <v>0</v>
      </c>
      <c r="M701" s="10">
        <f t="shared" si="370"/>
        <v>0</v>
      </c>
      <c r="N701" s="1">
        <f t="shared" si="360"/>
        <v>0</v>
      </c>
      <c r="O701" s="1">
        <f t="shared" si="352"/>
        <v>0</v>
      </c>
      <c r="P701" s="1">
        <f t="shared" si="371"/>
        <v>0</v>
      </c>
      <c r="Q701" s="3" t="str">
        <f t="shared" si="351"/>
        <v/>
      </c>
      <c r="T701" s="13" t="str">
        <f t="shared" si="361"/>
        <v/>
      </c>
      <c r="U701" s="14" t="str">
        <f t="shared" si="362"/>
        <v/>
      </c>
      <c r="V701" s="13" t="str">
        <f t="shared" si="363"/>
        <v/>
      </c>
      <c r="W701" s="13" t="str">
        <f t="shared" si="364"/>
        <v/>
      </c>
      <c r="X701" s="14" t="str">
        <f t="shared" si="365"/>
        <v/>
      </c>
    </row>
    <row r="702" spans="2:24" x14ac:dyDescent="0.3">
      <c r="B702" s="1">
        <f t="shared" si="353"/>
        <v>0</v>
      </c>
      <c r="C702" s="1">
        <f t="shared" si="354"/>
        <v>0</v>
      </c>
      <c r="D702" s="10">
        <f t="shared" si="355"/>
        <v>0</v>
      </c>
      <c r="E702" s="1">
        <f t="shared" si="356"/>
        <v>0</v>
      </c>
      <c r="F702" s="1">
        <f t="shared" si="357"/>
        <v>0</v>
      </c>
      <c r="G702" s="1">
        <f t="shared" si="358"/>
        <v>0</v>
      </c>
      <c r="H702" s="1">
        <f t="shared" si="366"/>
        <v>0</v>
      </c>
      <c r="I702" s="10">
        <f t="shared" si="359"/>
        <v>0</v>
      </c>
      <c r="J702" s="1">
        <f t="shared" si="367"/>
        <v>0</v>
      </c>
      <c r="K702" s="1">
        <f t="shared" si="368"/>
        <v>0</v>
      </c>
      <c r="L702" s="1" t="str">
        <f t="shared" si="369"/>
        <v>0</v>
      </c>
      <c r="M702" s="10">
        <f t="shared" si="370"/>
        <v>0</v>
      </c>
      <c r="N702" s="1">
        <f t="shared" si="360"/>
        <v>0</v>
      </c>
      <c r="O702" s="1">
        <f t="shared" si="352"/>
        <v>0</v>
      </c>
      <c r="P702" s="1">
        <f t="shared" si="371"/>
        <v>0</v>
      </c>
      <c r="Q702" s="3" t="str">
        <f t="shared" si="351"/>
        <v/>
      </c>
      <c r="T702" s="13" t="str">
        <f t="shared" si="361"/>
        <v/>
      </c>
      <c r="U702" s="14" t="str">
        <f t="shared" si="362"/>
        <v/>
      </c>
      <c r="V702" s="13" t="str">
        <f t="shared" si="363"/>
        <v/>
      </c>
      <c r="W702" s="13" t="str">
        <f t="shared" si="364"/>
        <v/>
      </c>
      <c r="X702" s="14" t="str">
        <f t="shared" si="365"/>
        <v/>
      </c>
    </row>
    <row r="703" spans="2:24" x14ac:dyDescent="0.3">
      <c r="B703" s="1">
        <f t="shared" si="353"/>
        <v>0</v>
      </c>
      <c r="C703" s="1">
        <f t="shared" si="354"/>
        <v>0</v>
      </c>
      <c r="D703" s="10">
        <f t="shared" si="355"/>
        <v>0</v>
      </c>
      <c r="E703" s="1">
        <f t="shared" si="356"/>
        <v>0</v>
      </c>
      <c r="F703" s="1">
        <f t="shared" si="357"/>
        <v>0</v>
      </c>
      <c r="G703" s="1">
        <f t="shared" si="358"/>
        <v>0</v>
      </c>
      <c r="H703" s="1">
        <f t="shared" si="366"/>
        <v>0</v>
      </c>
      <c r="I703" s="10">
        <f t="shared" si="359"/>
        <v>0</v>
      </c>
      <c r="J703" s="1">
        <f t="shared" si="367"/>
        <v>0</v>
      </c>
      <c r="K703" s="1">
        <f t="shared" si="368"/>
        <v>0</v>
      </c>
      <c r="L703" s="1" t="str">
        <f t="shared" si="369"/>
        <v>0</v>
      </c>
      <c r="M703" s="10">
        <f t="shared" si="370"/>
        <v>0</v>
      </c>
      <c r="N703" s="1">
        <f t="shared" si="360"/>
        <v>0</v>
      </c>
      <c r="O703" s="1">
        <f t="shared" si="352"/>
        <v>0</v>
      </c>
      <c r="P703" s="1">
        <f t="shared" si="371"/>
        <v>0</v>
      </c>
      <c r="Q703" s="3" t="str">
        <f t="shared" si="351"/>
        <v/>
      </c>
      <c r="T703" s="13" t="str">
        <f t="shared" si="361"/>
        <v/>
      </c>
      <c r="U703" s="14" t="str">
        <f t="shared" si="362"/>
        <v/>
      </c>
      <c r="V703" s="13" t="str">
        <f t="shared" si="363"/>
        <v/>
      </c>
      <c r="W703" s="13" t="str">
        <f t="shared" si="364"/>
        <v/>
      </c>
      <c r="X703" s="14" t="str">
        <f t="shared" si="365"/>
        <v/>
      </c>
    </row>
    <row r="704" spans="2:24" x14ac:dyDescent="0.3">
      <c r="B704" s="1">
        <f t="shared" si="353"/>
        <v>0</v>
      </c>
      <c r="C704" s="1">
        <f t="shared" si="354"/>
        <v>0</v>
      </c>
      <c r="D704" s="10">
        <f t="shared" si="355"/>
        <v>0</v>
      </c>
      <c r="E704" s="1">
        <f t="shared" si="356"/>
        <v>0</v>
      </c>
      <c r="F704" s="1">
        <f t="shared" si="357"/>
        <v>0</v>
      </c>
      <c r="G704" s="1">
        <f t="shared" si="358"/>
        <v>0</v>
      </c>
      <c r="H704" s="1">
        <f t="shared" si="366"/>
        <v>0</v>
      </c>
      <c r="I704" s="10">
        <f t="shared" si="359"/>
        <v>0</v>
      </c>
      <c r="J704" s="1">
        <f t="shared" si="367"/>
        <v>0</v>
      </c>
      <c r="K704" s="1">
        <f t="shared" si="368"/>
        <v>0</v>
      </c>
      <c r="L704" s="1" t="str">
        <f t="shared" si="369"/>
        <v>0</v>
      </c>
      <c r="M704" s="10">
        <f t="shared" si="370"/>
        <v>0</v>
      </c>
      <c r="N704" s="1">
        <f t="shared" si="360"/>
        <v>0</v>
      </c>
      <c r="O704" s="1">
        <f t="shared" si="352"/>
        <v>0</v>
      </c>
      <c r="P704" s="1">
        <f t="shared" si="371"/>
        <v>0</v>
      </c>
      <c r="Q704" s="3" t="str">
        <f t="shared" si="351"/>
        <v/>
      </c>
      <c r="T704" s="13" t="str">
        <f t="shared" si="361"/>
        <v/>
      </c>
      <c r="U704" s="14" t="str">
        <f t="shared" si="362"/>
        <v/>
      </c>
      <c r="V704" s="13" t="str">
        <f t="shared" si="363"/>
        <v/>
      </c>
      <c r="W704" s="13" t="str">
        <f t="shared" si="364"/>
        <v/>
      </c>
      <c r="X704" s="14" t="str">
        <f t="shared" si="365"/>
        <v/>
      </c>
    </row>
    <row r="705" spans="2:24" x14ac:dyDescent="0.3">
      <c r="B705" s="1">
        <f t="shared" si="353"/>
        <v>0</v>
      </c>
      <c r="C705" s="1">
        <f t="shared" si="354"/>
        <v>0</v>
      </c>
      <c r="D705" s="10">
        <f t="shared" si="355"/>
        <v>0</v>
      </c>
      <c r="E705" s="1">
        <f t="shared" si="356"/>
        <v>0</v>
      </c>
      <c r="F705" s="1">
        <f t="shared" si="357"/>
        <v>0</v>
      </c>
      <c r="G705" s="1">
        <f t="shared" si="358"/>
        <v>0</v>
      </c>
      <c r="H705" s="1">
        <f t="shared" si="366"/>
        <v>0</v>
      </c>
      <c r="I705" s="10">
        <f t="shared" si="359"/>
        <v>0</v>
      </c>
      <c r="J705" s="1">
        <f t="shared" si="367"/>
        <v>0</v>
      </c>
      <c r="K705" s="1">
        <f t="shared" si="368"/>
        <v>0</v>
      </c>
      <c r="L705" s="1" t="str">
        <f t="shared" si="369"/>
        <v>0</v>
      </c>
      <c r="M705" s="10">
        <f t="shared" si="370"/>
        <v>0</v>
      </c>
      <c r="N705" s="1">
        <f t="shared" si="360"/>
        <v>0</v>
      </c>
      <c r="O705" s="1">
        <f t="shared" si="352"/>
        <v>0</v>
      </c>
      <c r="P705" s="1">
        <f t="shared" si="371"/>
        <v>0</v>
      </c>
      <c r="Q705" s="3" t="str">
        <f t="shared" si="351"/>
        <v/>
      </c>
      <c r="T705" s="13" t="str">
        <f t="shared" si="361"/>
        <v/>
      </c>
      <c r="U705" s="14" t="str">
        <f t="shared" si="362"/>
        <v/>
      </c>
      <c r="V705" s="13" t="str">
        <f t="shared" si="363"/>
        <v/>
      </c>
      <c r="W705" s="13" t="str">
        <f t="shared" si="364"/>
        <v/>
      </c>
      <c r="X705" s="14" t="str">
        <f t="shared" si="365"/>
        <v/>
      </c>
    </row>
    <row r="706" spans="2:24" x14ac:dyDescent="0.3">
      <c r="B706" s="1">
        <f t="shared" si="353"/>
        <v>0</v>
      </c>
      <c r="C706" s="1">
        <f t="shared" si="354"/>
        <v>0</v>
      </c>
      <c r="D706" s="10">
        <f t="shared" si="355"/>
        <v>0</v>
      </c>
      <c r="E706" s="1">
        <f t="shared" si="356"/>
        <v>0</v>
      </c>
      <c r="F706" s="1">
        <f t="shared" si="357"/>
        <v>0</v>
      </c>
      <c r="G706" s="1">
        <f t="shared" si="358"/>
        <v>0</v>
      </c>
      <c r="H706" s="1">
        <f t="shared" si="366"/>
        <v>0</v>
      </c>
      <c r="I706" s="10">
        <f t="shared" si="359"/>
        <v>0</v>
      </c>
      <c r="J706" s="1">
        <f t="shared" si="367"/>
        <v>0</v>
      </c>
      <c r="K706" s="1">
        <f t="shared" si="368"/>
        <v>0</v>
      </c>
      <c r="L706" s="1" t="str">
        <f t="shared" si="369"/>
        <v>0</v>
      </c>
      <c r="M706" s="10">
        <f t="shared" si="370"/>
        <v>0</v>
      </c>
      <c r="N706" s="1">
        <f t="shared" si="360"/>
        <v>0</v>
      </c>
      <c r="O706" s="1">
        <f t="shared" si="352"/>
        <v>0</v>
      </c>
      <c r="P706" s="1">
        <f t="shared" si="371"/>
        <v>0</v>
      </c>
      <c r="Q706" s="3" t="str">
        <f t="shared" si="351"/>
        <v/>
      </c>
      <c r="T706" s="13" t="str">
        <f t="shared" si="361"/>
        <v/>
      </c>
      <c r="U706" s="14" t="str">
        <f t="shared" si="362"/>
        <v/>
      </c>
      <c r="V706" s="13" t="str">
        <f t="shared" si="363"/>
        <v/>
      </c>
      <c r="W706" s="13" t="str">
        <f t="shared" si="364"/>
        <v/>
      </c>
      <c r="X706" s="14" t="str">
        <f t="shared" si="365"/>
        <v/>
      </c>
    </row>
    <row r="707" spans="2:24" x14ac:dyDescent="0.3">
      <c r="B707" s="1">
        <f t="shared" si="353"/>
        <v>0</v>
      </c>
      <c r="C707" s="1">
        <f t="shared" si="354"/>
        <v>0</v>
      </c>
      <c r="D707" s="10">
        <f t="shared" si="355"/>
        <v>0</v>
      </c>
      <c r="E707" s="1">
        <f t="shared" si="356"/>
        <v>0</v>
      </c>
      <c r="F707" s="1">
        <f t="shared" si="357"/>
        <v>0</v>
      </c>
      <c r="G707" s="1">
        <f t="shared" si="358"/>
        <v>0</v>
      </c>
      <c r="H707" s="1">
        <f t="shared" si="366"/>
        <v>0</v>
      </c>
      <c r="I707" s="10">
        <f t="shared" si="359"/>
        <v>0</v>
      </c>
      <c r="J707" s="1">
        <f t="shared" si="367"/>
        <v>0</v>
      </c>
      <c r="K707" s="1">
        <f t="shared" si="368"/>
        <v>0</v>
      </c>
      <c r="L707" s="1" t="str">
        <f t="shared" si="369"/>
        <v>0</v>
      </c>
      <c r="M707" s="10">
        <f t="shared" si="370"/>
        <v>0</v>
      </c>
      <c r="N707" s="1">
        <f t="shared" si="360"/>
        <v>0</v>
      </c>
      <c r="O707" s="1">
        <f t="shared" si="352"/>
        <v>0</v>
      </c>
      <c r="P707" s="1">
        <f t="shared" si="371"/>
        <v>0</v>
      </c>
      <c r="Q707" s="3" t="str">
        <f t="shared" si="351"/>
        <v/>
      </c>
      <c r="T707" s="13" t="str">
        <f t="shared" si="361"/>
        <v/>
      </c>
      <c r="U707" s="14" t="str">
        <f t="shared" si="362"/>
        <v/>
      </c>
      <c r="V707" s="13" t="str">
        <f t="shared" si="363"/>
        <v/>
      </c>
      <c r="W707" s="13" t="str">
        <f t="shared" si="364"/>
        <v/>
      </c>
      <c r="X707" s="14" t="str">
        <f t="shared" si="365"/>
        <v/>
      </c>
    </row>
    <row r="708" spans="2:24" x14ac:dyDescent="0.3">
      <c r="B708" s="1">
        <f t="shared" si="353"/>
        <v>0</v>
      </c>
      <c r="C708" s="1">
        <f t="shared" si="354"/>
        <v>0</v>
      </c>
      <c r="D708" s="10">
        <f t="shared" si="355"/>
        <v>0</v>
      </c>
      <c r="E708" s="1">
        <f t="shared" si="356"/>
        <v>0</v>
      </c>
      <c r="F708" s="1">
        <f t="shared" si="357"/>
        <v>0</v>
      </c>
      <c r="G708" s="1">
        <f t="shared" si="358"/>
        <v>0</v>
      </c>
      <c r="H708" s="1">
        <f t="shared" si="366"/>
        <v>0</v>
      </c>
      <c r="I708" s="10">
        <f t="shared" si="359"/>
        <v>0</v>
      </c>
      <c r="J708" s="1">
        <f t="shared" si="367"/>
        <v>0</v>
      </c>
      <c r="K708" s="1">
        <f t="shared" si="368"/>
        <v>0</v>
      </c>
      <c r="L708" s="1" t="str">
        <f t="shared" si="369"/>
        <v>0</v>
      </c>
      <c r="M708" s="10">
        <f t="shared" si="370"/>
        <v>0</v>
      </c>
      <c r="N708" s="1">
        <f t="shared" si="360"/>
        <v>0</v>
      </c>
      <c r="O708" s="1">
        <f t="shared" si="352"/>
        <v>0</v>
      </c>
      <c r="P708" s="1">
        <f t="shared" si="371"/>
        <v>0</v>
      </c>
      <c r="Q708" s="3" t="str">
        <f t="shared" ref="Q708:Q771" si="372">IF($N708&gt;0,MID($A708,($N708+$O708),$P708-($N708+$O708)),"")</f>
        <v/>
      </c>
      <c r="T708" s="13" t="str">
        <f t="shared" si="361"/>
        <v/>
      </c>
      <c r="U708" s="14" t="str">
        <f t="shared" si="362"/>
        <v/>
      </c>
      <c r="V708" s="13" t="str">
        <f t="shared" si="363"/>
        <v/>
      </c>
      <c r="W708" s="13" t="str">
        <f t="shared" si="364"/>
        <v/>
      </c>
      <c r="X708" s="14" t="str">
        <f t="shared" si="365"/>
        <v/>
      </c>
    </row>
    <row r="709" spans="2:24" x14ac:dyDescent="0.3">
      <c r="B709" s="1">
        <f t="shared" si="353"/>
        <v>0</v>
      </c>
      <c r="C709" s="1">
        <f t="shared" si="354"/>
        <v>0</v>
      </c>
      <c r="D709" s="10">
        <f t="shared" si="355"/>
        <v>0</v>
      </c>
      <c r="E709" s="1">
        <f t="shared" si="356"/>
        <v>0</v>
      </c>
      <c r="F709" s="1">
        <f t="shared" si="357"/>
        <v>0</v>
      </c>
      <c r="G709" s="1">
        <f t="shared" si="358"/>
        <v>0</v>
      </c>
      <c r="H709" s="1">
        <f t="shared" si="366"/>
        <v>0</v>
      </c>
      <c r="I709" s="10">
        <f t="shared" si="359"/>
        <v>0</v>
      </c>
      <c r="J709" s="1">
        <f t="shared" si="367"/>
        <v>0</v>
      </c>
      <c r="K709" s="1">
        <f t="shared" si="368"/>
        <v>0</v>
      </c>
      <c r="L709" s="1" t="str">
        <f t="shared" si="369"/>
        <v>0</v>
      </c>
      <c r="M709" s="10">
        <f t="shared" si="370"/>
        <v>0</v>
      </c>
      <c r="N709" s="1">
        <f t="shared" si="360"/>
        <v>0</v>
      </c>
      <c r="O709" s="1">
        <f t="shared" ref="O709:O772" si="373">IFERROR(FIND("#",$A709)+1-N709,0)</f>
        <v>0</v>
      </c>
      <c r="P709" s="1">
        <f t="shared" si="371"/>
        <v>0</v>
      </c>
      <c r="Q709" s="3" t="str">
        <f t="shared" si="372"/>
        <v/>
      </c>
      <c r="T709" s="13" t="str">
        <f t="shared" si="361"/>
        <v/>
      </c>
      <c r="U709" s="14" t="str">
        <f t="shared" si="362"/>
        <v/>
      </c>
      <c r="V709" s="13" t="str">
        <f t="shared" si="363"/>
        <v/>
      </c>
      <c r="W709" s="13" t="str">
        <f t="shared" si="364"/>
        <v/>
      </c>
      <c r="X709" s="14" t="str">
        <f t="shared" si="365"/>
        <v/>
      </c>
    </row>
    <row r="710" spans="2:24" x14ac:dyDescent="0.3">
      <c r="B710" s="1">
        <f t="shared" si="353"/>
        <v>0</v>
      </c>
      <c r="C710" s="1">
        <f t="shared" si="354"/>
        <v>0</v>
      </c>
      <c r="D710" s="10">
        <f t="shared" si="355"/>
        <v>0</v>
      </c>
      <c r="E710" s="1">
        <f t="shared" si="356"/>
        <v>0</v>
      </c>
      <c r="F710" s="1">
        <f t="shared" si="357"/>
        <v>0</v>
      </c>
      <c r="G710" s="1">
        <f t="shared" si="358"/>
        <v>0</v>
      </c>
      <c r="H710" s="1">
        <f t="shared" si="366"/>
        <v>0</v>
      </c>
      <c r="I710" s="10">
        <f t="shared" si="359"/>
        <v>0</v>
      </c>
      <c r="J710" s="1">
        <f t="shared" si="367"/>
        <v>0</v>
      </c>
      <c r="K710" s="1">
        <f t="shared" si="368"/>
        <v>0</v>
      </c>
      <c r="L710" s="1" t="str">
        <f t="shared" si="369"/>
        <v>0</v>
      </c>
      <c r="M710" s="10">
        <f t="shared" si="370"/>
        <v>0</v>
      </c>
      <c r="N710" s="1">
        <f t="shared" si="360"/>
        <v>0</v>
      </c>
      <c r="O710" s="1">
        <f t="shared" si="373"/>
        <v>0</v>
      </c>
      <c r="P710" s="1">
        <f t="shared" si="371"/>
        <v>0</v>
      </c>
      <c r="Q710" s="3" t="str">
        <f t="shared" si="372"/>
        <v/>
      </c>
      <c r="T710" s="13" t="str">
        <f t="shared" si="361"/>
        <v/>
      </c>
      <c r="U710" s="14" t="str">
        <f t="shared" si="362"/>
        <v/>
      </c>
      <c r="V710" s="13" t="str">
        <f t="shared" si="363"/>
        <v/>
      </c>
      <c r="W710" s="13" t="str">
        <f t="shared" si="364"/>
        <v/>
      </c>
      <c r="X710" s="14" t="str">
        <f t="shared" si="365"/>
        <v/>
      </c>
    </row>
    <row r="711" spans="2:24" x14ac:dyDescent="0.3">
      <c r="B711" s="1">
        <f t="shared" ref="B711:B774" si="374">IFERROR(FIND("UP_SET(",$A711)+7,0)</f>
        <v>0</v>
      </c>
      <c r="C711" s="1">
        <f t="shared" ref="C711:C774" si="375">IF($B711&gt;0,FIND(",",$A711,$B711),0)</f>
        <v>0</v>
      </c>
      <c r="D711" s="10">
        <f t="shared" ref="D711:D774" si="376">IF($B711&gt;0,MID($A711,$B711,$C711-$B711),0)</f>
        <v>0</v>
      </c>
      <c r="E711" s="1">
        <f t="shared" ref="E711:E774" si="377">IF($B711&gt;0,FIND("Up",$A711,$C711),0)</f>
        <v>0</v>
      </c>
      <c r="F711" s="1">
        <f t="shared" ref="F711:F774" si="378">IF($B711&gt;0,IFERROR(FIND(",",$A711,$E711),0),0)</f>
        <v>0</v>
      </c>
      <c r="G711" s="1">
        <f t="shared" ref="G711:G774" si="379">IF($B711&gt;0,FIND(")",$A711,$B711),0)</f>
        <v>0</v>
      </c>
      <c r="H711" s="1">
        <f t="shared" si="366"/>
        <v>0</v>
      </c>
      <c r="I711" s="10">
        <f t="shared" ref="I711:I774" si="380">IF($B711&gt;0,MID($A711,$E711,$H711-$E711),0)</f>
        <v>0</v>
      </c>
      <c r="J711" s="1">
        <f t="shared" si="367"/>
        <v>0</v>
      </c>
      <c r="K711" s="1">
        <f t="shared" si="368"/>
        <v>0</v>
      </c>
      <c r="L711" s="1" t="str">
        <f t="shared" si="369"/>
        <v>0</v>
      </c>
      <c r="M711" s="10">
        <f t="shared" si="370"/>
        <v>0</v>
      </c>
      <c r="N711" s="1">
        <f t="shared" ref="N711:N774" si="381">IFERROR(FIND("/*",$A711)+2,0)</f>
        <v>0</v>
      </c>
      <c r="O711" s="1">
        <f t="shared" si="373"/>
        <v>0</v>
      </c>
      <c r="P711" s="1">
        <f t="shared" si="371"/>
        <v>0</v>
      </c>
      <c r="Q711" s="3" t="str">
        <f t="shared" si="372"/>
        <v/>
      </c>
      <c r="T711" s="13" t="str">
        <f t="shared" si="361"/>
        <v/>
      </c>
      <c r="U711" s="14" t="str">
        <f t="shared" si="362"/>
        <v/>
      </c>
      <c r="V711" s="13" t="str">
        <f t="shared" si="363"/>
        <v/>
      </c>
      <c r="W711" s="13" t="str">
        <f t="shared" si="364"/>
        <v/>
      </c>
      <c r="X711" s="14" t="str">
        <f t="shared" si="365"/>
        <v/>
      </c>
    </row>
    <row r="712" spans="2:24" x14ac:dyDescent="0.3">
      <c r="B712" s="1">
        <f t="shared" si="374"/>
        <v>0</v>
      </c>
      <c r="C712" s="1">
        <f t="shared" si="375"/>
        <v>0</v>
      </c>
      <c r="D712" s="10">
        <f t="shared" si="376"/>
        <v>0</v>
      </c>
      <c r="E712" s="1">
        <f t="shared" si="377"/>
        <v>0</v>
      </c>
      <c r="F712" s="1">
        <f t="shared" si="378"/>
        <v>0</v>
      </c>
      <c r="G712" s="1">
        <f t="shared" si="379"/>
        <v>0</v>
      </c>
      <c r="H712" s="1">
        <f t="shared" si="366"/>
        <v>0</v>
      </c>
      <c r="I712" s="10">
        <f t="shared" si="380"/>
        <v>0</v>
      </c>
      <c r="J712" s="1">
        <f t="shared" si="367"/>
        <v>0</v>
      </c>
      <c r="K712" s="1">
        <f t="shared" si="368"/>
        <v>0</v>
      </c>
      <c r="L712" s="1" t="str">
        <f t="shared" si="369"/>
        <v>0</v>
      </c>
      <c r="M712" s="10">
        <f t="shared" si="370"/>
        <v>0</v>
      </c>
      <c r="N712" s="1">
        <f t="shared" si="381"/>
        <v>0</v>
      </c>
      <c r="O712" s="1">
        <f t="shared" si="373"/>
        <v>0</v>
      </c>
      <c r="P712" s="1">
        <f t="shared" si="371"/>
        <v>0</v>
      </c>
      <c r="Q712" s="3" t="str">
        <f t="shared" si="372"/>
        <v/>
      </c>
      <c r="T712" s="13" t="str">
        <f t="shared" si="361"/>
        <v/>
      </c>
      <c r="U712" s="14" t="str">
        <f t="shared" si="362"/>
        <v/>
      </c>
      <c r="V712" s="13" t="str">
        <f t="shared" si="363"/>
        <v/>
      </c>
      <c r="W712" s="13" t="str">
        <f t="shared" si="364"/>
        <v/>
      </c>
      <c r="X712" s="14" t="str">
        <f t="shared" si="365"/>
        <v/>
      </c>
    </row>
    <row r="713" spans="2:24" x14ac:dyDescent="0.3">
      <c r="B713" s="1">
        <f t="shared" si="374"/>
        <v>0</v>
      </c>
      <c r="C713" s="1">
        <f t="shared" si="375"/>
        <v>0</v>
      </c>
      <c r="D713" s="10">
        <f t="shared" si="376"/>
        <v>0</v>
      </c>
      <c r="E713" s="1">
        <f t="shared" si="377"/>
        <v>0</v>
      </c>
      <c r="F713" s="1">
        <f t="shared" si="378"/>
        <v>0</v>
      </c>
      <c r="G713" s="1">
        <f t="shared" si="379"/>
        <v>0</v>
      </c>
      <c r="H713" s="1">
        <f t="shared" si="366"/>
        <v>0</v>
      </c>
      <c r="I713" s="10">
        <f t="shared" si="380"/>
        <v>0</v>
      </c>
      <c r="J713" s="1">
        <f t="shared" si="367"/>
        <v>0</v>
      </c>
      <c r="K713" s="1">
        <f t="shared" si="368"/>
        <v>0</v>
      </c>
      <c r="L713" s="1" t="str">
        <f t="shared" si="369"/>
        <v>0</v>
      </c>
      <c r="M713" s="10">
        <f t="shared" si="370"/>
        <v>0</v>
      </c>
      <c r="N713" s="1">
        <f t="shared" si="381"/>
        <v>0</v>
      </c>
      <c r="O713" s="1">
        <f t="shared" si="373"/>
        <v>0</v>
      </c>
      <c r="P713" s="1">
        <f t="shared" si="371"/>
        <v>0</v>
      </c>
      <c r="Q713" s="3" t="str">
        <f t="shared" si="372"/>
        <v/>
      </c>
      <c r="T713" s="13" t="str">
        <f t="shared" si="361"/>
        <v/>
      </c>
      <c r="U713" s="14" t="str">
        <f t="shared" si="362"/>
        <v/>
      </c>
      <c r="V713" s="13" t="str">
        <f t="shared" si="363"/>
        <v/>
      </c>
      <c r="W713" s="13" t="str">
        <f t="shared" si="364"/>
        <v/>
      </c>
      <c r="X713" s="14" t="str">
        <f t="shared" si="365"/>
        <v/>
      </c>
    </row>
    <row r="714" spans="2:24" x14ac:dyDescent="0.3">
      <c r="B714" s="1">
        <f t="shared" si="374"/>
        <v>0</v>
      </c>
      <c r="C714" s="1">
        <f t="shared" si="375"/>
        <v>0</v>
      </c>
      <c r="D714" s="10">
        <f t="shared" si="376"/>
        <v>0</v>
      </c>
      <c r="E714" s="1">
        <f t="shared" si="377"/>
        <v>0</v>
      </c>
      <c r="F714" s="1">
        <f t="shared" si="378"/>
        <v>0</v>
      </c>
      <c r="G714" s="1">
        <f t="shared" si="379"/>
        <v>0</v>
      </c>
      <c r="H714" s="1">
        <f t="shared" si="366"/>
        <v>0</v>
      </c>
      <c r="I714" s="10">
        <f t="shared" si="380"/>
        <v>0</v>
      </c>
      <c r="J714" s="1">
        <f t="shared" si="367"/>
        <v>0</v>
      </c>
      <c r="K714" s="1">
        <f t="shared" si="368"/>
        <v>0</v>
      </c>
      <c r="L714" s="1" t="str">
        <f t="shared" si="369"/>
        <v>0</v>
      </c>
      <c r="M714" s="10">
        <f t="shared" si="370"/>
        <v>0</v>
      </c>
      <c r="N714" s="1">
        <f t="shared" si="381"/>
        <v>0</v>
      </c>
      <c r="O714" s="1">
        <f t="shared" si="373"/>
        <v>0</v>
      </c>
      <c r="P714" s="1">
        <f t="shared" si="371"/>
        <v>0</v>
      </c>
      <c r="Q714" s="3" t="str">
        <f t="shared" si="372"/>
        <v/>
      </c>
      <c r="T714" s="13" t="str">
        <f t="shared" si="361"/>
        <v/>
      </c>
      <c r="U714" s="14" t="str">
        <f t="shared" si="362"/>
        <v/>
      </c>
      <c r="V714" s="13" t="str">
        <f t="shared" si="363"/>
        <v/>
      </c>
      <c r="W714" s="13" t="str">
        <f t="shared" si="364"/>
        <v/>
      </c>
      <c r="X714" s="14" t="str">
        <f t="shared" si="365"/>
        <v/>
      </c>
    </row>
    <row r="715" spans="2:24" x14ac:dyDescent="0.3">
      <c r="B715" s="1">
        <f t="shared" si="374"/>
        <v>0</v>
      </c>
      <c r="C715" s="1">
        <f t="shared" si="375"/>
        <v>0</v>
      </c>
      <c r="D715" s="10">
        <f t="shared" si="376"/>
        <v>0</v>
      </c>
      <c r="E715" s="1">
        <f t="shared" si="377"/>
        <v>0</v>
      </c>
      <c r="F715" s="1">
        <f t="shared" si="378"/>
        <v>0</v>
      </c>
      <c r="G715" s="1">
        <f t="shared" si="379"/>
        <v>0</v>
      </c>
      <c r="H715" s="1">
        <f t="shared" si="366"/>
        <v>0</v>
      </c>
      <c r="I715" s="10">
        <f t="shared" si="380"/>
        <v>0</v>
      </c>
      <c r="J715" s="1">
        <f t="shared" si="367"/>
        <v>0</v>
      </c>
      <c r="K715" s="1">
        <f t="shared" si="368"/>
        <v>0</v>
      </c>
      <c r="L715" s="1" t="str">
        <f t="shared" si="369"/>
        <v>0</v>
      </c>
      <c r="M715" s="10">
        <f t="shared" si="370"/>
        <v>0</v>
      </c>
      <c r="N715" s="1">
        <f t="shared" si="381"/>
        <v>0</v>
      </c>
      <c r="O715" s="1">
        <f t="shared" si="373"/>
        <v>0</v>
      </c>
      <c r="P715" s="1">
        <f t="shared" si="371"/>
        <v>0</v>
      </c>
      <c r="Q715" s="3" t="str">
        <f t="shared" si="372"/>
        <v/>
      </c>
      <c r="T715" s="13" t="str">
        <f t="shared" si="361"/>
        <v/>
      </c>
      <c r="U715" s="14" t="str">
        <f t="shared" si="362"/>
        <v/>
      </c>
      <c r="V715" s="13" t="str">
        <f t="shared" si="363"/>
        <v/>
      </c>
      <c r="W715" s="13" t="str">
        <f t="shared" si="364"/>
        <v/>
      </c>
      <c r="X715" s="14" t="str">
        <f t="shared" si="365"/>
        <v/>
      </c>
    </row>
    <row r="716" spans="2:24" x14ac:dyDescent="0.3">
      <c r="B716" s="1">
        <f t="shared" si="374"/>
        <v>0</v>
      </c>
      <c r="C716" s="1">
        <f t="shared" si="375"/>
        <v>0</v>
      </c>
      <c r="D716" s="10">
        <f t="shared" si="376"/>
        <v>0</v>
      </c>
      <c r="E716" s="1">
        <f t="shared" si="377"/>
        <v>0</v>
      </c>
      <c r="F716" s="1">
        <f t="shared" si="378"/>
        <v>0</v>
      </c>
      <c r="G716" s="1">
        <f t="shared" si="379"/>
        <v>0</v>
      </c>
      <c r="H716" s="1">
        <f t="shared" si="366"/>
        <v>0</v>
      </c>
      <c r="I716" s="10">
        <f t="shared" si="380"/>
        <v>0</v>
      </c>
      <c r="J716" s="1">
        <f t="shared" si="367"/>
        <v>0</v>
      </c>
      <c r="K716" s="1">
        <f t="shared" si="368"/>
        <v>0</v>
      </c>
      <c r="L716" s="1" t="str">
        <f t="shared" si="369"/>
        <v>0</v>
      </c>
      <c r="M716" s="10">
        <f t="shared" si="370"/>
        <v>0</v>
      </c>
      <c r="N716" s="1">
        <f t="shared" si="381"/>
        <v>0</v>
      </c>
      <c r="O716" s="1">
        <f t="shared" si="373"/>
        <v>0</v>
      </c>
      <c r="P716" s="1">
        <f t="shared" si="371"/>
        <v>0</v>
      </c>
      <c r="Q716" s="3" t="str">
        <f t="shared" si="372"/>
        <v/>
      </c>
      <c r="T716" s="13" t="str">
        <f t="shared" si="361"/>
        <v/>
      </c>
      <c r="U716" s="14" t="str">
        <f t="shared" si="362"/>
        <v/>
      </c>
      <c r="V716" s="13" t="str">
        <f t="shared" si="363"/>
        <v/>
      </c>
      <c r="W716" s="13" t="str">
        <f t="shared" si="364"/>
        <v/>
      </c>
      <c r="X716" s="14" t="str">
        <f t="shared" si="365"/>
        <v/>
      </c>
    </row>
    <row r="717" spans="2:24" x14ac:dyDescent="0.3">
      <c r="B717" s="1">
        <f t="shared" si="374"/>
        <v>0</v>
      </c>
      <c r="C717" s="1">
        <f t="shared" si="375"/>
        <v>0</v>
      </c>
      <c r="D717" s="10">
        <f t="shared" si="376"/>
        <v>0</v>
      </c>
      <c r="E717" s="1">
        <f t="shared" si="377"/>
        <v>0</v>
      </c>
      <c r="F717" s="1">
        <f t="shared" si="378"/>
        <v>0</v>
      </c>
      <c r="G717" s="1">
        <f t="shared" si="379"/>
        <v>0</v>
      </c>
      <c r="H717" s="1">
        <f t="shared" si="366"/>
        <v>0</v>
      </c>
      <c r="I717" s="10">
        <f t="shared" si="380"/>
        <v>0</v>
      </c>
      <c r="J717" s="1">
        <f t="shared" si="367"/>
        <v>0</v>
      </c>
      <c r="K717" s="1">
        <f t="shared" si="368"/>
        <v>0</v>
      </c>
      <c r="L717" s="1" t="str">
        <f t="shared" si="369"/>
        <v>0</v>
      </c>
      <c r="M717" s="10">
        <f t="shared" si="370"/>
        <v>0</v>
      </c>
      <c r="N717" s="1">
        <f t="shared" si="381"/>
        <v>0</v>
      </c>
      <c r="O717" s="1">
        <f t="shared" si="373"/>
        <v>0</v>
      </c>
      <c r="P717" s="1">
        <f t="shared" si="371"/>
        <v>0</v>
      </c>
      <c r="Q717" s="3" t="str">
        <f t="shared" si="372"/>
        <v/>
      </c>
      <c r="T717" s="13" t="str">
        <f t="shared" si="361"/>
        <v/>
      </c>
      <c r="U717" s="14" t="str">
        <f t="shared" si="362"/>
        <v/>
      </c>
      <c r="V717" s="13" t="str">
        <f t="shared" si="363"/>
        <v/>
      </c>
      <c r="W717" s="13" t="str">
        <f t="shared" si="364"/>
        <v/>
      </c>
      <c r="X717" s="14" t="str">
        <f t="shared" si="365"/>
        <v/>
      </c>
    </row>
    <row r="718" spans="2:24" x14ac:dyDescent="0.3">
      <c r="B718" s="1">
        <f t="shared" si="374"/>
        <v>0</v>
      </c>
      <c r="C718" s="1">
        <f t="shared" si="375"/>
        <v>0</v>
      </c>
      <c r="D718" s="10">
        <f t="shared" si="376"/>
        <v>0</v>
      </c>
      <c r="E718" s="1">
        <f t="shared" si="377"/>
        <v>0</v>
      </c>
      <c r="F718" s="1">
        <f t="shared" si="378"/>
        <v>0</v>
      </c>
      <c r="G718" s="1">
        <f t="shared" si="379"/>
        <v>0</v>
      </c>
      <c r="H718" s="1">
        <f t="shared" si="366"/>
        <v>0</v>
      </c>
      <c r="I718" s="10">
        <f t="shared" si="380"/>
        <v>0</v>
      </c>
      <c r="J718" s="1">
        <f t="shared" si="367"/>
        <v>0</v>
      </c>
      <c r="K718" s="1">
        <f t="shared" si="368"/>
        <v>0</v>
      </c>
      <c r="L718" s="1" t="str">
        <f t="shared" si="369"/>
        <v>0</v>
      </c>
      <c r="M718" s="10">
        <f t="shared" si="370"/>
        <v>0</v>
      </c>
      <c r="N718" s="1">
        <f t="shared" si="381"/>
        <v>0</v>
      </c>
      <c r="O718" s="1">
        <f t="shared" si="373"/>
        <v>0</v>
      </c>
      <c r="P718" s="1">
        <f t="shared" si="371"/>
        <v>0</v>
      </c>
      <c r="Q718" s="3" t="str">
        <f t="shared" si="372"/>
        <v/>
      </c>
      <c r="T718" s="13" t="str">
        <f t="shared" si="361"/>
        <v/>
      </c>
      <c r="U718" s="14" t="str">
        <f t="shared" si="362"/>
        <v/>
      </c>
      <c r="V718" s="13" t="str">
        <f t="shared" si="363"/>
        <v/>
      </c>
      <c r="W718" s="13" t="str">
        <f t="shared" si="364"/>
        <v/>
      </c>
      <c r="X718" s="14" t="str">
        <f t="shared" si="365"/>
        <v/>
      </c>
    </row>
    <row r="719" spans="2:24" x14ac:dyDescent="0.3">
      <c r="B719" s="1">
        <f t="shared" si="374"/>
        <v>0</v>
      </c>
      <c r="C719" s="1">
        <f t="shared" si="375"/>
        <v>0</v>
      </c>
      <c r="D719" s="10">
        <f t="shared" si="376"/>
        <v>0</v>
      </c>
      <c r="E719" s="1">
        <f t="shared" si="377"/>
        <v>0</v>
      </c>
      <c r="F719" s="1">
        <f t="shared" si="378"/>
        <v>0</v>
      </c>
      <c r="G719" s="1">
        <f t="shared" si="379"/>
        <v>0</v>
      </c>
      <c r="H719" s="1">
        <f t="shared" si="366"/>
        <v>0</v>
      </c>
      <c r="I719" s="10">
        <f t="shared" si="380"/>
        <v>0</v>
      </c>
      <c r="J719" s="1">
        <f t="shared" si="367"/>
        <v>0</v>
      </c>
      <c r="K719" s="1">
        <f t="shared" si="368"/>
        <v>0</v>
      </c>
      <c r="L719" s="1" t="str">
        <f t="shared" si="369"/>
        <v>0</v>
      </c>
      <c r="M719" s="10">
        <f t="shared" si="370"/>
        <v>0</v>
      </c>
      <c r="N719" s="1">
        <f t="shared" si="381"/>
        <v>0</v>
      </c>
      <c r="O719" s="1">
        <f t="shared" si="373"/>
        <v>0</v>
      </c>
      <c r="P719" s="1">
        <f t="shared" si="371"/>
        <v>0</v>
      </c>
      <c r="Q719" s="3" t="str">
        <f t="shared" si="372"/>
        <v/>
      </c>
      <c r="T719" s="13" t="str">
        <f t="shared" si="361"/>
        <v/>
      </c>
      <c r="U719" s="14" t="str">
        <f t="shared" si="362"/>
        <v/>
      </c>
      <c r="V719" s="13" t="str">
        <f t="shared" si="363"/>
        <v/>
      </c>
      <c r="W719" s="13" t="str">
        <f t="shared" si="364"/>
        <v/>
      </c>
      <c r="X719" s="14" t="str">
        <f t="shared" si="365"/>
        <v/>
      </c>
    </row>
    <row r="720" spans="2:24" x14ac:dyDescent="0.3">
      <c r="B720" s="1">
        <f t="shared" si="374"/>
        <v>0</v>
      </c>
      <c r="C720" s="1">
        <f t="shared" si="375"/>
        <v>0</v>
      </c>
      <c r="D720" s="10">
        <f t="shared" si="376"/>
        <v>0</v>
      </c>
      <c r="E720" s="1">
        <f t="shared" si="377"/>
        <v>0</v>
      </c>
      <c r="F720" s="1">
        <f t="shared" si="378"/>
        <v>0</v>
      </c>
      <c r="G720" s="1">
        <f t="shared" si="379"/>
        <v>0</v>
      </c>
      <c r="H720" s="1">
        <f t="shared" si="366"/>
        <v>0</v>
      </c>
      <c r="I720" s="10">
        <f t="shared" si="380"/>
        <v>0</v>
      </c>
      <c r="J720" s="1">
        <f t="shared" si="367"/>
        <v>0</v>
      </c>
      <c r="K720" s="1">
        <f t="shared" si="368"/>
        <v>0</v>
      </c>
      <c r="L720" s="1" t="str">
        <f t="shared" si="369"/>
        <v>0</v>
      </c>
      <c r="M720" s="10">
        <f t="shared" si="370"/>
        <v>0</v>
      </c>
      <c r="N720" s="1">
        <f t="shared" si="381"/>
        <v>0</v>
      </c>
      <c r="O720" s="1">
        <f t="shared" si="373"/>
        <v>0</v>
      </c>
      <c r="P720" s="1">
        <f t="shared" si="371"/>
        <v>0</v>
      </c>
      <c r="Q720" s="3" t="str">
        <f t="shared" si="372"/>
        <v/>
      </c>
      <c r="T720" s="13" t="str">
        <f t="shared" si="361"/>
        <v/>
      </c>
      <c r="U720" s="14" t="str">
        <f t="shared" si="362"/>
        <v/>
      </c>
      <c r="V720" s="13" t="str">
        <f t="shared" si="363"/>
        <v/>
      </c>
      <c r="W720" s="13" t="str">
        <f t="shared" si="364"/>
        <v/>
      </c>
      <c r="X720" s="14" t="str">
        <f t="shared" si="365"/>
        <v/>
      </c>
    </row>
    <row r="721" spans="2:24" x14ac:dyDescent="0.3">
      <c r="B721" s="1">
        <f t="shared" si="374"/>
        <v>0</v>
      </c>
      <c r="C721" s="1">
        <f t="shared" si="375"/>
        <v>0</v>
      </c>
      <c r="D721" s="10">
        <f t="shared" si="376"/>
        <v>0</v>
      </c>
      <c r="E721" s="1">
        <f t="shared" si="377"/>
        <v>0</v>
      </c>
      <c r="F721" s="1">
        <f t="shared" si="378"/>
        <v>0</v>
      </c>
      <c r="G721" s="1">
        <f t="shared" si="379"/>
        <v>0</v>
      </c>
      <c r="H721" s="1">
        <f t="shared" si="366"/>
        <v>0</v>
      </c>
      <c r="I721" s="10">
        <f t="shared" si="380"/>
        <v>0</v>
      </c>
      <c r="J721" s="1">
        <f t="shared" si="367"/>
        <v>0</v>
      </c>
      <c r="K721" s="1">
        <f t="shared" si="368"/>
        <v>0</v>
      </c>
      <c r="L721" s="1" t="str">
        <f t="shared" si="369"/>
        <v>0</v>
      </c>
      <c r="M721" s="10">
        <f t="shared" si="370"/>
        <v>0</v>
      </c>
      <c r="N721" s="1">
        <f t="shared" si="381"/>
        <v>0</v>
      </c>
      <c r="O721" s="1">
        <f t="shared" si="373"/>
        <v>0</v>
      </c>
      <c r="P721" s="1">
        <f t="shared" si="371"/>
        <v>0</v>
      </c>
      <c r="Q721" s="3" t="str">
        <f t="shared" si="372"/>
        <v/>
      </c>
      <c r="T721" s="13" t="str">
        <f t="shared" si="361"/>
        <v/>
      </c>
      <c r="U721" s="14" t="str">
        <f t="shared" si="362"/>
        <v/>
      </c>
      <c r="V721" s="13" t="str">
        <f t="shared" si="363"/>
        <v/>
      </c>
      <c r="W721" s="13" t="str">
        <f t="shared" si="364"/>
        <v/>
      </c>
      <c r="X721" s="14" t="str">
        <f t="shared" si="365"/>
        <v/>
      </c>
    </row>
    <row r="722" spans="2:24" x14ac:dyDescent="0.3">
      <c r="B722" s="1">
        <f t="shared" si="374"/>
        <v>0</v>
      </c>
      <c r="C722" s="1">
        <f t="shared" si="375"/>
        <v>0</v>
      </c>
      <c r="D722" s="10">
        <f t="shared" si="376"/>
        <v>0</v>
      </c>
      <c r="E722" s="1">
        <f t="shared" si="377"/>
        <v>0</v>
      </c>
      <c r="F722" s="1">
        <f t="shared" si="378"/>
        <v>0</v>
      </c>
      <c r="G722" s="1">
        <f t="shared" si="379"/>
        <v>0</v>
      </c>
      <c r="H722" s="1">
        <f t="shared" si="366"/>
        <v>0</v>
      </c>
      <c r="I722" s="10">
        <f t="shared" si="380"/>
        <v>0</v>
      </c>
      <c r="J722" s="1">
        <f t="shared" si="367"/>
        <v>0</v>
      </c>
      <c r="K722" s="1">
        <f t="shared" si="368"/>
        <v>0</v>
      </c>
      <c r="L722" s="1" t="str">
        <f t="shared" si="369"/>
        <v>0</v>
      </c>
      <c r="M722" s="10">
        <f t="shared" si="370"/>
        <v>0</v>
      </c>
      <c r="N722" s="1">
        <f t="shared" si="381"/>
        <v>0</v>
      </c>
      <c r="O722" s="1">
        <f t="shared" si="373"/>
        <v>0</v>
      </c>
      <c r="P722" s="1">
        <f t="shared" si="371"/>
        <v>0</v>
      </c>
      <c r="Q722" s="3" t="str">
        <f t="shared" si="372"/>
        <v/>
      </c>
      <c r="T722" s="13" t="str">
        <f t="shared" si="361"/>
        <v/>
      </c>
      <c r="U722" s="14" t="str">
        <f t="shared" si="362"/>
        <v/>
      </c>
      <c r="V722" s="13" t="str">
        <f t="shared" si="363"/>
        <v/>
      </c>
      <c r="W722" s="13" t="str">
        <f t="shared" si="364"/>
        <v/>
      </c>
      <c r="X722" s="14" t="str">
        <f t="shared" si="365"/>
        <v/>
      </c>
    </row>
    <row r="723" spans="2:24" x14ac:dyDescent="0.3">
      <c r="B723" s="1">
        <f t="shared" si="374"/>
        <v>0</v>
      </c>
      <c r="C723" s="1">
        <f t="shared" si="375"/>
        <v>0</v>
      </c>
      <c r="D723" s="10">
        <f t="shared" si="376"/>
        <v>0</v>
      </c>
      <c r="E723" s="1">
        <f t="shared" si="377"/>
        <v>0</v>
      </c>
      <c r="F723" s="1">
        <f t="shared" si="378"/>
        <v>0</v>
      </c>
      <c r="G723" s="1">
        <f t="shared" si="379"/>
        <v>0</v>
      </c>
      <c r="H723" s="1">
        <f t="shared" si="366"/>
        <v>0</v>
      </c>
      <c r="I723" s="10">
        <f t="shared" si="380"/>
        <v>0</v>
      </c>
      <c r="J723" s="1">
        <f t="shared" si="367"/>
        <v>0</v>
      </c>
      <c r="K723" s="1">
        <f t="shared" si="368"/>
        <v>0</v>
      </c>
      <c r="L723" s="1" t="str">
        <f t="shared" si="369"/>
        <v>0</v>
      </c>
      <c r="M723" s="10">
        <f t="shared" si="370"/>
        <v>0</v>
      </c>
      <c r="N723" s="1">
        <f t="shared" si="381"/>
        <v>0</v>
      </c>
      <c r="O723" s="1">
        <f t="shared" si="373"/>
        <v>0</v>
      </c>
      <c r="P723" s="1">
        <f t="shared" si="371"/>
        <v>0</v>
      </c>
      <c r="Q723" s="3" t="str">
        <f t="shared" si="372"/>
        <v/>
      </c>
      <c r="T723" s="13" t="str">
        <f t="shared" ref="T723:T786" si="382">IF(A723="",IF(A722="","",$T$1),IF(O723=1,"#",IF(B723=0,"*",DEC2HEX(R723))))</f>
        <v/>
      </c>
      <c r="U723" s="14" t="str">
        <f t="shared" ref="U723:U786" si="383">IF(A723="",IF(A722="","",$U$1),  IF(B723=0,Q723,I723)  )</f>
        <v/>
      </c>
      <c r="V723" s="13" t="str">
        <f t="shared" ref="V723:V786" si="384">IF(U723=$U$1,"",IF(A723="",IF(A722="","",1),  IF(B723=0,1,D723)  ))</f>
        <v/>
      </c>
      <c r="W723" s="13" t="str">
        <f t="shared" ref="W723:W786" si="385">IF(U723=$U$1,"",IF(A723="",IF(A722="","",0),  IF(C723=0,0,0)  ))</f>
        <v/>
      </c>
      <c r="X723" s="14" t="str">
        <f t="shared" ref="X723:X786" si="386">IF(U723=$U$1,"",IF(U723="","",IF(B723&gt;0,IF(Q723&lt;&gt;"",Q723,"No description"),"-")))</f>
        <v/>
      </c>
    </row>
    <row r="724" spans="2:24" x14ac:dyDescent="0.3">
      <c r="B724" s="1">
        <f t="shared" si="374"/>
        <v>0</v>
      </c>
      <c r="C724" s="1">
        <f t="shared" si="375"/>
        <v>0</v>
      </c>
      <c r="D724" s="10">
        <f t="shared" si="376"/>
        <v>0</v>
      </c>
      <c r="E724" s="1">
        <f t="shared" si="377"/>
        <v>0</v>
      </c>
      <c r="F724" s="1">
        <f t="shared" si="378"/>
        <v>0</v>
      </c>
      <c r="G724" s="1">
        <f t="shared" si="379"/>
        <v>0</v>
      </c>
      <c r="H724" s="1">
        <f t="shared" si="366"/>
        <v>0</v>
      </c>
      <c r="I724" s="10">
        <f t="shared" si="380"/>
        <v>0</v>
      </c>
      <c r="J724" s="1">
        <f t="shared" si="367"/>
        <v>0</v>
      </c>
      <c r="K724" s="1">
        <f t="shared" si="368"/>
        <v>0</v>
      </c>
      <c r="L724" s="1" t="str">
        <f t="shared" si="369"/>
        <v>0</v>
      </c>
      <c r="M724" s="10">
        <f t="shared" si="370"/>
        <v>0</v>
      </c>
      <c r="N724" s="1">
        <f t="shared" si="381"/>
        <v>0</v>
      </c>
      <c r="O724" s="1">
        <f t="shared" si="373"/>
        <v>0</v>
      </c>
      <c r="P724" s="1">
        <f t="shared" si="371"/>
        <v>0</v>
      </c>
      <c r="Q724" s="3" t="str">
        <f t="shared" si="372"/>
        <v/>
      </c>
      <c r="T724" s="13" t="str">
        <f t="shared" si="382"/>
        <v/>
      </c>
      <c r="U724" s="14" t="str">
        <f t="shared" si="383"/>
        <v/>
      </c>
      <c r="V724" s="13" t="str">
        <f t="shared" si="384"/>
        <v/>
      </c>
      <c r="W724" s="13" t="str">
        <f t="shared" si="385"/>
        <v/>
      </c>
      <c r="X724" s="14" t="str">
        <f t="shared" si="386"/>
        <v/>
      </c>
    </row>
    <row r="725" spans="2:24" x14ac:dyDescent="0.3">
      <c r="B725" s="1">
        <f t="shared" si="374"/>
        <v>0</v>
      </c>
      <c r="C725" s="1">
        <f t="shared" si="375"/>
        <v>0</v>
      </c>
      <c r="D725" s="10">
        <f t="shared" si="376"/>
        <v>0</v>
      </c>
      <c r="E725" s="1">
        <f t="shared" si="377"/>
        <v>0</v>
      </c>
      <c r="F725" s="1">
        <f t="shared" si="378"/>
        <v>0</v>
      </c>
      <c r="G725" s="1">
        <f t="shared" si="379"/>
        <v>0</v>
      </c>
      <c r="H725" s="1">
        <f t="shared" si="366"/>
        <v>0</v>
      </c>
      <c r="I725" s="10">
        <f t="shared" si="380"/>
        <v>0</v>
      </c>
      <c r="J725" s="1">
        <f t="shared" si="367"/>
        <v>0</v>
      </c>
      <c r="K725" s="1">
        <f t="shared" si="368"/>
        <v>0</v>
      </c>
      <c r="L725" s="1" t="str">
        <f t="shared" si="369"/>
        <v>0</v>
      </c>
      <c r="M725" s="10">
        <f t="shared" si="370"/>
        <v>0</v>
      </c>
      <c r="N725" s="1">
        <f t="shared" si="381"/>
        <v>0</v>
      </c>
      <c r="O725" s="1">
        <f t="shared" si="373"/>
        <v>0</v>
      </c>
      <c r="P725" s="1">
        <f t="shared" si="371"/>
        <v>0</v>
      </c>
      <c r="Q725" s="3" t="str">
        <f t="shared" si="372"/>
        <v/>
      </c>
      <c r="T725" s="13" t="str">
        <f t="shared" si="382"/>
        <v/>
      </c>
      <c r="U725" s="14" t="str">
        <f t="shared" si="383"/>
        <v/>
      </c>
      <c r="V725" s="13" t="str">
        <f t="shared" si="384"/>
        <v/>
      </c>
      <c r="W725" s="13" t="str">
        <f t="shared" si="385"/>
        <v/>
      </c>
      <c r="X725" s="14" t="str">
        <f t="shared" si="386"/>
        <v/>
      </c>
    </row>
    <row r="726" spans="2:24" x14ac:dyDescent="0.3">
      <c r="B726" s="1">
        <f t="shared" si="374"/>
        <v>0</v>
      </c>
      <c r="C726" s="1">
        <f t="shared" si="375"/>
        <v>0</v>
      </c>
      <c r="D726" s="10">
        <f t="shared" si="376"/>
        <v>0</v>
      </c>
      <c r="E726" s="1">
        <f t="shared" si="377"/>
        <v>0</v>
      </c>
      <c r="F726" s="1">
        <f t="shared" si="378"/>
        <v>0</v>
      </c>
      <c r="G726" s="1">
        <f t="shared" si="379"/>
        <v>0</v>
      </c>
      <c r="H726" s="1">
        <f t="shared" si="366"/>
        <v>0</v>
      </c>
      <c r="I726" s="10">
        <f t="shared" si="380"/>
        <v>0</v>
      </c>
      <c r="J726" s="1">
        <f t="shared" si="367"/>
        <v>0</v>
      </c>
      <c r="K726" s="1">
        <f t="shared" si="368"/>
        <v>0</v>
      </c>
      <c r="L726" s="1" t="str">
        <f t="shared" si="369"/>
        <v>0</v>
      </c>
      <c r="M726" s="10">
        <f t="shared" si="370"/>
        <v>0</v>
      </c>
      <c r="N726" s="1">
        <f t="shared" si="381"/>
        <v>0</v>
      </c>
      <c r="O726" s="1">
        <f t="shared" si="373"/>
        <v>0</v>
      </c>
      <c r="P726" s="1">
        <f t="shared" si="371"/>
        <v>0</v>
      </c>
      <c r="Q726" s="3" t="str">
        <f t="shared" si="372"/>
        <v/>
      </c>
      <c r="T726" s="13" t="str">
        <f t="shared" si="382"/>
        <v/>
      </c>
      <c r="U726" s="14" t="str">
        <f t="shared" si="383"/>
        <v/>
      </c>
      <c r="V726" s="13" t="str">
        <f t="shared" si="384"/>
        <v/>
      </c>
      <c r="W726" s="13" t="str">
        <f t="shared" si="385"/>
        <v/>
      </c>
      <c r="X726" s="14" t="str">
        <f t="shared" si="386"/>
        <v/>
      </c>
    </row>
    <row r="727" spans="2:24" x14ac:dyDescent="0.3">
      <c r="B727" s="1">
        <f t="shared" si="374"/>
        <v>0</v>
      </c>
      <c r="C727" s="1">
        <f t="shared" si="375"/>
        <v>0</v>
      </c>
      <c r="D727" s="10">
        <f t="shared" si="376"/>
        <v>0</v>
      </c>
      <c r="E727" s="1">
        <f t="shared" si="377"/>
        <v>0</v>
      </c>
      <c r="F727" s="1">
        <f t="shared" si="378"/>
        <v>0</v>
      </c>
      <c r="G727" s="1">
        <f t="shared" si="379"/>
        <v>0</v>
      </c>
      <c r="H727" s="1">
        <f t="shared" si="366"/>
        <v>0</v>
      </c>
      <c r="I727" s="10">
        <f t="shared" si="380"/>
        <v>0</v>
      </c>
      <c r="J727" s="1">
        <f t="shared" si="367"/>
        <v>0</v>
      </c>
      <c r="K727" s="1">
        <f t="shared" si="368"/>
        <v>0</v>
      </c>
      <c r="L727" s="1" t="str">
        <f t="shared" si="369"/>
        <v>0</v>
      </c>
      <c r="M727" s="10">
        <f t="shared" si="370"/>
        <v>0</v>
      </c>
      <c r="N727" s="1">
        <f t="shared" si="381"/>
        <v>0</v>
      </c>
      <c r="O727" s="1">
        <f t="shared" si="373"/>
        <v>0</v>
      </c>
      <c r="P727" s="1">
        <f t="shared" si="371"/>
        <v>0</v>
      </c>
      <c r="Q727" s="3" t="str">
        <f t="shared" si="372"/>
        <v/>
      </c>
      <c r="T727" s="13" t="str">
        <f t="shared" si="382"/>
        <v/>
      </c>
      <c r="U727" s="14" t="str">
        <f t="shared" si="383"/>
        <v/>
      </c>
      <c r="V727" s="13" t="str">
        <f t="shared" si="384"/>
        <v/>
      </c>
      <c r="W727" s="13" t="str">
        <f t="shared" si="385"/>
        <v/>
      </c>
      <c r="X727" s="14" t="str">
        <f t="shared" si="386"/>
        <v/>
      </c>
    </row>
    <row r="728" spans="2:24" x14ac:dyDescent="0.3">
      <c r="B728" s="1">
        <f t="shared" si="374"/>
        <v>0</v>
      </c>
      <c r="C728" s="1">
        <f t="shared" si="375"/>
        <v>0</v>
      </c>
      <c r="D728" s="10">
        <f t="shared" si="376"/>
        <v>0</v>
      </c>
      <c r="E728" s="1">
        <f t="shared" si="377"/>
        <v>0</v>
      </c>
      <c r="F728" s="1">
        <f t="shared" si="378"/>
        <v>0</v>
      </c>
      <c r="G728" s="1">
        <f t="shared" si="379"/>
        <v>0</v>
      </c>
      <c r="H728" s="1">
        <f t="shared" si="366"/>
        <v>0</v>
      </c>
      <c r="I728" s="10">
        <f t="shared" si="380"/>
        <v>0</v>
      </c>
      <c r="J728" s="1">
        <f t="shared" si="367"/>
        <v>0</v>
      </c>
      <c r="K728" s="1">
        <f t="shared" si="368"/>
        <v>0</v>
      </c>
      <c r="L728" s="1" t="str">
        <f t="shared" si="369"/>
        <v>0</v>
      </c>
      <c r="M728" s="10">
        <f t="shared" si="370"/>
        <v>0</v>
      </c>
      <c r="N728" s="1">
        <f t="shared" si="381"/>
        <v>0</v>
      </c>
      <c r="O728" s="1">
        <f t="shared" si="373"/>
        <v>0</v>
      </c>
      <c r="P728" s="1">
        <f t="shared" si="371"/>
        <v>0</v>
      </c>
      <c r="Q728" s="3" t="str">
        <f t="shared" si="372"/>
        <v/>
      </c>
      <c r="T728" s="13" t="str">
        <f t="shared" si="382"/>
        <v/>
      </c>
      <c r="U728" s="14" t="str">
        <f t="shared" si="383"/>
        <v/>
      </c>
      <c r="V728" s="13" t="str">
        <f t="shared" si="384"/>
        <v/>
      </c>
      <c r="W728" s="13" t="str">
        <f t="shared" si="385"/>
        <v/>
      </c>
      <c r="X728" s="14" t="str">
        <f t="shared" si="386"/>
        <v/>
      </c>
    </row>
    <row r="729" spans="2:24" x14ac:dyDescent="0.3">
      <c r="B729" s="1">
        <f t="shared" si="374"/>
        <v>0</v>
      </c>
      <c r="C729" s="1">
        <f t="shared" si="375"/>
        <v>0</v>
      </c>
      <c r="D729" s="10">
        <f t="shared" si="376"/>
        <v>0</v>
      </c>
      <c r="E729" s="1">
        <f t="shared" si="377"/>
        <v>0</v>
      </c>
      <c r="F729" s="1">
        <f t="shared" si="378"/>
        <v>0</v>
      </c>
      <c r="G729" s="1">
        <f t="shared" si="379"/>
        <v>0</v>
      </c>
      <c r="H729" s="1">
        <f t="shared" si="366"/>
        <v>0</v>
      </c>
      <c r="I729" s="10">
        <f t="shared" si="380"/>
        <v>0</v>
      </c>
      <c r="J729" s="1">
        <f t="shared" si="367"/>
        <v>0</v>
      </c>
      <c r="K729" s="1">
        <f t="shared" si="368"/>
        <v>0</v>
      </c>
      <c r="L729" s="1" t="str">
        <f t="shared" si="369"/>
        <v>0</v>
      </c>
      <c r="M729" s="10">
        <f t="shared" si="370"/>
        <v>0</v>
      </c>
      <c r="N729" s="1">
        <f t="shared" si="381"/>
        <v>0</v>
      </c>
      <c r="O729" s="1">
        <f t="shared" si="373"/>
        <v>0</v>
      </c>
      <c r="P729" s="1">
        <f t="shared" si="371"/>
        <v>0</v>
      </c>
      <c r="Q729" s="3" t="str">
        <f t="shared" si="372"/>
        <v/>
      </c>
      <c r="T729" s="13" t="str">
        <f t="shared" si="382"/>
        <v/>
      </c>
      <c r="U729" s="14" t="str">
        <f t="shared" si="383"/>
        <v/>
      </c>
      <c r="V729" s="13" t="str">
        <f t="shared" si="384"/>
        <v/>
      </c>
      <c r="W729" s="13" t="str">
        <f t="shared" si="385"/>
        <v/>
      </c>
      <c r="X729" s="14" t="str">
        <f t="shared" si="386"/>
        <v/>
      </c>
    </row>
    <row r="730" spans="2:24" x14ac:dyDescent="0.3">
      <c r="B730" s="1">
        <f t="shared" si="374"/>
        <v>0</v>
      </c>
      <c r="C730" s="1">
        <f t="shared" si="375"/>
        <v>0</v>
      </c>
      <c r="D730" s="10">
        <f t="shared" si="376"/>
        <v>0</v>
      </c>
      <c r="E730" s="1">
        <f t="shared" si="377"/>
        <v>0</v>
      </c>
      <c r="F730" s="1">
        <f t="shared" si="378"/>
        <v>0</v>
      </c>
      <c r="G730" s="1">
        <f t="shared" si="379"/>
        <v>0</v>
      </c>
      <c r="H730" s="1">
        <f t="shared" si="366"/>
        <v>0</v>
      </c>
      <c r="I730" s="10">
        <f t="shared" si="380"/>
        <v>0</v>
      </c>
      <c r="J730" s="1">
        <f t="shared" si="367"/>
        <v>0</v>
      </c>
      <c r="K730" s="1">
        <f t="shared" si="368"/>
        <v>0</v>
      </c>
      <c r="L730" s="1" t="str">
        <f t="shared" si="369"/>
        <v>0</v>
      </c>
      <c r="M730" s="10">
        <f t="shared" si="370"/>
        <v>0</v>
      </c>
      <c r="N730" s="1">
        <f t="shared" si="381"/>
        <v>0</v>
      </c>
      <c r="O730" s="1">
        <f t="shared" si="373"/>
        <v>0</v>
      </c>
      <c r="P730" s="1">
        <f t="shared" si="371"/>
        <v>0</v>
      </c>
      <c r="Q730" s="3" t="str">
        <f t="shared" si="372"/>
        <v/>
      </c>
      <c r="T730" s="13" t="str">
        <f t="shared" si="382"/>
        <v/>
      </c>
      <c r="U730" s="14" t="str">
        <f t="shared" si="383"/>
        <v/>
      </c>
      <c r="V730" s="13" t="str">
        <f t="shared" si="384"/>
        <v/>
      </c>
      <c r="W730" s="13" t="str">
        <f t="shared" si="385"/>
        <v/>
      </c>
      <c r="X730" s="14" t="str">
        <f t="shared" si="386"/>
        <v/>
      </c>
    </row>
    <row r="731" spans="2:24" x14ac:dyDescent="0.3">
      <c r="B731" s="1">
        <f t="shared" si="374"/>
        <v>0</v>
      </c>
      <c r="C731" s="1">
        <f t="shared" si="375"/>
        <v>0</v>
      </c>
      <c r="D731" s="10">
        <f t="shared" si="376"/>
        <v>0</v>
      </c>
      <c r="E731" s="1">
        <f t="shared" si="377"/>
        <v>0</v>
      </c>
      <c r="F731" s="1">
        <f t="shared" si="378"/>
        <v>0</v>
      </c>
      <c r="G731" s="1">
        <f t="shared" si="379"/>
        <v>0</v>
      </c>
      <c r="H731" s="1">
        <f t="shared" si="366"/>
        <v>0</v>
      </c>
      <c r="I731" s="10">
        <f t="shared" si="380"/>
        <v>0</v>
      </c>
      <c r="J731" s="1">
        <f t="shared" si="367"/>
        <v>0</v>
      </c>
      <c r="K731" s="1">
        <f t="shared" si="368"/>
        <v>0</v>
      </c>
      <c r="L731" s="1" t="str">
        <f t="shared" si="369"/>
        <v>0</v>
      </c>
      <c r="M731" s="10">
        <f t="shared" si="370"/>
        <v>0</v>
      </c>
      <c r="N731" s="1">
        <f t="shared" si="381"/>
        <v>0</v>
      </c>
      <c r="O731" s="1">
        <f t="shared" si="373"/>
        <v>0</v>
      </c>
      <c r="P731" s="1">
        <f t="shared" si="371"/>
        <v>0</v>
      </c>
      <c r="Q731" s="3" t="str">
        <f t="shared" si="372"/>
        <v/>
      </c>
      <c r="T731" s="13" t="str">
        <f t="shared" si="382"/>
        <v/>
      </c>
      <c r="U731" s="14" t="str">
        <f t="shared" si="383"/>
        <v/>
      </c>
      <c r="V731" s="13" t="str">
        <f t="shared" si="384"/>
        <v/>
      </c>
      <c r="W731" s="13" t="str">
        <f t="shared" si="385"/>
        <v/>
      </c>
      <c r="X731" s="14" t="str">
        <f t="shared" si="386"/>
        <v/>
      </c>
    </row>
    <row r="732" spans="2:24" x14ac:dyDescent="0.3">
      <c r="B732" s="1">
        <f t="shared" si="374"/>
        <v>0</v>
      </c>
      <c r="C732" s="1">
        <f t="shared" si="375"/>
        <v>0</v>
      </c>
      <c r="D732" s="10">
        <f t="shared" si="376"/>
        <v>0</v>
      </c>
      <c r="E732" s="1">
        <f t="shared" si="377"/>
        <v>0</v>
      </c>
      <c r="F732" s="1">
        <f t="shared" si="378"/>
        <v>0</v>
      </c>
      <c r="G732" s="1">
        <f t="shared" si="379"/>
        <v>0</v>
      </c>
      <c r="H732" s="1">
        <f t="shared" si="366"/>
        <v>0</v>
      </c>
      <c r="I732" s="10">
        <f t="shared" si="380"/>
        <v>0</v>
      </c>
      <c r="J732" s="1">
        <f t="shared" si="367"/>
        <v>0</v>
      </c>
      <c r="K732" s="1">
        <f t="shared" si="368"/>
        <v>0</v>
      </c>
      <c r="L732" s="1" t="str">
        <f t="shared" si="369"/>
        <v>0</v>
      </c>
      <c r="M732" s="10">
        <f t="shared" si="370"/>
        <v>0</v>
      </c>
      <c r="N732" s="1">
        <f t="shared" si="381"/>
        <v>0</v>
      </c>
      <c r="O732" s="1">
        <f t="shared" si="373"/>
        <v>0</v>
      </c>
      <c r="P732" s="1">
        <f t="shared" si="371"/>
        <v>0</v>
      </c>
      <c r="Q732" s="3" t="str">
        <f t="shared" si="372"/>
        <v/>
      </c>
      <c r="T732" s="13" t="str">
        <f t="shared" si="382"/>
        <v/>
      </c>
      <c r="U732" s="14" t="str">
        <f t="shared" si="383"/>
        <v/>
      </c>
      <c r="V732" s="13" t="str">
        <f t="shared" si="384"/>
        <v/>
      </c>
      <c r="W732" s="13" t="str">
        <f t="shared" si="385"/>
        <v/>
      </c>
      <c r="X732" s="14" t="str">
        <f t="shared" si="386"/>
        <v/>
      </c>
    </row>
    <row r="733" spans="2:24" x14ac:dyDescent="0.3">
      <c r="B733" s="1">
        <f t="shared" si="374"/>
        <v>0</v>
      </c>
      <c r="C733" s="1">
        <f t="shared" si="375"/>
        <v>0</v>
      </c>
      <c r="D733" s="10">
        <f t="shared" si="376"/>
        <v>0</v>
      </c>
      <c r="E733" s="1">
        <f t="shared" si="377"/>
        <v>0</v>
      </c>
      <c r="F733" s="1">
        <f t="shared" si="378"/>
        <v>0</v>
      </c>
      <c r="G733" s="1">
        <f t="shared" si="379"/>
        <v>0</v>
      </c>
      <c r="H733" s="1">
        <f t="shared" si="366"/>
        <v>0</v>
      </c>
      <c r="I733" s="10">
        <f t="shared" si="380"/>
        <v>0</v>
      </c>
      <c r="J733" s="1">
        <f t="shared" si="367"/>
        <v>0</v>
      </c>
      <c r="K733" s="1">
        <f t="shared" si="368"/>
        <v>0</v>
      </c>
      <c r="L733" s="1" t="str">
        <f t="shared" si="369"/>
        <v>0</v>
      </c>
      <c r="M733" s="10">
        <f t="shared" si="370"/>
        <v>0</v>
      </c>
      <c r="N733" s="1">
        <f t="shared" si="381"/>
        <v>0</v>
      </c>
      <c r="O733" s="1">
        <f t="shared" si="373"/>
        <v>0</v>
      </c>
      <c r="P733" s="1">
        <f t="shared" si="371"/>
        <v>0</v>
      </c>
      <c r="Q733" s="3" t="str">
        <f t="shared" si="372"/>
        <v/>
      </c>
      <c r="T733" s="13" t="str">
        <f t="shared" si="382"/>
        <v/>
      </c>
      <c r="U733" s="14" t="str">
        <f t="shared" si="383"/>
        <v/>
      </c>
      <c r="V733" s="13" t="str">
        <f t="shared" si="384"/>
        <v/>
      </c>
      <c r="W733" s="13" t="str">
        <f t="shared" si="385"/>
        <v/>
      </c>
      <c r="X733" s="14" t="str">
        <f t="shared" si="386"/>
        <v/>
      </c>
    </row>
    <row r="734" spans="2:24" x14ac:dyDescent="0.3">
      <c r="B734" s="1">
        <f t="shared" si="374"/>
        <v>0</v>
      </c>
      <c r="C734" s="1">
        <f t="shared" si="375"/>
        <v>0</v>
      </c>
      <c r="D734" s="10">
        <f t="shared" si="376"/>
        <v>0</v>
      </c>
      <c r="E734" s="1">
        <f t="shared" si="377"/>
        <v>0</v>
      </c>
      <c r="F734" s="1">
        <f t="shared" si="378"/>
        <v>0</v>
      </c>
      <c r="G734" s="1">
        <f t="shared" si="379"/>
        <v>0</v>
      </c>
      <c r="H734" s="1">
        <f t="shared" si="366"/>
        <v>0</v>
      </c>
      <c r="I734" s="10">
        <f t="shared" si="380"/>
        <v>0</v>
      </c>
      <c r="J734" s="1">
        <f t="shared" si="367"/>
        <v>0</v>
      </c>
      <c r="K734" s="1">
        <f t="shared" si="368"/>
        <v>0</v>
      </c>
      <c r="L734" s="1" t="str">
        <f t="shared" si="369"/>
        <v>0</v>
      </c>
      <c r="M734" s="10">
        <f t="shared" si="370"/>
        <v>0</v>
      </c>
      <c r="N734" s="1">
        <f t="shared" si="381"/>
        <v>0</v>
      </c>
      <c r="O734" s="1">
        <f t="shared" si="373"/>
        <v>0</v>
      </c>
      <c r="P734" s="1">
        <f t="shared" si="371"/>
        <v>0</v>
      </c>
      <c r="Q734" s="3" t="str">
        <f t="shared" si="372"/>
        <v/>
      </c>
      <c r="T734" s="13" t="str">
        <f t="shared" si="382"/>
        <v/>
      </c>
      <c r="U734" s="14" t="str">
        <f t="shared" si="383"/>
        <v/>
      </c>
      <c r="V734" s="13" t="str">
        <f t="shared" si="384"/>
        <v/>
      </c>
      <c r="W734" s="13" t="str">
        <f t="shared" si="385"/>
        <v/>
      </c>
      <c r="X734" s="14" t="str">
        <f t="shared" si="386"/>
        <v/>
      </c>
    </row>
    <row r="735" spans="2:24" x14ac:dyDescent="0.3">
      <c r="B735" s="1">
        <f t="shared" si="374"/>
        <v>0</v>
      </c>
      <c r="C735" s="1">
        <f t="shared" si="375"/>
        <v>0</v>
      </c>
      <c r="D735" s="10">
        <f t="shared" si="376"/>
        <v>0</v>
      </c>
      <c r="E735" s="1">
        <f t="shared" si="377"/>
        <v>0</v>
      </c>
      <c r="F735" s="1">
        <f t="shared" si="378"/>
        <v>0</v>
      </c>
      <c r="G735" s="1">
        <f t="shared" si="379"/>
        <v>0</v>
      </c>
      <c r="H735" s="1">
        <f t="shared" si="366"/>
        <v>0</v>
      </c>
      <c r="I735" s="10">
        <f t="shared" si="380"/>
        <v>0</v>
      </c>
      <c r="J735" s="1">
        <f t="shared" si="367"/>
        <v>0</v>
      </c>
      <c r="K735" s="1">
        <f t="shared" si="368"/>
        <v>0</v>
      </c>
      <c r="L735" s="1" t="str">
        <f t="shared" si="369"/>
        <v>0</v>
      </c>
      <c r="M735" s="10">
        <f t="shared" si="370"/>
        <v>0</v>
      </c>
      <c r="N735" s="1">
        <f t="shared" si="381"/>
        <v>0</v>
      </c>
      <c r="O735" s="1">
        <f t="shared" si="373"/>
        <v>0</v>
      </c>
      <c r="P735" s="1">
        <f t="shared" si="371"/>
        <v>0</v>
      </c>
      <c r="Q735" s="3" t="str">
        <f t="shared" si="372"/>
        <v/>
      </c>
      <c r="T735" s="13" t="str">
        <f t="shared" si="382"/>
        <v/>
      </c>
      <c r="U735" s="14" t="str">
        <f t="shared" si="383"/>
        <v/>
      </c>
      <c r="V735" s="13" t="str">
        <f t="shared" si="384"/>
        <v/>
      </c>
      <c r="W735" s="13" t="str">
        <f t="shared" si="385"/>
        <v/>
      </c>
      <c r="X735" s="14" t="str">
        <f t="shared" si="386"/>
        <v/>
      </c>
    </row>
    <row r="736" spans="2:24" x14ac:dyDescent="0.3">
      <c r="B736" s="1">
        <f t="shared" si="374"/>
        <v>0</v>
      </c>
      <c r="C736" s="1">
        <f t="shared" si="375"/>
        <v>0</v>
      </c>
      <c r="D736" s="10">
        <f t="shared" si="376"/>
        <v>0</v>
      </c>
      <c r="E736" s="1">
        <f t="shared" si="377"/>
        <v>0</v>
      </c>
      <c r="F736" s="1">
        <f t="shared" si="378"/>
        <v>0</v>
      </c>
      <c r="G736" s="1">
        <f t="shared" si="379"/>
        <v>0</v>
      </c>
      <c r="H736" s="1">
        <f t="shared" si="366"/>
        <v>0</v>
      </c>
      <c r="I736" s="10">
        <f t="shared" si="380"/>
        <v>0</v>
      </c>
      <c r="J736" s="1">
        <f t="shared" si="367"/>
        <v>0</v>
      </c>
      <c r="K736" s="1">
        <f t="shared" si="368"/>
        <v>0</v>
      </c>
      <c r="L736" s="1" t="str">
        <f t="shared" si="369"/>
        <v>0</v>
      </c>
      <c r="M736" s="10">
        <f t="shared" si="370"/>
        <v>0</v>
      </c>
      <c r="N736" s="1">
        <f t="shared" si="381"/>
        <v>0</v>
      </c>
      <c r="O736" s="1">
        <f t="shared" si="373"/>
        <v>0</v>
      </c>
      <c r="P736" s="1">
        <f t="shared" si="371"/>
        <v>0</v>
      </c>
      <c r="Q736" s="3" t="str">
        <f t="shared" si="372"/>
        <v/>
      </c>
      <c r="T736" s="13" t="str">
        <f t="shared" si="382"/>
        <v/>
      </c>
      <c r="U736" s="14" t="str">
        <f t="shared" si="383"/>
        <v/>
      </c>
      <c r="V736" s="13" t="str">
        <f t="shared" si="384"/>
        <v/>
      </c>
      <c r="W736" s="13" t="str">
        <f t="shared" si="385"/>
        <v/>
      </c>
      <c r="X736" s="14" t="str">
        <f t="shared" si="386"/>
        <v/>
      </c>
    </row>
    <row r="737" spans="2:24" x14ac:dyDescent="0.3">
      <c r="B737" s="1">
        <f t="shared" si="374"/>
        <v>0</v>
      </c>
      <c r="C737" s="1">
        <f t="shared" si="375"/>
        <v>0</v>
      </c>
      <c r="D737" s="10">
        <f t="shared" si="376"/>
        <v>0</v>
      </c>
      <c r="E737" s="1">
        <f t="shared" si="377"/>
        <v>0</v>
      </c>
      <c r="F737" s="1">
        <f t="shared" si="378"/>
        <v>0</v>
      </c>
      <c r="G737" s="1">
        <f t="shared" si="379"/>
        <v>0</v>
      </c>
      <c r="H737" s="1">
        <f t="shared" si="366"/>
        <v>0</v>
      </c>
      <c r="I737" s="10">
        <f t="shared" si="380"/>
        <v>0</v>
      </c>
      <c r="J737" s="1">
        <f t="shared" si="367"/>
        <v>0</v>
      </c>
      <c r="K737" s="1">
        <f t="shared" si="368"/>
        <v>0</v>
      </c>
      <c r="L737" s="1" t="str">
        <f t="shared" si="369"/>
        <v>0</v>
      </c>
      <c r="M737" s="10">
        <f t="shared" si="370"/>
        <v>0</v>
      </c>
      <c r="N737" s="1">
        <f t="shared" si="381"/>
        <v>0</v>
      </c>
      <c r="O737" s="1">
        <f t="shared" si="373"/>
        <v>0</v>
      </c>
      <c r="P737" s="1">
        <f t="shared" si="371"/>
        <v>0</v>
      </c>
      <c r="Q737" s="3" t="str">
        <f t="shared" si="372"/>
        <v/>
      </c>
      <c r="T737" s="13" t="str">
        <f t="shared" si="382"/>
        <v/>
      </c>
      <c r="U737" s="14" t="str">
        <f t="shared" si="383"/>
        <v/>
      </c>
      <c r="V737" s="13" t="str">
        <f t="shared" si="384"/>
        <v/>
      </c>
      <c r="W737" s="13" t="str">
        <f t="shared" si="385"/>
        <v/>
      </c>
      <c r="X737" s="14" t="str">
        <f t="shared" si="386"/>
        <v/>
      </c>
    </row>
    <row r="738" spans="2:24" x14ac:dyDescent="0.3">
      <c r="B738" s="1">
        <f t="shared" si="374"/>
        <v>0</v>
      </c>
      <c r="C738" s="1">
        <f t="shared" si="375"/>
        <v>0</v>
      </c>
      <c r="D738" s="10">
        <f t="shared" si="376"/>
        <v>0</v>
      </c>
      <c r="E738" s="1">
        <f t="shared" si="377"/>
        <v>0</v>
      </c>
      <c r="F738" s="1">
        <f t="shared" si="378"/>
        <v>0</v>
      </c>
      <c r="G738" s="1">
        <f t="shared" si="379"/>
        <v>0</v>
      </c>
      <c r="H738" s="1">
        <f t="shared" si="366"/>
        <v>0</v>
      </c>
      <c r="I738" s="10">
        <f t="shared" si="380"/>
        <v>0</v>
      </c>
      <c r="J738" s="1">
        <f t="shared" si="367"/>
        <v>0</v>
      </c>
      <c r="K738" s="1">
        <f t="shared" si="368"/>
        <v>0</v>
      </c>
      <c r="L738" s="1" t="str">
        <f t="shared" si="369"/>
        <v>0</v>
      </c>
      <c r="M738" s="10">
        <f t="shared" si="370"/>
        <v>0</v>
      </c>
      <c r="N738" s="1">
        <f t="shared" si="381"/>
        <v>0</v>
      </c>
      <c r="O738" s="1">
        <f t="shared" si="373"/>
        <v>0</v>
      </c>
      <c r="P738" s="1">
        <f t="shared" si="371"/>
        <v>0</v>
      </c>
      <c r="Q738" s="3" t="str">
        <f t="shared" si="372"/>
        <v/>
      </c>
      <c r="T738" s="13" t="str">
        <f t="shared" si="382"/>
        <v/>
      </c>
      <c r="U738" s="14" t="str">
        <f t="shared" si="383"/>
        <v/>
      </c>
      <c r="V738" s="13" t="str">
        <f t="shared" si="384"/>
        <v/>
      </c>
      <c r="W738" s="13" t="str">
        <f t="shared" si="385"/>
        <v/>
      </c>
      <c r="X738" s="14" t="str">
        <f t="shared" si="386"/>
        <v/>
      </c>
    </row>
    <row r="739" spans="2:24" x14ac:dyDescent="0.3">
      <c r="B739" s="1">
        <f t="shared" si="374"/>
        <v>0</v>
      </c>
      <c r="C739" s="1">
        <f t="shared" si="375"/>
        <v>0</v>
      </c>
      <c r="D739" s="10">
        <f t="shared" si="376"/>
        <v>0</v>
      </c>
      <c r="E739" s="1">
        <f t="shared" si="377"/>
        <v>0</v>
      </c>
      <c r="F739" s="1">
        <f t="shared" si="378"/>
        <v>0</v>
      </c>
      <c r="G739" s="1">
        <f t="shared" si="379"/>
        <v>0</v>
      </c>
      <c r="H739" s="1">
        <f t="shared" si="366"/>
        <v>0</v>
      </c>
      <c r="I739" s="10">
        <f t="shared" si="380"/>
        <v>0</v>
      </c>
      <c r="J739" s="1">
        <f t="shared" si="367"/>
        <v>0</v>
      </c>
      <c r="K739" s="1">
        <f t="shared" si="368"/>
        <v>0</v>
      </c>
      <c r="L739" s="1" t="str">
        <f t="shared" si="369"/>
        <v>0</v>
      </c>
      <c r="M739" s="10">
        <f t="shared" si="370"/>
        <v>0</v>
      </c>
      <c r="N739" s="1">
        <f t="shared" si="381"/>
        <v>0</v>
      </c>
      <c r="O739" s="1">
        <f t="shared" si="373"/>
        <v>0</v>
      </c>
      <c r="P739" s="1">
        <f t="shared" si="371"/>
        <v>0</v>
      </c>
      <c r="Q739" s="3" t="str">
        <f t="shared" si="372"/>
        <v/>
      </c>
      <c r="T739" s="13" t="str">
        <f t="shared" si="382"/>
        <v/>
      </c>
      <c r="U739" s="14" t="str">
        <f t="shared" si="383"/>
        <v/>
      </c>
      <c r="V739" s="13" t="str">
        <f t="shared" si="384"/>
        <v/>
      </c>
      <c r="W739" s="13" t="str">
        <f t="shared" si="385"/>
        <v/>
      </c>
      <c r="X739" s="14" t="str">
        <f t="shared" si="386"/>
        <v/>
      </c>
    </row>
    <row r="740" spans="2:24" x14ac:dyDescent="0.3">
      <c r="B740" s="1">
        <f t="shared" si="374"/>
        <v>0</v>
      </c>
      <c r="C740" s="1">
        <f t="shared" si="375"/>
        <v>0</v>
      </c>
      <c r="D740" s="10">
        <f t="shared" si="376"/>
        <v>0</v>
      </c>
      <c r="E740" s="1">
        <f t="shared" si="377"/>
        <v>0</v>
      </c>
      <c r="F740" s="1">
        <f t="shared" si="378"/>
        <v>0</v>
      </c>
      <c r="G740" s="1">
        <f t="shared" si="379"/>
        <v>0</v>
      </c>
      <c r="H740" s="1">
        <f t="shared" si="366"/>
        <v>0</v>
      </c>
      <c r="I740" s="10">
        <f t="shared" si="380"/>
        <v>0</v>
      </c>
      <c r="J740" s="1">
        <f t="shared" si="367"/>
        <v>0</v>
      </c>
      <c r="K740" s="1">
        <f t="shared" si="368"/>
        <v>0</v>
      </c>
      <c r="L740" s="1" t="str">
        <f t="shared" si="369"/>
        <v>0</v>
      </c>
      <c r="M740" s="10">
        <f t="shared" si="370"/>
        <v>0</v>
      </c>
      <c r="N740" s="1">
        <f t="shared" si="381"/>
        <v>0</v>
      </c>
      <c r="O740" s="1">
        <f t="shared" si="373"/>
        <v>0</v>
      </c>
      <c r="P740" s="1">
        <f t="shared" si="371"/>
        <v>0</v>
      </c>
      <c r="Q740" s="3" t="str">
        <f t="shared" si="372"/>
        <v/>
      </c>
      <c r="T740" s="13" t="str">
        <f t="shared" si="382"/>
        <v/>
      </c>
      <c r="U740" s="14" t="str">
        <f t="shared" si="383"/>
        <v/>
      </c>
      <c r="V740" s="13" t="str">
        <f t="shared" si="384"/>
        <v/>
      </c>
      <c r="W740" s="13" t="str">
        <f t="shared" si="385"/>
        <v/>
      </c>
      <c r="X740" s="14" t="str">
        <f t="shared" si="386"/>
        <v/>
      </c>
    </row>
    <row r="741" spans="2:24" x14ac:dyDescent="0.3">
      <c r="B741" s="1">
        <f t="shared" si="374"/>
        <v>0</v>
      </c>
      <c r="C741" s="1">
        <f t="shared" si="375"/>
        <v>0</v>
      </c>
      <c r="D741" s="10">
        <f t="shared" si="376"/>
        <v>0</v>
      </c>
      <c r="E741" s="1">
        <f t="shared" si="377"/>
        <v>0</v>
      </c>
      <c r="F741" s="1">
        <f t="shared" si="378"/>
        <v>0</v>
      </c>
      <c r="G741" s="1">
        <f t="shared" si="379"/>
        <v>0</v>
      </c>
      <c r="H741" s="1">
        <f t="shared" si="366"/>
        <v>0</v>
      </c>
      <c r="I741" s="10">
        <f t="shared" si="380"/>
        <v>0</v>
      </c>
      <c r="J741" s="1">
        <f t="shared" si="367"/>
        <v>0</v>
      </c>
      <c r="K741" s="1">
        <f t="shared" si="368"/>
        <v>0</v>
      </c>
      <c r="L741" s="1" t="str">
        <f t="shared" si="369"/>
        <v>0</v>
      </c>
      <c r="M741" s="10">
        <f t="shared" si="370"/>
        <v>0</v>
      </c>
      <c r="N741" s="1">
        <f t="shared" si="381"/>
        <v>0</v>
      </c>
      <c r="O741" s="1">
        <f t="shared" si="373"/>
        <v>0</v>
      </c>
      <c r="P741" s="1">
        <f t="shared" si="371"/>
        <v>0</v>
      </c>
      <c r="Q741" s="3" t="str">
        <f t="shared" si="372"/>
        <v/>
      </c>
      <c r="T741" s="13" t="str">
        <f t="shared" si="382"/>
        <v/>
      </c>
      <c r="U741" s="14" t="str">
        <f t="shared" si="383"/>
        <v/>
      </c>
      <c r="V741" s="13" t="str">
        <f t="shared" si="384"/>
        <v/>
      </c>
      <c r="W741" s="13" t="str">
        <f t="shared" si="385"/>
        <v/>
      </c>
      <c r="X741" s="14" t="str">
        <f t="shared" si="386"/>
        <v/>
      </c>
    </row>
    <row r="742" spans="2:24" x14ac:dyDescent="0.3">
      <c r="B742" s="1">
        <f t="shared" si="374"/>
        <v>0</v>
      </c>
      <c r="C742" s="1">
        <f t="shared" si="375"/>
        <v>0</v>
      </c>
      <c r="D742" s="10">
        <f t="shared" si="376"/>
        <v>0</v>
      </c>
      <c r="E742" s="1">
        <f t="shared" si="377"/>
        <v>0</v>
      </c>
      <c r="F742" s="1">
        <f t="shared" si="378"/>
        <v>0</v>
      </c>
      <c r="G742" s="1">
        <f t="shared" si="379"/>
        <v>0</v>
      </c>
      <c r="H742" s="1">
        <f t="shared" si="366"/>
        <v>0</v>
      </c>
      <c r="I742" s="10">
        <f t="shared" si="380"/>
        <v>0</v>
      </c>
      <c r="J742" s="1">
        <f t="shared" si="367"/>
        <v>0</v>
      </c>
      <c r="K742" s="1">
        <f t="shared" si="368"/>
        <v>0</v>
      </c>
      <c r="L742" s="1" t="str">
        <f t="shared" si="369"/>
        <v>0</v>
      </c>
      <c r="M742" s="10">
        <f t="shared" si="370"/>
        <v>0</v>
      </c>
      <c r="N742" s="1">
        <f t="shared" si="381"/>
        <v>0</v>
      </c>
      <c r="O742" s="1">
        <f t="shared" si="373"/>
        <v>0</v>
      </c>
      <c r="P742" s="1">
        <f t="shared" si="371"/>
        <v>0</v>
      </c>
      <c r="Q742" s="3" t="str">
        <f t="shared" si="372"/>
        <v/>
      </c>
      <c r="T742" s="13" t="str">
        <f t="shared" si="382"/>
        <v/>
      </c>
      <c r="U742" s="14" t="str">
        <f t="shared" si="383"/>
        <v/>
      </c>
      <c r="V742" s="13" t="str">
        <f t="shared" si="384"/>
        <v/>
      </c>
      <c r="W742" s="13" t="str">
        <f t="shared" si="385"/>
        <v/>
      </c>
      <c r="X742" s="14" t="str">
        <f t="shared" si="386"/>
        <v/>
      </c>
    </row>
    <row r="743" spans="2:24" x14ac:dyDescent="0.3">
      <c r="B743" s="1">
        <f t="shared" si="374"/>
        <v>0</v>
      </c>
      <c r="C743" s="1">
        <f t="shared" si="375"/>
        <v>0</v>
      </c>
      <c r="D743" s="10">
        <f t="shared" si="376"/>
        <v>0</v>
      </c>
      <c r="E743" s="1">
        <f t="shared" si="377"/>
        <v>0</v>
      </c>
      <c r="F743" s="1">
        <f t="shared" si="378"/>
        <v>0</v>
      </c>
      <c r="G743" s="1">
        <f t="shared" si="379"/>
        <v>0</v>
      </c>
      <c r="H743" s="1">
        <f t="shared" si="366"/>
        <v>0</v>
      </c>
      <c r="I743" s="10">
        <f t="shared" si="380"/>
        <v>0</v>
      </c>
      <c r="J743" s="1">
        <f t="shared" si="367"/>
        <v>0</v>
      </c>
      <c r="K743" s="1">
        <f t="shared" si="368"/>
        <v>0</v>
      </c>
      <c r="L743" s="1" t="str">
        <f t="shared" si="369"/>
        <v>0</v>
      </c>
      <c r="M743" s="10">
        <f t="shared" si="370"/>
        <v>0</v>
      </c>
      <c r="N743" s="1">
        <f t="shared" si="381"/>
        <v>0</v>
      </c>
      <c r="O743" s="1">
        <f t="shared" si="373"/>
        <v>0</v>
      </c>
      <c r="P743" s="1">
        <f t="shared" si="371"/>
        <v>0</v>
      </c>
      <c r="Q743" s="3" t="str">
        <f t="shared" si="372"/>
        <v/>
      </c>
      <c r="T743" s="13" t="str">
        <f t="shared" si="382"/>
        <v/>
      </c>
      <c r="U743" s="14" t="str">
        <f t="shared" si="383"/>
        <v/>
      </c>
      <c r="V743" s="13" t="str">
        <f t="shared" si="384"/>
        <v/>
      </c>
      <c r="W743" s="13" t="str">
        <f t="shared" si="385"/>
        <v/>
      </c>
      <c r="X743" s="14" t="str">
        <f t="shared" si="386"/>
        <v/>
      </c>
    </row>
    <row r="744" spans="2:24" x14ac:dyDescent="0.3">
      <c r="B744" s="1">
        <f t="shared" si="374"/>
        <v>0</v>
      </c>
      <c r="C744" s="1">
        <f t="shared" si="375"/>
        <v>0</v>
      </c>
      <c r="D744" s="10">
        <f t="shared" si="376"/>
        <v>0</v>
      </c>
      <c r="E744" s="1">
        <f t="shared" si="377"/>
        <v>0</v>
      </c>
      <c r="F744" s="1">
        <f t="shared" si="378"/>
        <v>0</v>
      </c>
      <c r="G744" s="1">
        <f t="shared" si="379"/>
        <v>0</v>
      </c>
      <c r="H744" s="1">
        <f t="shared" si="366"/>
        <v>0</v>
      </c>
      <c r="I744" s="10">
        <f t="shared" si="380"/>
        <v>0</v>
      </c>
      <c r="J744" s="1">
        <f t="shared" si="367"/>
        <v>0</v>
      </c>
      <c r="K744" s="1">
        <f t="shared" si="368"/>
        <v>0</v>
      </c>
      <c r="L744" s="1" t="str">
        <f t="shared" si="369"/>
        <v>0</v>
      </c>
      <c r="M744" s="10">
        <f t="shared" si="370"/>
        <v>0</v>
      </c>
      <c r="N744" s="1">
        <f t="shared" si="381"/>
        <v>0</v>
      </c>
      <c r="O744" s="1">
        <f t="shared" si="373"/>
        <v>0</v>
      </c>
      <c r="P744" s="1">
        <f t="shared" si="371"/>
        <v>0</v>
      </c>
      <c r="Q744" s="3" t="str">
        <f t="shared" si="372"/>
        <v/>
      </c>
      <c r="T744" s="13" t="str">
        <f t="shared" si="382"/>
        <v/>
      </c>
      <c r="U744" s="14" t="str">
        <f t="shared" si="383"/>
        <v/>
      </c>
      <c r="V744" s="13" t="str">
        <f t="shared" si="384"/>
        <v/>
      </c>
      <c r="W744" s="13" t="str">
        <f t="shared" si="385"/>
        <v/>
      </c>
      <c r="X744" s="14" t="str">
        <f t="shared" si="386"/>
        <v/>
      </c>
    </row>
    <row r="745" spans="2:24" x14ac:dyDescent="0.3">
      <c r="B745" s="1">
        <f t="shared" si="374"/>
        <v>0</v>
      </c>
      <c r="C745" s="1">
        <f t="shared" si="375"/>
        <v>0</v>
      </c>
      <c r="D745" s="10">
        <f t="shared" si="376"/>
        <v>0</v>
      </c>
      <c r="E745" s="1">
        <f t="shared" si="377"/>
        <v>0</v>
      </c>
      <c r="F745" s="1">
        <f t="shared" si="378"/>
        <v>0</v>
      </c>
      <c r="G745" s="1">
        <f t="shared" si="379"/>
        <v>0</v>
      </c>
      <c r="H745" s="1">
        <f t="shared" si="366"/>
        <v>0</v>
      </c>
      <c r="I745" s="10">
        <f t="shared" si="380"/>
        <v>0</v>
      </c>
      <c r="J745" s="1">
        <f t="shared" si="367"/>
        <v>0</v>
      </c>
      <c r="K745" s="1">
        <f t="shared" si="368"/>
        <v>0</v>
      </c>
      <c r="L745" s="1" t="str">
        <f t="shared" si="369"/>
        <v>0</v>
      </c>
      <c r="M745" s="10">
        <f t="shared" si="370"/>
        <v>0</v>
      </c>
      <c r="N745" s="1">
        <f t="shared" si="381"/>
        <v>0</v>
      </c>
      <c r="O745" s="1">
        <f t="shared" si="373"/>
        <v>0</v>
      </c>
      <c r="P745" s="1">
        <f t="shared" si="371"/>
        <v>0</v>
      </c>
      <c r="Q745" s="3" t="str">
        <f t="shared" si="372"/>
        <v/>
      </c>
      <c r="T745" s="13" t="str">
        <f t="shared" si="382"/>
        <v/>
      </c>
      <c r="U745" s="14" t="str">
        <f t="shared" si="383"/>
        <v/>
      </c>
      <c r="V745" s="13" t="str">
        <f t="shared" si="384"/>
        <v/>
      </c>
      <c r="W745" s="13" t="str">
        <f t="shared" si="385"/>
        <v/>
      </c>
      <c r="X745" s="14" t="str">
        <f t="shared" si="386"/>
        <v/>
      </c>
    </row>
    <row r="746" spans="2:24" x14ac:dyDescent="0.3">
      <c r="B746" s="1">
        <f t="shared" si="374"/>
        <v>0</v>
      </c>
      <c r="C746" s="1">
        <f t="shared" si="375"/>
        <v>0</v>
      </c>
      <c r="D746" s="10">
        <f t="shared" si="376"/>
        <v>0</v>
      </c>
      <c r="E746" s="1">
        <f t="shared" si="377"/>
        <v>0</v>
      </c>
      <c r="F746" s="1">
        <f t="shared" si="378"/>
        <v>0</v>
      </c>
      <c r="G746" s="1">
        <f t="shared" si="379"/>
        <v>0</v>
      </c>
      <c r="H746" s="1">
        <f t="shared" si="366"/>
        <v>0</v>
      </c>
      <c r="I746" s="10">
        <f t="shared" si="380"/>
        <v>0</v>
      </c>
      <c r="J746" s="1">
        <f t="shared" si="367"/>
        <v>0</v>
      </c>
      <c r="K746" s="1">
        <f t="shared" si="368"/>
        <v>0</v>
      </c>
      <c r="L746" s="1" t="str">
        <f t="shared" si="369"/>
        <v>0</v>
      </c>
      <c r="M746" s="10">
        <f t="shared" si="370"/>
        <v>0</v>
      </c>
      <c r="N746" s="1">
        <f t="shared" si="381"/>
        <v>0</v>
      </c>
      <c r="O746" s="1">
        <f t="shared" si="373"/>
        <v>0</v>
      </c>
      <c r="P746" s="1">
        <f t="shared" si="371"/>
        <v>0</v>
      </c>
      <c r="Q746" s="3" t="str">
        <f t="shared" si="372"/>
        <v/>
      </c>
      <c r="T746" s="13" t="str">
        <f t="shared" si="382"/>
        <v/>
      </c>
      <c r="U746" s="14" t="str">
        <f t="shared" si="383"/>
        <v/>
      </c>
      <c r="V746" s="13" t="str">
        <f t="shared" si="384"/>
        <v/>
      </c>
      <c r="W746" s="13" t="str">
        <f t="shared" si="385"/>
        <v/>
      </c>
      <c r="X746" s="14" t="str">
        <f t="shared" si="386"/>
        <v/>
      </c>
    </row>
    <row r="747" spans="2:24" x14ac:dyDescent="0.3">
      <c r="B747" s="1">
        <f t="shared" si="374"/>
        <v>0</v>
      </c>
      <c r="C747" s="1">
        <f t="shared" si="375"/>
        <v>0</v>
      </c>
      <c r="D747" s="10">
        <f t="shared" si="376"/>
        <v>0</v>
      </c>
      <c r="E747" s="1">
        <f t="shared" si="377"/>
        <v>0</v>
      </c>
      <c r="F747" s="1">
        <f t="shared" si="378"/>
        <v>0</v>
      </c>
      <c r="G747" s="1">
        <f t="shared" si="379"/>
        <v>0</v>
      </c>
      <c r="H747" s="1">
        <f t="shared" si="366"/>
        <v>0</v>
      </c>
      <c r="I747" s="10">
        <f t="shared" si="380"/>
        <v>0</v>
      </c>
      <c r="J747" s="1">
        <f t="shared" si="367"/>
        <v>0</v>
      </c>
      <c r="K747" s="1">
        <f t="shared" si="368"/>
        <v>0</v>
      </c>
      <c r="L747" s="1" t="str">
        <f t="shared" si="369"/>
        <v>0</v>
      </c>
      <c r="M747" s="10">
        <f t="shared" si="370"/>
        <v>0</v>
      </c>
      <c r="N747" s="1">
        <f t="shared" si="381"/>
        <v>0</v>
      </c>
      <c r="O747" s="1">
        <f t="shared" si="373"/>
        <v>0</v>
      </c>
      <c r="P747" s="1">
        <f t="shared" si="371"/>
        <v>0</v>
      </c>
      <c r="Q747" s="3" t="str">
        <f t="shared" si="372"/>
        <v/>
      </c>
      <c r="T747" s="13" t="str">
        <f t="shared" si="382"/>
        <v/>
      </c>
      <c r="U747" s="14" t="str">
        <f t="shared" si="383"/>
        <v/>
      </c>
      <c r="V747" s="13" t="str">
        <f t="shared" si="384"/>
        <v/>
      </c>
      <c r="W747" s="13" t="str">
        <f t="shared" si="385"/>
        <v/>
      </c>
      <c r="X747" s="14" t="str">
        <f t="shared" si="386"/>
        <v/>
      </c>
    </row>
    <row r="748" spans="2:24" x14ac:dyDescent="0.3">
      <c r="B748" s="1">
        <f t="shared" si="374"/>
        <v>0</v>
      </c>
      <c r="C748" s="1">
        <f t="shared" si="375"/>
        <v>0</v>
      </c>
      <c r="D748" s="10">
        <f t="shared" si="376"/>
        <v>0</v>
      </c>
      <c r="E748" s="1">
        <f t="shared" si="377"/>
        <v>0</v>
      </c>
      <c r="F748" s="1">
        <f t="shared" si="378"/>
        <v>0</v>
      </c>
      <c r="G748" s="1">
        <f t="shared" si="379"/>
        <v>0</v>
      </c>
      <c r="H748" s="1">
        <f t="shared" si="366"/>
        <v>0</v>
      </c>
      <c r="I748" s="10">
        <f t="shared" si="380"/>
        <v>0</v>
      </c>
      <c r="J748" s="1">
        <f t="shared" si="367"/>
        <v>0</v>
      </c>
      <c r="K748" s="1">
        <f t="shared" si="368"/>
        <v>0</v>
      </c>
      <c r="L748" s="1" t="str">
        <f t="shared" si="369"/>
        <v>0</v>
      </c>
      <c r="M748" s="10">
        <f t="shared" si="370"/>
        <v>0</v>
      </c>
      <c r="N748" s="1">
        <f t="shared" si="381"/>
        <v>0</v>
      </c>
      <c r="O748" s="1">
        <f t="shared" si="373"/>
        <v>0</v>
      </c>
      <c r="P748" s="1">
        <f t="shared" si="371"/>
        <v>0</v>
      </c>
      <c r="Q748" s="3" t="str">
        <f t="shared" si="372"/>
        <v/>
      </c>
      <c r="T748" s="13" t="str">
        <f t="shared" si="382"/>
        <v/>
      </c>
      <c r="U748" s="14" t="str">
        <f t="shared" si="383"/>
        <v/>
      </c>
      <c r="V748" s="13" t="str">
        <f t="shared" si="384"/>
        <v/>
      </c>
      <c r="W748" s="13" t="str">
        <f t="shared" si="385"/>
        <v/>
      </c>
      <c r="X748" s="14" t="str">
        <f t="shared" si="386"/>
        <v/>
      </c>
    </row>
    <row r="749" spans="2:24" x14ac:dyDescent="0.3">
      <c r="B749" s="1">
        <f t="shared" si="374"/>
        <v>0</v>
      </c>
      <c r="C749" s="1">
        <f t="shared" si="375"/>
        <v>0</v>
      </c>
      <c r="D749" s="10">
        <f t="shared" si="376"/>
        <v>0</v>
      </c>
      <c r="E749" s="1">
        <f t="shared" si="377"/>
        <v>0</v>
      </c>
      <c r="F749" s="1">
        <f t="shared" si="378"/>
        <v>0</v>
      </c>
      <c r="G749" s="1">
        <f t="shared" si="379"/>
        <v>0</v>
      </c>
      <c r="H749" s="1">
        <f t="shared" si="366"/>
        <v>0</v>
      </c>
      <c r="I749" s="10">
        <f t="shared" si="380"/>
        <v>0</v>
      </c>
      <c r="J749" s="1">
        <f t="shared" si="367"/>
        <v>0</v>
      </c>
      <c r="K749" s="1">
        <f t="shared" si="368"/>
        <v>0</v>
      </c>
      <c r="L749" s="1" t="str">
        <f t="shared" si="369"/>
        <v>0</v>
      </c>
      <c r="M749" s="10">
        <f t="shared" si="370"/>
        <v>0</v>
      </c>
      <c r="N749" s="1">
        <f t="shared" si="381"/>
        <v>0</v>
      </c>
      <c r="O749" s="1">
        <f t="shared" si="373"/>
        <v>0</v>
      </c>
      <c r="P749" s="1">
        <f t="shared" si="371"/>
        <v>0</v>
      </c>
      <c r="Q749" s="3" t="str">
        <f t="shared" si="372"/>
        <v/>
      </c>
      <c r="T749" s="13" t="str">
        <f t="shared" si="382"/>
        <v/>
      </c>
      <c r="U749" s="14" t="str">
        <f t="shared" si="383"/>
        <v/>
      </c>
      <c r="V749" s="13" t="str">
        <f t="shared" si="384"/>
        <v/>
      </c>
      <c r="W749" s="13" t="str">
        <f t="shared" si="385"/>
        <v/>
      </c>
      <c r="X749" s="14" t="str">
        <f t="shared" si="386"/>
        <v/>
      </c>
    </row>
    <row r="750" spans="2:24" x14ac:dyDescent="0.3">
      <c r="B750" s="1">
        <f t="shared" si="374"/>
        <v>0</v>
      </c>
      <c r="C750" s="1">
        <f t="shared" si="375"/>
        <v>0</v>
      </c>
      <c r="D750" s="10">
        <f t="shared" si="376"/>
        <v>0</v>
      </c>
      <c r="E750" s="1">
        <f t="shared" si="377"/>
        <v>0</v>
      </c>
      <c r="F750" s="1">
        <f t="shared" si="378"/>
        <v>0</v>
      </c>
      <c r="G750" s="1">
        <f t="shared" si="379"/>
        <v>0</v>
      </c>
      <c r="H750" s="1">
        <f t="shared" si="366"/>
        <v>0</v>
      </c>
      <c r="I750" s="10">
        <f t="shared" si="380"/>
        <v>0</v>
      </c>
      <c r="J750" s="1">
        <f t="shared" si="367"/>
        <v>0</v>
      </c>
      <c r="K750" s="1">
        <f t="shared" si="368"/>
        <v>0</v>
      </c>
      <c r="L750" s="1" t="str">
        <f t="shared" si="369"/>
        <v>0</v>
      </c>
      <c r="M750" s="10">
        <f t="shared" si="370"/>
        <v>0</v>
      </c>
      <c r="N750" s="1">
        <f t="shared" si="381"/>
        <v>0</v>
      </c>
      <c r="O750" s="1">
        <f t="shared" si="373"/>
        <v>0</v>
      </c>
      <c r="P750" s="1">
        <f t="shared" si="371"/>
        <v>0</v>
      </c>
      <c r="Q750" s="3" t="str">
        <f t="shared" si="372"/>
        <v/>
      </c>
      <c r="T750" s="13" t="str">
        <f t="shared" si="382"/>
        <v/>
      </c>
      <c r="U750" s="14" t="str">
        <f t="shared" si="383"/>
        <v/>
      </c>
      <c r="V750" s="13" t="str">
        <f t="shared" si="384"/>
        <v/>
      </c>
      <c r="W750" s="13" t="str">
        <f t="shared" si="385"/>
        <v/>
      </c>
      <c r="X750" s="14" t="str">
        <f t="shared" si="386"/>
        <v/>
      </c>
    </row>
    <row r="751" spans="2:24" x14ac:dyDescent="0.3">
      <c r="B751" s="1">
        <f t="shared" si="374"/>
        <v>0</v>
      </c>
      <c r="C751" s="1">
        <f t="shared" si="375"/>
        <v>0</v>
      </c>
      <c r="D751" s="10">
        <f t="shared" si="376"/>
        <v>0</v>
      </c>
      <c r="E751" s="1">
        <f t="shared" si="377"/>
        <v>0</v>
      </c>
      <c r="F751" s="1">
        <f t="shared" si="378"/>
        <v>0</v>
      </c>
      <c r="G751" s="1">
        <f t="shared" si="379"/>
        <v>0</v>
      </c>
      <c r="H751" s="1">
        <f t="shared" si="366"/>
        <v>0</v>
      </c>
      <c r="I751" s="10">
        <f t="shared" si="380"/>
        <v>0</v>
      </c>
      <c r="J751" s="1">
        <f t="shared" si="367"/>
        <v>0</v>
      </c>
      <c r="K751" s="1">
        <f t="shared" si="368"/>
        <v>0</v>
      </c>
      <c r="L751" s="1" t="str">
        <f t="shared" si="369"/>
        <v>0</v>
      </c>
      <c r="M751" s="10">
        <f t="shared" si="370"/>
        <v>0</v>
      </c>
      <c r="N751" s="1">
        <f t="shared" si="381"/>
        <v>0</v>
      </c>
      <c r="O751" s="1">
        <f t="shared" si="373"/>
        <v>0</v>
      </c>
      <c r="P751" s="1">
        <f t="shared" si="371"/>
        <v>0</v>
      </c>
      <c r="Q751" s="3" t="str">
        <f t="shared" si="372"/>
        <v/>
      </c>
      <c r="T751" s="13" t="str">
        <f t="shared" si="382"/>
        <v/>
      </c>
      <c r="U751" s="14" t="str">
        <f t="shared" si="383"/>
        <v/>
      </c>
      <c r="V751" s="13" t="str">
        <f t="shared" si="384"/>
        <v/>
      </c>
      <c r="W751" s="13" t="str">
        <f t="shared" si="385"/>
        <v/>
      </c>
      <c r="X751" s="14" t="str">
        <f t="shared" si="386"/>
        <v/>
      </c>
    </row>
    <row r="752" spans="2:24" x14ac:dyDescent="0.3">
      <c r="B752" s="1">
        <f t="shared" si="374"/>
        <v>0</v>
      </c>
      <c r="C752" s="1">
        <f t="shared" si="375"/>
        <v>0</v>
      </c>
      <c r="D752" s="10">
        <f t="shared" si="376"/>
        <v>0</v>
      </c>
      <c r="E752" s="1">
        <f t="shared" si="377"/>
        <v>0</v>
      </c>
      <c r="F752" s="1">
        <f t="shared" si="378"/>
        <v>0</v>
      </c>
      <c r="G752" s="1">
        <f t="shared" si="379"/>
        <v>0</v>
      </c>
      <c r="H752" s="1">
        <f t="shared" si="366"/>
        <v>0</v>
      </c>
      <c r="I752" s="10">
        <f t="shared" si="380"/>
        <v>0</v>
      </c>
      <c r="J752" s="1">
        <f t="shared" si="367"/>
        <v>0</v>
      </c>
      <c r="K752" s="1">
        <f t="shared" si="368"/>
        <v>0</v>
      </c>
      <c r="L752" s="1" t="str">
        <f t="shared" si="369"/>
        <v>0</v>
      </c>
      <c r="M752" s="10">
        <f t="shared" si="370"/>
        <v>0</v>
      </c>
      <c r="N752" s="1">
        <f t="shared" si="381"/>
        <v>0</v>
      </c>
      <c r="O752" s="1">
        <f t="shared" si="373"/>
        <v>0</v>
      </c>
      <c r="P752" s="1">
        <f t="shared" si="371"/>
        <v>0</v>
      </c>
      <c r="Q752" s="3" t="str">
        <f t="shared" si="372"/>
        <v/>
      </c>
      <c r="T752" s="13" t="str">
        <f t="shared" si="382"/>
        <v/>
      </c>
      <c r="U752" s="14" t="str">
        <f t="shared" si="383"/>
        <v/>
      </c>
      <c r="V752" s="13" t="str">
        <f t="shared" si="384"/>
        <v/>
      </c>
      <c r="W752" s="13" t="str">
        <f t="shared" si="385"/>
        <v/>
      </c>
      <c r="X752" s="14" t="str">
        <f t="shared" si="386"/>
        <v/>
      </c>
    </row>
    <row r="753" spans="2:24" x14ac:dyDescent="0.3">
      <c r="B753" s="1">
        <f t="shared" si="374"/>
        <v>0</v>
      </c>
      <c r="C753" s="1">
        <f t="shared" si="375"/>
        <v>0</v>
      </c>
      <c r="D753" s="10">
        <f t="shared" si="376"/>
        <v>0</v>
      </c>
      <c r="E753" s="1">
        <f t="shared" si="377"/>
        <v>0</v>
      </c>
      <c r="F753" s="1">
        <f t="shared" si="378"/>
        <v>0</v>
      </c>
      <c r="G753" s="1">
        <f t="shared" si="379"/>
        <v>0</v>
      </c>
      <c r="H753" s="1">
        <f t="shared" si="366"/>
        <v>0</v>
      </c>
      <c r="I753" s="10">
        <f t="shared" si="380"/>
        <v>0</v>
      </c>
      <c r="J753" s="1">
        <f t="shared" si="367"/>
        <v>0</v>
      </c>
      <c r="K753" s="1">
        <f t="shared" si="368"/>
        <v>0</v>
      </c>
      <c r="L753" s="1" t="str">
        <f t="shared" si="369"/>
        <v>0</v>
      </c>
      <c r="M753" s="10">
        <f t="shared" si="370"/>
        <v>0</v>
      </c>
      <c r="N753" s="1">
        <f t="shared" si="381"/>
        <v>0</v>
      </c>
      <c r="O753" s="1">
        <f t="shared" si="373"/>
        <v>0</v>
      </c>
      <c r="P753" s="1">
        <f t="shared" si="371"/>
        <v>0</v>
      </c>
      <c r="Q753" s="3" t="str">
        <f t="shared" si="372"/>
        <v/>
      </c>
      <c r="T753" s="13" t="str">
        <f t="shared" si="382"/>
        <v/>
      </c>
      <c r="U753" s="14" t="str">
        <f t="shared" si="383"/>
        <v/>
      </c>
      <c r="V753" s="13" t="str">
        <f t="shared" si="384"/>
        <v/>
      </c>
      <c r="W753" s="13" t="str">
        <f t="shared" si="385"/>
        <v/>
      </c>
      <c r="X753" s="14" t="str">
        <f t="shared" si="386"/>
        <v/>
      </c>
    </row>
    <row r="754" spans="2:24" x14ac:dyDescent="0.3">
      <c r="B754" s="1">
        <f t="shared" si="374"/>
        <v>0</v>
      </c>
      <c r="C754" s="1">
        <f t="shared" si="375"/>
        <v>0</v>
      </c>
      <c r="D754" s="10">
        <f t="shared" si="376"/>
        <v>0</v>
      </c>
      <c r="E754" s="1">
        <f t="shared" si="377"/>
        <v>0</v>
      </c>
      <c r="F754" s="1">
        <f t="shared" si="378"/>
        <v>0</v>
      </c>
      <c r="G754" s="1">
        <f t="shared" si="379"/>
        <v>0</v>
      </c>
      <c r="H754" s="1">
        <f t="shared" si="366"/>
        <v>0</v>
      </c>
      <c r="I754" s="10">
        <f t="shared" si="380"/>
        <v>0</v>
      </c>
      <c r="J754" s="1">
        <f t="shared" si="367"/>
        <v>0</v>
      </c>
      <c r="K754" s="1">
        <f t="shared" si="368"/>
        <v>0</v>
      </c>
      <c r="L754" s="1" t="str">
        <f t="shared" si="369"/>
        <v>0</v>
      </c>
      <c r="M754" s="10">
        <f t="shared" si="370"/>
        <v>0</v>
      </c>
      <c r="N754" s="1">
        <f t="shared" si="381"/>
        <v>0</v>
      </c>
      <c r="O754" s="1">
        <f t="shared" si="373"/>
        <v>0</v>
      </c>
      <c r="P754" s="1">
        <f t="shared" si="371"/>
        <v>0</v>
      </c>
      <c r="Q754" s="3" t="str">
        <f t="shared" si="372"/>
        <v/>
      </c>
      <c r="T754" s="13" t="str">
        <f t="shared" si="382"/>
        <v/>
      </c>
      <c r="U754" s="14" t="str">
        <f t="shared" si="383"/>
        <v/>
      </c>
      <c r="V754" s="13" t="str">
        <f t="shared" si="384"/>
        <v/>
      </c>
      <c r="W754" s="13" t="str">
        <f t="shared" si="385"/>
        <v/>
      </c>
      <c r="X754" s="14" t="str">
        <f t="shared" si="386"/>
        <v/>
      </c>
    </row>
    <row r="755" spans="2:24" x14ac:dyDescent="0.3">
      <c r="B755" s="1">
        <f t="shared" si="374"/>
        <v>0</v>
      </c>
      <c r="C755" s="1">
        <f t="shared" si="375"/>
        <v>0</v>
      </c>
      <c r="D755" s="10">
        <f t="shared" si="376"/>
        <v>0</v>
      </c>
      <c r="E755" s="1">
        <f t="shared" si="377"/>
        <v>0</v>
      </c>
      <c r="F755" s="1">
        <f t="shared" si="378"/>
        <v>0</v>
      </c>
      <c r="G755" s="1">
        <f t="shared" si="379"/>
        <v>0</v>
      </c>
      <c r="H755" s="1">
        <f t="shared" si="366"/>
        <v>0</v>
      </c>
      <c r="I755" s="10">
        <f t="shared" si="380"/>
        <v>0</v>
      </c>
      <c r="J755" s="1">
        <f t="shared" si="367"/>
        <v>0</v>
      </c>
      <c r="K755" s="1">
        <f t="shared" si="368"/>
        <v>0</v>
      </c>
      <c r="L755" s="1" t="str">
        <f t="shared" si="369"/>
        <v>0</v>
      </c>
      <c r="M755" s="10">
        <f t="shared" si="370"/>
        <v>0</v>
      </c>
      <c r="N755" s="1">
        <f t="shared" si="381"/>
        <v>0</v>
      </c>
      <c r="O755" s="1">
        <f t="shared" si="373"/>
        <v>0</v>
      </c>
      <c r="P755" s="1">
        <f t="shared" si="371"/>
        <v>0</v>
      </c>
      <c r="Q755" s="3" t="str">
        <f t="shared" si="372"/>
        <v/>
      </c>
      <c r="T755" s="13" t="str">
        <f t="shared" si="382"/>
        <v/>
      </c>
      <c r="U755" s="14" t="str">
        <f t="shared" si="383"/>
        <v/>
      </c>
      <c r="V755" s="13" t="str">
        <f t="shared" si="384"/>
        <v/>
      </c>
      <c r="W755" s="13" t="str">
        <f t="shared" si="385"/>
        <v/>
      </c>
      <c r="X755" s="14" t="str">
        <f t="shared" si="386"/>
        <v/>
      </c>
    </row>
    <row r="756" spans="2:24" x14ac:dyDescent="0.3">
      <c r="B756" s="1">
        <f t="shared" si="374"/>
        <v>0</v>
      </c>
      <c r="C756" s="1">
        <f t="shared" si="375"/>
        <v>0</v>
      </c>
      <c r="D756" s="10">
        <f t="shared" si="376"/>
        <v>0</v>
      </c>
      <c r="E756" s="1">
        <f t="shared" si="377"/>
        <v>0</v>
      </c>
      <c r="F756" s="1">
        <f t="shared" si="378"/>
        <v>0</v>
      </c>
      <c r="G756" s="1">
        <f t="shared" si="379"/>
        <v>0</v>
      </c>
      <c r="H756" s="1">
        <f t="shared" si="366"/>
        <v>0</v>
      </c>
      <c r="I756" s="10">
        <f t="shared" si="380"/>
        <v>0</v>
      </c>
      <c r="J756" s="1">
        <f t="shared" si="367"/>
        <v>0</v>
      </c>
      <c r="K756" s="1">
        <f t="shared" si="368"/>
        <v>0</v>
      </c>
      <c r="L756" s="1" t="str">
        <f t="shared" si="369"/>
        <v>0</v>
      </c>
      <c r="M756" s="10">
        <f t="shared" si="370"/>
        <v>0</v>
      </c>
      <c r="N756" s="1">
        <f t="shared" si="381"/>
        <v>0</v>
      </c>
      <c r="O756" s="1">
        <f t="shared" si="373"/>
        <v>0</v>
      </c>
      <c r="P756" s="1">
        <f t="shared" si="371"/>
        <v>0</v>
      </c>
      <c r="Q756" s="3" t="str">
        <f t="shared" si="372"/>
        <v/>
      </c>
      <c r="T756" s="13" t="str">
        <f t="shared" si="382"/>
        <v/>
      </c>
      <c r="U756" s="14" t="str">
        <f t="shared" si="383"/>
        <v/>
      </c>
      <c r="V756" s="13" t="str">
        <f t="shared" si="384"/>
        <v/>
      </c>
      <c r="W756" s="13" t="str">
        <f t="shared" si="385"/>
        <v/>
      </c>
      <c r="X756" s="14" t="str">
        <f t="shared" si="386"/>
        <v/>
      </c>
    </row>
    <row r="757" spans="2:24" x14ac:dyDescent="0.3">
      <c r="B757" s="1">
        <f t="shared" si="374"/>
        <v>0</v>
      </c>
      <c r="C757" s="1">
        <f t="shared" si="375"/>
        <v>0</v>
      </c>
      <c r="D757" s="10">
        <f t="shared" si="376"/>
        <v>0</v>
      </c>
      <c r="E757" s="1">
        <f t="shared" si="377"/>
        <v>0</v>
      </c>
      <c r="F757" s="1">
        <f t="shared" si="378"/>
        <v>0</v>
      </c>
      <c r="G757" s="1">
        <f t="shared" si="379"/>
        <v>0</v>
      </c>
      <c r="H757" s="1">
        <f t="shared" ref="H757:H820" si="387">IF(AND(F757&gt;0,F757&lt;G757),F757,G757)</f>
        <v>0</v>
      </c>
      <c r="I757" s="10">
        <f t="shared" si="380"/>
        <v>0</v>
      </c>
      <c r="J757" s="1">
        <f t="shared" ref="J757:J820" si="388">IF(AND(F757&gt;0,F757&lt;G757),FIND("=",A757,F757)+1,0)</f>
        <v>0</v>
      </c>
      <c r="K757" s="1">
        <f t="shared" ref="K757:K820" si="389">IF(J757&gt;0,MID(A757,J757,G757-J757),0)</f>
        <v>0</v>
      </c>
      <c r="L757" s="1" t="str">
        <f t="shared" ref="L757:L820" si="390">IFERROR(RIGHT(K757,LEN(K757)-FIND("0x",K757)-1),DEC2HEX(K757))</f>
        <v>0</v>
      </c>
      <c r="M757" s="10">
        <f t="shared" ref="M757:M820" si="391">HEX2DEC(L757)</f>
        <v>0</v>
      </c>
      <c r="N757" s="1">
        <f t="shared" si="381"/>
        <v>0</v>
      </c>
      <c r="O757" s="1">
        <f t="shared" si="373"/>
        <v>0</v>
      </c>
      <c r="P757" s="1">
        <f t="shared" ref="P757:P820" si="392">IFERROR(FIND("*/",$A757,N757+1),0)</f>
        <v>0</v>
      </c>
      <c r="Q757" s="3" t="str">
        <f t="shared" si="372"/>
        <v/>
      </c>
      <c r="T757" s="13" t="str">
        <f t="shared" si="382"/>
        <v/>
      </c>
      <c r="U757" s="14" t="str">
        <f t="shared" si="383"/>
        <v/>
      </c>
      <c r="V757" s="13" t="str">
        <f t="shared" si="384"/>
        <v/>
      </c>
      <c r="W757" s="13" t="str">
        <f t="shared" si="385"/>
        <v/>
      </c>
      <c r="X757" s="14" t="str">
        <f t="shared" si="386"/>
        <v/>
      </c>
    </row>
    <row r="758" spans="2:24" x14ac:dyDescent="0.3">
      <c r="B758" s="1">
        <f t="shared" si="374"/>
        <v>0</v>
      </c>
      <c r="C758" s="1">
        <f t="shared" si="375"/>
        <v>0</v>
      </c>
      <c r="D758" s="10">
        <f t="shared" si="376"/>
        <v>0</v>
      </c>
      <c r="E758" s="1">
        <f t="shared" si="377"/>
        <v>0</v>
      </c>
      <c r="F758" s="1">
        <f t="shared" si="378"/>
        <v>0</v>
      </c>
      <c r="G758" s="1">
        <f t="shared" si="379"/>
        <v>0</v>
      </c>
      <c r="H758" s="1">
        <f t="shared" si="387"/>
        <v>0</v>
      </c>
      <c r="I758" s="10">
        <f t="shared" si="380"/>
        <v>0</v>
      </c>
      <c r="J758" s="1">
        <f t="shared" si="388"/>
        <v>0</v>
      </c>
      <c r="K758" s="1">
        <f t="shared" si="389"/>
        <v>0</v>
      </c>
      <c r="L758" s="1" t="str">
        <f t="shared" si="390"/>
        <v>0</v>
      </c>
      <c r="M758" s="10">
        <f t="shared" si="391"/>
        <v>0</v>
      </c>
      <c r="N758" s="1">
        <f t="shared" si="381"/>
        <v>0</v>
      </c>
      <c r="O758" s="1">
        <f t="shared" si="373"/>
        <v>0</v>
      </c>
      <c r="P758" s="1">
        <f t="shared" si="392"/>
        <v>0</v>
      </c>
      <c r="Q758" s="3" t="str">
        <f t="shared" si="372"/>
        <v/>
      </c>
      <c r="T758" s="13" t="str">
        <f t="shared" si="382"/>
        <v/>
      </c>
      <c r="U758" s="14" t="str">
        <f t="shared" si="383"/>
        <v/>
      </c>
      <c r="V758" s="13" t="str">
        <f t="shared" si="384"/>
        <v/>
      </c>
      <c r="W758" s="13" t="str">
        <f t="shared" si="385"/>
        <v/>
      </c>
      <c r="X758" s="14" t="str">
        <f t="shared" si="386"/>
        <v/>
      </c>
    </row>
    <row r="759" spans="2:24" x14ac:dyDescent="0.3">
      <c r="B759" s="1">
        <f t="shared" si="374"/>
        <v>0</v>
      </c>
      <c r="C759" s="1">
        <f t="shared" si="375"/>
        <v>0</v>
      </c>
      <c r="D759" s="10">
        <f t="shared" si="376"/>
        <v>0</v>
      </c>
      <c r="E759" s="1">
        <f t="shared" si="377"/>
        <v>0</v>
      </c>
      <c r="F759" s="1">
        <f t="shared" si="378"/>
        <v>0</v>
      </c>
      <c r="G759" s="1">
        <f t="shared" si="379"/>
        <v>0</v>
      </c>
      <c r="H759" s="1">
        <f t="shared" si="387"/>
        <v>0</v>
      </c>
      <c r="I759" s="10">
        <f t="shared" si="380"/>
        <v>0</v>
      </c>
      <c r="J759" s="1">
        <f t="shared" si="388"/>
        <v>0</v>
      </c>
      <c r="K759" s="1">
        <f t="shared" si="389"/>
        <v>0</v>
      </c>
      <c r="L759" s="1" t="str">
        <f t="shared" si="390"/>
        <v>0</v>
      </c>
      <c r="M759" s="10">
        <f t="shared" si="391"/>
        <v>0</v>
      </c>
      <c r="N759" s="1">
        <f t="shared" si="381"/>
        <v>0</v>
      </c>
      <c r="O759" s="1">
        <f t="shared" si="373"/>
        <v>0</v>
      </c>
      <c r="P759" s="1">
        <f t="shared" si="392"/>
        <v>0</v>
      </c>
      <c r="Q759" s="3" t="str">
        <f t="shared" si="372"/>
        <v/>
      </c>
      <c r="T759" s="13" t="str">
        <f t="shared" si="382"/>
        <v/>
      </c>
      <c r="U759" s="14" t="str">
        <f t="shared" si="383"/>
        <v/>
      </c>
      <c r="V759" s="13" t="str">
        <f t="shared" si="384"/>
        <v/>
      </c>
      <c r="W759" s="13" t="str">
        <f t="shared" si="385"/>
        <v/>
      </c>
      <c r="X759" s="14" t="str">
        <f t="shared" si="386"/>
        <v/>
      </c>
    </row>
    <row r="760" spans="2:24" x14ac:dyDescent="0.3">
      <c r="B760" s="1">
        <f t="shared" si="374"/>
        <v>0</v>
      </c>
      <c r="C760" s="1">
        <f t="shared" si="375"/>
        <v>0</v>
      </c>
      <c r="D760" s="10">
        <f t="shared" si="376"/>
        <v>0</v>
      </c>
      <c r="E760" s="1">
        <f t="shared" si="377"/>
        <v>0</v>
      </c>
      <c r="F760" s="1">
        <f t="shared" si="378"/>
        <v>0</v>
      </c>
      <c r="G760" s="1">
        <f t="shared" si="379"/>
        <v>0</v>
      </c>
      <c r="H760" s="1">
        <f t="shared" si="387"/>
        <v>0</v>
      </c>
      <c r="I760" s="10">
        <f t="shared" si="380"/>
        <v>0</v>
      </c>
      <c r="J760" s="1">
        <f t="shared" si="388"/>
        <v>0</v>
      </c>
      <c r="K760" s="1">
        <f t="shared" si="389"/>
        <v>0</v>
      </c>
      <c r="L760" s="1" t="str">
        <f t="shared" si="390"/>
        <v>0</v>
      </c>
      <c r="M760" s="10">
        <f t="shared" si="391"/>
        <v>0</v>
      </c>
      <c r="N760" s="1">
        <f t="shared" si="381"/>
        <v>0</v>
      </c>
      <c r="O760" s="1">
        <f t="shared" si="373"/>
        <v>0</v>
      </c>
      <c r="P760" s="1">
        <f t="shared" si="392"/>
        <v>0</v>
      </c>
      <c r="Q760" s="3" t="str">
        <f t="shared" si="372"/>
        <v/>
      </c>
      <c r="T760" s="13" t="str">
        <f t="shared" si="382"/>
        <v/>
      </c>
      <c r="U760" s="14" t="str">
        <f t="shared" si="383"/>
        <v/>
      </c>
      <c r="V760" s="13" t="str">
        <f t="shared" si="384"/>
        <v/>
      </c>
      <c r="W760" s="13" t="str">
        <f t="shared" si="385"/>
        <v/>
      </c>
      <c r="X760" s="14" t="str">
        <f t="shared" si="386"/>
        <v/>
      </c>
    </row>
    <row r="761" spans="2:24" x14ac:dyDescent="0.3">
      <c r="B761" s="1">
        <f t="shared" si="374"/>
        <v>0</v>
      </c>
      <c r="C761" s="1">
        <f t="shared" si="375"/>
        <v>0</v>
      </c>
      <c r="D761" s="10">
        <f t="shared" si="376"/>
        <v>0</v>
      </c>
      <c r="E761" s="1">
        <f t="shared" si="377"/>
        <v>0</v>
      </c>
      <c r="F761" s="1">
        <f t="shared" si="378"/>
        <v>0</v>
      </c>
      <c r="G761" s="1">
        <f t="shared" si="379"/>
        <v>0</v>
      </c>
      <c r="H761" s="1">
        <f t="shared" si="387"/>
        <v>0</v>
      </c>
      <c r="I761" s="10">
        <f t="shared" si="380"/>
        <v>0</v>
      </c>
      <c r="J761" s="1">
        <f t="shared" si="388"/>
        <v>0</v>
      </c>
      <c r="K761" s="1">
        <f t="shared" si="389"/>
        <v>0</v>
      </c>
      <c r="L761" s="1" t="str">
        <f t="shared" si="390"/>
        <v>0</v>
      </c>
      <c r="M761" s="10">
        <f t="shared" si="391"/>
        <v>0</v>
      </c>
      <c r="N761" s="1">
        <f t="shared" si="381"/>
        <v>0</v>
      </c>
      <c r="O761" s="1">
        <f t="shared" si="373"/>
        <v>0</v>
      </c>
      <c r="P761" s="1">
        <f t="shared" si="392"/>
        <v>0</v>
      </c>
      <c r="Q761" s="3" t="str">
        <f t="shared" si="372"/>
        <v/>
      </c>
      <c r="T761" s="13" t="str">
        <f t="shared" si="382"/>
        <v/>
      </c>
      <c r="U761" s="14" t="str">
        <f t="shared" si="383"/>
        <v/>
      </c>
      <c r="V761" s="13" t="str">
        <f t="shared" si="384"/>
        <v/>
      </c>
      <c r="W761" s="13" t="str">
        <f t="shared" si="385"/>
        <v/>
      </c>
      <c r="X761" s="14" t="str">
        <f t="shared" si="386"/>
        <v/>
      </c>
    </row>
    <row r="762" spans="2:24" x14ac:dyDescent="0.3">
      <c r="B762" s="1">
        <f t="shared" si="374"/>
        <v>0</v>
      </c>
      <c r="C762" s="1">
        <f t="shared" si="375"/>
        <v>0</v>
      </c>
      <c r="D762" s="10">
        <f t="shared" si="376"/>
        <v>0</v>
      </c>
      <c r="E762" s="1">
        <f t="shared" si="377"/>
        <v>0</v>
      </c>
      <c r="F762" s="1">
        <f t="shared" si="378"/>
        <v>0</v>
      </c>
      <c r="G762" s="1">
        <f t="shared" si="379"/>
        <v>0</v>
      </c>
      <c r="H762" s="1">
        <f t="shared" si="387"/>
        <v>0</v>
      </c>
      <c r="I762" s="10">
        <f t="shared" si="380"/>
        <v>0</v>
      </c>
      <c r="J762" s="1">
        <f t="shared" si="388"/>
        <v>0</v>
      </c>
      <c r="K762" s="1">
        <f t="shared" si="389"/>
        <v>0</v>
      </c>
      <c r="L762" s="1" t="str">
        <f t="shared" si="390"/>
        <v>0</v>
      </c>
      <c r="M762" s="10">
        <f t="shared" si="391"/>
        <v>0</v>
      </c>
      <c r="N762" s="1">
        <f t="shared" si="381"/>
        <v>0</v>
      </c>
      <c r="O762" s="1">
        <f t="shared" si="373"/>
        <v>0</v>
      </c>
      <c r="P762" s="1">
        <f t="shared" si="392"/>
        <v>0</v>
      </c>
      <c r="Q762" s="3" t="str">
        <f t="shared" si="372"/>
        <v/>
      </c>
      <c r="T762" s="13" t="str">
        <f t="shared" si="382"/>
        <v/>
      </c>
      <c r="U762" s="14" t="str">
        <f t="shared" si="383"/>
        <v/>
      </c>
      <c r="V762" s="13" t="str">
        <f t="shared" si="384"/>
        <v/>
      </c>
      <c r="W762" s="13" t="str">
        <f t="shared" si="385"/>
        <v/>
      </c>
      <c r="X762" s="14" t="str">
        <f t="shared" si="386"/>
        <v/>
      </c>
    </row>
    <row r="763" spans="2:24" x14ac:dyDescent="0.3">
      <c r="B763" s="1">
        <f t="shared" si="374"/>
        <v>0</v>
      </c>
      <c r="C763" s="1">
        <f t="shared" si="375"/>
        <v>0</v>
      </c>
      <c r="D763" s="10">
        <f t="shared" si="376"/>
        <v>0</v>
      </c>
      <c r="E763" s="1">
        <f t="shared" si="377"/>
        <v>0</v>
      </c>
      <c r="F763" s="1">
        <f t="shared" si="378"/>
        <v>0</v>
      </c>
      <c r="G763" s="1">
        <f t="shared" si="379"/>
        <v>0</v>
      </c>
      <c r="H763" s="1">
        <f t="shared" si="387"/>
        <v>0</v>
      </c>
      <c r="I763" s="10">
        <f t="shared" si="380"/>
        <v>0</v>
      </c>
      <c r="J763" s="1">
        <f t="shared" si="388"/>
        <v>0</v>
      </c>
      <c r="K763" s="1">
        <f t="shared" si="389"/>
        <v>0</v>
      </c>
      <c r="L763" s="1" t="str">
        <f t="shared" si="390"/>
        <v>0</v>
      </c>
      <c r="M763" s="10">
        <f t="shared" si="391"/>
        <v>0</v>
      </c>
      <c r="N763" s="1">
        <f t="shared" si="381"/>
        <v>0</v>
      </c>
      <c r="O763" s="1">
        <f t="shared" si="373"/>
        <v>0</v>
      </c>
      <c r="P763" s="1">
        <f t="shared" si="392"/>
        <v>0</v>
      </c>
      <c r="Q763" s="3" t="str">
        <f t="shared" si="372"/>
        <v/>
      </c>
      <c r="T763" s="13" t="str">
        <f t="shared" si="382"/>
        <v/>
      </c>
      <c r="U763" s="14" t="str">
        <f t="shared" si="383"/>
        <v/>
      </c>
      <c r="V763" s="13" t="str">
        <f t="shared" si="384"/>
        <v/>
      </c>
      <c r="W763" s="13" t="str">
        <f t="shared" si="385"/>
        <v/>
      </c>
      <c r="X763" s="14" t="str">
        <f t="shared" si="386"/>
        <v/>
      </c>
    </row>
    <row r="764" spans="2:24" x14ac:dyDescent="0.3">
      <c r="B764" s="1">
        <f t="shared" si="374"/>
        <v>0</v>
      </c>
      <c r="C764" s="1">
        <f t="shared" si="375"/>
        <v>0</v>
      </c>
      <c r="D764" s="10">
        <f t="shared" si="376"/>
        <v>0</v>
      </c>
      <c r="E764" s="1">
        <f t="shared" si="377"/>
        <v>0</v>
      </c>
      <c r="F764" s="1">
        <f t="shared" si="378"/>
        <v>0</v>
      </c>
      <c r="G764" s="1">
        <f t="shared" si="379"/>
        <v>0</v>
      </c>
      <c r="H764" s="1">
        <f t="shared" si="387"/>
        <v>0</v>
      </c>
      <c r="I764" s="10">
        <f t="shared" si="380"/>
        <v>0</v>
      </c>
      <c r="J764" s="1">
        <f t="shared" si="388"/>
        <v>0</v>
      </c>
      <c r="K764" s="1">
        <f t="shared" si="389"/>
        <v>0</v>
      </c>
      <c r="L764" s="1" t="str">
        <f t="shared" si="390"/>
        <v>0</v>
      </c>
      <c r="M764" s="10">
        <f t="shared" si="391"/>
        <v>0</v>
      </c>
      <c r="N764" s="1">
        <f t="shared" si="381"/>
        <v>0</v>
      </c>
      <c r="O764" s="1">
        <f t="shared" si="373"/>
        <v>0</v>
      </c>
      <c r="P764" s="1">
        <f t="shared" si="392"/>
        <v>0</v>
      </c>
      <c r="Q764" s="3" t="str">
        <f t="shared" si="372"/>
        <v/>
      </c>
      <c r="T764" s="13" t="str">
        <f t="shared" si="382"/>
        <v/>
      </c>
      <c r="U764" s="14" t="str">
        <f t="shared" si="383"/>
        <v/>
      </c>
      <c r="V764" s="13" t="str">
        <f t="shared" si="384"/>
        <v/>
      </c>
      <c r="W764" s="13" t="str">
        <f t="shared" si="385"/>
        <v/>
      </c>
      <c r="X764" s="14" t="str">
        <f t="shared" si="386"/>
        <v/>
      </c>
    </row>
    <row r="765" spans="2:24" x14ac:dyDescent="0.3">
      <c r="B765" s="1">
        <f t="shared" si="374"/>
        <v>0</v>
      </c>
      <c r="C765" s="1">
        <f t="shared" si="375"/>
        <v>0</v>
      </c>
      <c r="D765" s="10">
        <f t="shared" si="376"/>
        <v>0</v>
      </c>
      <c r="E765" s="1">
        <f t="shared" si="377"/>
        <v>0</v>
      </c>
      <c r="F765" s="1">
        <f t="shared" si="378"/>
        <v>0</v>
      </c>
      <c r="G765" s="1">
        <f t="shared" si="379"/>
        <v>0</v>
      </c>
      <c r="H765" s="1">
        <f t="shared" si="387"/>
        <v>0</v>
      </c>
      <c r="I765" s="10">
        <f t="shared" si="380"/>
        <v>0</v>
      </c>
      <c r="J765" s="1">
        <f t="shared" si="388"/>
        <v>0</v>
      </c>
      <c r="K765" s="1">
        <f t="shared" si="389"/>
        <v>0</v>
      </c>
      <c r="L765" s="1" t="str">
        <f t="shared" si="390"/>
        <v>0</v>
      </c>
      <c r="M765" s="10">
        <f t="shared" si="391"/>
        <v>0</v>
      </c>
      <c r="N765" s="1">
        <f t="shared" si="381"/>
        <v>0</v>
      </c>
      <c r="O765" s="1">
        <f t="shared" si="373"/>
        <v>0</v>
      </c>
      <c r="P765" s="1">
        <f t="shared" si="392"/>
        <v>0</v>
      </c>
      <c r="Q765" s="3" t="str">
        <f t="shared" si="372"/>
        <v/>
      </c>
      <c r="T765" s="13" t="str">
        <f t="shared" si="382"/>
        <v/>
      </c>
      <c r="U765" s="14" t="str">
        <f t="shared" si="383"/>
        <v/>
      </c>
      <c r="V765" s="13" t="str">
        <f t="shared" si="384"/>
        <v/>
      </c>
      <c r="W765" s="13" t="str">
        <f t="shared" si="385"/>
        <v/>
      </c>
      <c r="X765" s="14" t="str">
        <f t="shared" si="386"/>
        <v/>
      </c>
    </row>
    <row r="766" spans="2:24" x14ac:dyDescent="0.3">
      <c r="B766" s="1">
        <f t="shared" si="374"/>
        <v>0</v>
      </c>
      <c r="C766" s="1">
        <f t="shared" si="375"/>
        <v>0</v>
      </c>
      <c r="D766" s="10">
        <f t="shared" si="376"/>
        <v>0</v>
      </c>
      <c r="E766" s="1">
        <f t="shared" si="377"/>
        <v>0</v>
      </c>
      <c r="F766" s="1">
        <f t="shared" si="378"/>
        <v>0</v>
      </c>
      <c r="G766" s="1">
        <f t="shared" si="379"/>
        <v>0</v>
      </c>
      <c r="H766" s="1">
        <f t="shared" si="387"/>
        <v>0</v>
      </c>
      <c r="I766" s="10">
        <f t="shared" si="380"/>
        <v>0</v>
      </c>
      <c r="J766" s="1">
        <f t="shared" si="388"/>
        <v>0</v>
      </c>
      <c r="K766" s="1">
        <f t="shared" si="389"/>
        <v>0</v>
      </c>
      <c r="L766" s="1" t="str">
        <f t="shared" si="390"/>
        <v>0</v>
      </c>
      <c r="M766" s="10">
        <f t="shared" si="391"/>
        <v>0</v>
      </c>
      <c r="N766" s="1">
        <f t="shared" si="381"/>
        <v>0</v>
      </c>
      <c r="O766" s="1">
        <f t="shared" si="373"/>
        <v>0</v>
      </c>
      <c r="P766" s="1">
        <f t="shared" si="392"/>
        <v>0</v>
      </c>
      <c r="Q766" s="3" t="str">
        <f t="shared" si="372"/>
        <v/>
      </c>
      <c r="T766" s="13" t="str">
        <f t="shared" si="382"/>
        <v/>
      </c>
      <c r="U766" s="14" t="str">
        <f t="shared" si="383"/>
        <v/>
      </c>
      <c r="V766" s="13" t="str">
        <f t="shared" si="384"/>
        <v/>
      </c>
      <c r="W766" s="13" t="str">
        <f t="shared" si="385"/>
        <v/>
      </c>
      <c r="X766" s="14" t="str">
        <f t="shared" si="386"/>
        <v/>
      </c>
    </row>
    <row r="767" spans="2:24" x14ac:dyDescent="0.3">
      <c r="B767" s="1">
        <f t="shared" si="374"/>
        <v>0</v>
      </c>
      <c r="C767" s="1">
        <f t="shared" si="375"/>
        <v>0</v>
      </c>
      <c r="D767" s="10">
        <f t="shared" si="376"/>
        <v>0</v>
      </c>
      <c r="E767" s="1">
        <f t="shared" si="377"/>
        <v>0</v>
      </c>
      <c r="F767" s="1">
        <f t="shared" si="378"/>
        <v>0</v>
      </c>
      <c r="G767" s="1">
        <f t="shared" si="379"/>
        <v>0</v>
      </c>
      <c r="H767" s="1">
        <f t="shared" si="387"/>
        <v>0</v>
      </c>
      <c r="I767" s="10">
        <f t="shared" si="380"/>
        <v>0</v>
      </c>
      <c r="J767" s="1">
        <f t="shared" si="388"/>
        <v>0</v>
      </c>
      <c r="K767" s="1">
        <f t="shared" si="389"/>
        <v>0</v>
      </c>
      <c r="L767" s="1" t="str">
        <f t="shared" si="390"/>
        <v>0</v>
      </c>
      <c r="M767" s="10">
        <f t="shared" si="391"/>
        <v>0</v>
      </c>
      <c r="N767" s="1">
        <f t="shared" si="381"/>
        <v>0</v>
      </c>
      <c r="O767" s="1">
        <f t="shared" si="373"/>
        <v>0</v>
      </c>
      <c r="P767" s="1">
        <f t="shared" si="392"/>
        <v>0</v>
      </c>
      <c r="Q767" s="3" t="str">
        <f t="shared" si="372"/>
        <v/>
      </c>
      <c r="T767" s="13" t="str">
        <f t="shared" si="382"/>
        <v/>
      </c>
      <c r="U767" s="14" t="str">
        <f t="shared" si="383"/>
        <v/>
      </c>
      <c r="V767" s="13" t="str">
        <f t="shared" si="384"/>
        <v/>
      </c>
      <c r="W767" s="13" t="str">
        <f t="shared" si="385"/>
        <v/>
      </c>
      <c r="X767" s="14" t="str">
        <f t="shared" si="386"/>
        <v/>
      </c>
    </row>
    <row r="768" spans="2:24" x14ac:dyDescent="0.3">
      <c r="B768" s="1">
        <f t="shared" si="374"/>
        <v>0</v>
      </c>
      <c r="C768" s="1">
        <f t="shared" si="375"/>
        <v>0</v>
      </c>
      <c r="D768" s="10">
        <f t="shared" si="376"/>
        <v>0</v>
      </c>
      <c r="E768" s="1">
        <f t="shared" si="377"/>
        <v>0</v>
      </c>
      <c r="F768" s="1">
        <f t="shared" si="378"/>
        <v>0</v>
      </c>
      <c r="G768" s="1">
        <f t="shared" si="379"/>
        <v>0</v>
      </c>
      <c r="H768" s="1">
        <f t="shared" si="387"/>
        <v>0</v>
      </c>
      <c r="I768" s="10">
        <f t="shared" si="380"/>
        <v>0</v>
      </c>
      <c r="J768" s="1">
        <f t="shared" si="388"/>
        <v>0</v>
      </c>
      <c r="K768" s="1">
        <f t="shared" si="389"/>
        <v>0</v>
      </c>
      <c r="L768" s="1" t="str">
        <f t="shared" si="390"/>
        <v>0</v>
      </c>
      <c r="M768" s="10">
        <f t="shared" si="391"/>
        <v>0</v>
      </c>
      <c r="N768" s="1">
        <f t="shared" si="381"/>
        <v>0</v>
      </c>
      <c r="O768" s="1">
        <f t="shared" si="373"/>
        <v>0</v>
      </c>
      <c r="P768" s="1">
        <f t="shared" si="392"/>
        <v>0</v>
      </c>
      <c r="Q768" s="3" t="str">
        <f t="shared" si="372"/>
        <v/>
      </c>
      <c r="T768" s="13" t="str">
        <f t="shared" si="382"/>
        <v/>
      </c>
      <c r="U768" s="14" t="str">
        <f t="shared" si="383"/>
        <v/>
      </c>
      <c r="V768" s="13" t="str">
        <f t="shared" si="384"/>
        <v/>
      </c>
      <c r="W768" s="13" t="str">
        <f t="shared" si="385"/>
        <v/>
      </c>
      <c r="X768" s="14" t="str">
        <f t="shared" si="386"/>
        <v/>
      </c>
    </row>
    <row r="769" spans="2:24" x14ac:dyDescent="0.3">
      <c r="B769" s="1">
        <f t="shared" si="374"/>
        <v>0</v>
      </c>
      <c r="C769" s="1">
        <f t="shared" si="375"/>
        <v>0</v>
      </c>
      <c r="D769" s="10">
        <f t="shared" si="376"/>
        <v>0</v>
      </c>
      <c r="E769" s="1">
        <f t="shared" si="377"/>
        <v>0</v>
      </c>
      <c r="F769" s="1">
        <f t="shared" si="378"/>
        <v>0</v>
      </c>
      <c r="G769" s="1">
        <f t="shared" si="379"/>
        <v>0</v>
      </c>
      <c r="H769" s="1">
        <f t="shared" si="387"/>
        <v>0</v>
      </c>
      <c r="I769" s="10">
        <f t="shared" si="380"/>
        <v>0</v>
      </c>
      <c r="J769" s="1">
        <f t="shared" si="388"/>
        <v>0</v>
      </c>
      <c r="K769" s="1">
        <f t="shared" si="389"/>
        <v>0</v>
      </c>
      <c r="L769" s="1" t="str">
        <f t="shared" si="390"/>
        <v>0</v>
      </c>
      <c r="M769" s="10">
        <f t="shared" si="391"/>
        <v>0</v>
      </c>
      <c r="N769" s="1">
        <f t="shared" si="381"/>
        <v>0</v>
      </c>
      <c r="O769" s="1">
        <f t="shared" si="373"/>
        <v>0</v>
      </c>
      <c r="P769" s="1">
        <f t="shared" si="392"/>
        <v>0</v>
      </c>
      <c r="Q769" s="3" t="str">
        <f t="shared" si="372"/>
        <v/>
      </c>
      <c r="T769" s="13" t="str">
        <f t="shared" si="382"/>
        <v/>
      </c>
      <c r="U769" s="14" t="str">
        <f t="shared" si="383"/>
        <v/>
      </c>
      <c r="V769" s="13" t="str">
        <f t="shared" si="384"/>
        <v/>
      </c>
      <c r="W769" s="13" t="str">
        <f t="shared" si="385"/>
        <v/>
      </c>
      <c r="X769" s="14" t="str">
        <f t="shared" si="386"/>
        <v/>
      </c>
    </row>
    <row r="770" spans="2:24" x14ac:dyDescent="0.3">
      <c r="B770" s="1">
        <f t="shared" si="374"/>
        <v>0</v>
      </c>
      <c r="C770" s="1">
        <f t="shared" si="375"/>
        <v>0</v>
      </c>
      <c r="D770" s="10">
        <f t="shared" si="376"/>
        <v>0</v>
      </c>
      <c r="E770" s="1">
        <f t="shared" si="377"/>
        <v>0</v>
      </c>
      <c r="F770" s="1">
        <f t="shared" si="378"/>
        <v>0</v>
      </c>
      <c r="G770" s="1">
        <f t="shared" si="379"/>
        <v>0</v>
      </c>
      <c r="H770" s="1">
        <f t="shared" si="387"/>
        <v>0</v>
      </c>
      <c r="I770" s="10">
        <f t="shared" si="380"/>
        <v>0</v>
      </c>
      <c r="J770" s="1">
        <f t="shared" si="388"/>
        <v>0</v>
      </c>
      <c r="K770" s="1">
        <f t="shared" si="389"/>
        <v>0</v>
      </c>
      <c r="L770" s="1" t="str">
        <f t="shared" si="390"/>
        <v>0</v>
      </c>
      <c r="M770" s="10">
        <f t="shared" si="391"/>
        <v>0</v>
      </c>
      <c r="N770" s="1">
        <f t="shared" si="381"/>
        <v>0</v>
      </c>
      <c r="O770" s="1">
        <f t="shared" si="373"/>
        <v>0</v>
      </c>
      <c r="P770" s="1">
        <f t="shared" si="392"/>
        <v>0</v>
      </c>
      <c r="Q770" s="3" t="str">
        <f t="shared" si="372"/>
        <v/>
      </c>
      <c r="T770" s="13" t="str">
        <f t="shared" si="382"/>
        <v/>
      </c>
      <c r="U770" s="14" t="str">
        <f t="shared" si="383"/>
        <v/>
      </c>
      <c r="V770" s="13" t="str">
        <f t="shared" si="384"/>
        <v/>
      </c>
      <c r="W770" s="13" t="str">
        <f t="shared" si="385"/>
        <v/>
      </c>
      <c r="X770" s="14" t="str">
        <f t="shared" si="386"/>
        <v/>
      </c>
    </row>
    <row r="771" spans="2:24" x14ac:dyDescent="0.3">
      <c r="B771" s="1">
        <f t="shared" si="374"/>
        <v>0</v>
      </c>
      <c r="C771" s="1">
        <f t="shared" si="375"/>
        <v>0</v>
      </c>
      <c r="D771" s="10">
        <f t="shared" si="376"/>
        <v>0</v>
      </c>
      <c r="E771" s="1">
        <f t="shared" si="377"/>
        <v>0</v>
      </c>
      <c r="F771" s="1">
        <f t="shared" si="378"/>
        <v>0</v>
      </c>
      <c r="G771" s="1">
        <f t="shared" si="379"/>
        <v>0</v>
      </c>
      <c r="H771" s="1">
        <f t="shared" si="387"/>
        <v>0</v>
      </c>
      <c r="I771" s="10">
        <f t="shared" si="380"/>
        <v>0</v>
      </c>
      <c r="J771" s="1">
        <f t="shared" si="388"/>
        <v>0</v>
      </c>
      <c r="K771" s="1">
        <f t="shared" si="389"/>
        <v>0</v>
      </c>
      <c r="L771" s="1" t="str">
        <f t="shared" si="390"/>
        <v>0</v>
      </c>
      <c r="M771" s="10">
        <f t="shared" si="391"/>
        <v>0</v>
      </c>
      <c r="N771" s="1">
        <f t="shared" si="381"/>
        <v>0</v>
      </c>
      <c r="O771" s="1">
        <f t="shared" si="373"/>
        <v>0</v>
      </c>
      <c r="P771" s="1">
        <f t="shared" si="392"/>
        <v>0</v>
      </c>
      <c r="Q771" s="3" t="str">
        <f t="shared" si="372"/>
        <v/>
      </c>
      <c r="T771" s="13" t="str">
        <f t="shared" si="382"/>
        <v/>
      </c>
      <c r="U771" s="14" t="str">
        <f t="shared" si="383"/>
        <v/>
      </c>
      <c r="V771" s="13" t="str">
        <f t="shared" si="384"/>
        <v/>
      </c>
      <c r="W771" s="13" t="str">
        <f t="shared" si="385"/>
        <v/>
      </c>
      <c r="X771" s="14" t="str">
        <f t="shared" si="386"/>
        <v/>
      </c>
    </row>
    <row r="772" spans="2:24" x14ac:dyDescent="0.3">
      <c r="B772" s="1">
        <f t="shared" si="374"/>
        <v>0</v>
      </c>
      <c r="C772" s="1">
        <f t="shared" si="375"/>
        <v>0</v>
      </c>
      <c r="D772" s="10">
        <f t="shared" si="376"/>
        <v>0</v>
      </c>
      <c r="E772" s="1">
        <f t="shared" si="377"/>
        <v>0</v>
      </c>
      <c r="F772" s="1">
        <f t="shared" si="378"/>
        <v>0</v>
      </c>
      <c r="G772" s="1">
        <f t="shared" si="379"/>
        <v>0</v>
      </c>
      <c r="H772" s="1">
        <f t="shared" si="387"/>
        <v>0</v>
      </c>
      <c r="I772" s="10">
        <f t="shared" si="380"/>
        <v>0</v>
      </c>
      <c r="J772" s="1">
        <f t="shared" si="388"/>
        <v>0</v>
      </c>
      <c r="K772" s="1">
        <f t="shared" si="389"/>
        <v>0</v>
      </c>
      <c r="L772" s="1" t="str">
        <f t="shared" si="390"/>
        <v>0</v>
      </c>
      <c r="M772" s="10">
        <f t="shared" si="391"/>
        <v>0</v>
      </c>
      <c r="N772" s="1">
        <f t="shared" si="381"/>
        <v>0</v>
      </c>
      <c r="O772" s="1">
        <f t="shared" si="373"/>
        <v>0</v>
      </c>
      <c r="P772" s="1">
        <f t="shared" si="392"/>
        <v>0</v>
      </c>
      <c r="Q772" s="3" t="str">
        <f t="shared" ref="Q772:Q835" si="393">IF($N772&gt;0,MID($A772,($N772+$O772),$P772-($N772+$O772)),"")</f>
        <v/>
      </c>
      <c r="T772" s="13" t="str">
        <f t="shared" si="382"/>
        <v/>
      </c>
      <c r="U772" s="14" t="str">
        <f t="shared" si="383"/>
        <v/>
      </c>
      <c r="V772" s="13" t="str">
        <f t="shared" si="384"/>
        <v/>
      </c>
      <c r="W772" s="13" t="str">
        <f t="shared" si="385"/>
        <v/>
      </c>
      <c r="X772" s="14" t="str">
        <f t="shared" si="386"/>
        <v/>
      </c>
    </row>
    <row r="773" spans="2:24" x14ac:dyDescent="0.3">
      <c r="B773" s="1">
        <f t="shared" si="374"/>
        <v>0</v>
      </c>
      <c r="C773" s="1">
        <f t="shared" si="375"/>
        <v>0</v>
      </c>
      <c r="D773" s="10">
        <f t="shared" si="376"/>
        <v>0</v>
      </c>
      <c r="E773" s="1">
        <f t="shared" si="377"/>
        <v>0</v>
      </c>
      <c r="F773" s="1">
        <f t="shared" si="378"/>
        <v>0</v>
      </c>
      <c r="G773" s="1">
        <f t="shared" si="379"/>
        <v>0</v>
      </c>
      <c r="H773" s="1">
        <f t="shared" si="387"/>
        <v>0</v>
      </c>
      <c r="I773" s="10">
        <f t="shared" si="380"/>
        <v>0</v>
      </c>
      <c r="J773" s="1">
        <f t="shared" si="388"/>
        <v>0</v>
      </c>
      <c r="K773" s="1">
        <f t="shared" si="389"/>
        <v>0</v>
      </c>
      <c r="L773" s="1" t="str">
        <f t="shared" si="390"/>
        <v>0</v>
      </c>
      <c r="M773" s="10">
        <f t="shared" si="391"/>
        <v>0</v>
      </c>
      <c r="N773" s="1">
        <f t="shared" si="381"/>
        <v>0</v>
      </c>
      <c r="O773" s="1">
        <f t="shared" ref="O773:O836" si="394">IFERROR(FIND("#",$A773)+1-N773,0)</f>
        <v>0</v>
      </c>
      <c r="P773" s="1">
        <f t="shared" si="392"/>
        <v>0</v>
      </c>
      <c r="Q773" s="3" t="str">
        <f t="shared" si="393"/>
        <v/>
      </c>
      <c r="T773" s="13" t="str">
        <f t="shared" si="382"/>
        <v/>
      </c>
      <c r="U773" s="14" t="str">
        <f t="shared" si="383"/>
        <v/>
      </c>
      <c r="V773" s="13" t="str">
        <f t="shared" si="384"/>
        <v/>
      </c>
      <c r="W773" s="13" t="str">
        <f t="shared" si="385"/>
        <v/>
      </c>
      <c r="X773" s="14" t="str">
        <f t="shared" si="386"/>
        <v/>
      </c>
    </row>
    <row r="774" spans="2:24" x14ac:dyDescent="0.3">
      <c r="B774" s="1">
        <f t="shared" si="374"/>
        <v>0</v>
      </c>
      <c r="C774" s="1">
        <f t="shared" si="375"/>
        <v>0</v>
      </c>
      <c r="D774" s="10">
        <f t="shared" si="376"/>
        <v>0</v>
      </c>
      <c r="E774" s="1">
        <f t="shared" si="377"/>
        <v>0</v>
      </c>
      <c r="F774" s="1">
        <f t="shared" si="378"/>
        <v>0</v>
      </c>
      <c r="G774" s="1">
        <f t="shared" si="379"/>
        <v>0</v>
      </c>
      <c r="H774" s="1">
        <f t="shared" si="387"/>
        <v>0</v>
      </c>
      <c r="I774" s="10">
        <f t="shared" si="380"/>
        <v>0</v>
      </c>
      <c r="J774" s="1">
        <f t="shared" si="388"/>
        <v>0</v>
      </c>
      <c r="K774" s="1">
        <f t="shared" si="389"/>
        <v>0</v>
      </c>
      <c r="L774" s="1" t="str">
        <f t="shared" si="390"/>
        <v>0</v>
      </c>
      <c r="M774" s="10">
        <f t="shared" si="391"/>
        <v>0</v>
      </c>
      <c r="N774" s="1">
        <f t="shared" si="381"/>
        <v>0</v>
      </c>
      <c r="O774" s="1">
        <f t="shared" si="394"/>
        <v>0</v>
      </c>
      <c r="P774" s="1">
        <f t="shared" si="392"/>
        <v>0</v>
      </c>
      <c r="Q774" s="3" t="str">
        <f t="shared" si="393"/>
        <v/>
      </c>
      <c r="T774" s="13" t="str">
        <f t="shared" si="382"/>
        <v/>
      </c>
      <c r="U774" s="14" t="str">
        <f t="shared" si="383"/>
        <v/>
      </c>
      <c r="V774" s="13" t="str">
        <f t="shared" si="384"/>
        <v/>
      </c>
      <c r="W774" s="13" t="str">
        <f t="shared" si="385"/>
        <v/>
      </c>
      <c r="X774" s="14" t="str">
        <f t="shared" si="386"/>
        <v/>
      </c>
    </row>
    <row r="775" spans="2:24" x14ac:dyDescent="0.3">
      <c r="B775" s="1">
        <f t="shared" ref="B775:B838" si="395">IFERROR(FIND("UP_SET(",$A775)+7,0)</f>
        <v>0</v>
      </c>
      <c r="C775" s="1">
        <f t="shared" ref="C775:C838" si="396">IF($B775&gt;0,FIND(",",$A775,$B775),0)</f>
        <v>0</v>
      </c>
      <c r="D775" s="10">
        <f t="shared" ref="D775:D838" si="397">IF($B775&gt;0,MID($A775,$B775,$C775-$B775),0)</f>
        <v>0</v>
      </c>
      <c r="E775" s="1">
        <f t="shared" ref="E775:E838" si="398">IF($B775&gt;0,FIND("Up",$A775,$C775),0)</f>
        <v>0</v>
      </c>
      <c r="F775" s="1">
        <f t="shared" ref="F775:F838" si="399">IF($B775&gt;0,IFERROR(FIND(",",$A775,$E775),0),0)</f>
        <v>0</v>
      </c>
      <c r="G775" s="1">
        <f t="shared" ref="G775:G838" si="400">IF($B775&gt;0,FIND(")",$A775,$B775),0)</f>
        <v>0</v>
      </c>
      <c r="H775" s="1">
        <f t="shared" si="387"/>
        <v>0</v>
      </c>
      <c r="I775" s="10">
        <f t="shared" ref="I775:I838" si="401">IF($B775&gt;0,MID($A775,$E775,$H775-$E775),0)</f>
        <v>0</v>
      </c>
      <c r="J775" s="1">
        <f t="shared" si="388"/>
        <v>0</v>
      </c>
      <c r="K775" s="1">
        <f t="shared" si="389"/>
        <v>0</v>
      </c>
      <c r="L775" s="1" t="str">
        <f t="shared" si="390"/>
        <v>0</v>
      </c>
      <c r="M775" s="10">
        <f t="shared" si="391"/>
        <v>0</v>
      </c>
      <c r="N775" s="1">
        <f t="shared" ref="N775:N838" si="402">IFERROR(FIND("/*",$A775)+2,0)</f>
        <v>0</v>
      </c>
      <c r="O775" s="1">
        <f t="shared" si="394"/>
        <v>0</v>
      </c>
      <c r="P775" s="1">
        <f t="shared" si="392"/>
        <v>0</v>
      </c>
      <c r="Q775" s="3" t="str">
        <f t="shared" si="393"/>
        <v/>
      </c>
      <c r="T775" s="13" t="str">
        <f t="shared" si="382"/>
        <v/>
      </c>
      <c r="U775" s="14" t="str">
        <f t="shared" si="383"/>
        <v/>
      </c>
      <c r="V775" s="13" t="str">
        <f t="shared" si="384"/>
        <v/>
      </c>
      <c r="W775" s="13" t="str">
        <f t="shared" si="385"/>
        <v/>
      </c>
      <c r="X775" s="14" t="str">
        <f t="shared" si="386"/>
        <v/>
      </c>
    </row>
    <row r="776" spans="2:24" x14ac:dyDescent="0.3">
      <c r="B776" s="1">
        <f t="shared" si="395"/>
        <v>0</v>
      </c>
      <c r="C776" s="1">
        <f t="shared" si="396"/>
        <v>0</v>
      </c>
      <c r="D776" s="10">
        <f t="shared" si="397"/>
        <v>0</v>
      </c>
      <c r="E776" s="1">
        <f t="shared" si="398"/>
        <v>0</v>
      </c>
      <c r="F776" s="1">
        <f t="shared" si="399"/>
        <v>0</v>
      </c>
      <c r="G776" s="1">
        <f t="shared" si="400"/>
        <v>0</v>
      </c>
      <c r="H776" s="1">
        <f t="shared" si="387"/>
        <v>0</v>
      </c>
      <c r="I776" s="10">
        <f t="shared" si="401"/>
        <v>0</v>
      </c>
      <c r="J776" s="1">
        <f t="shared" si="388"/>
        <v>0</v>
      </c>
      <c r="K776" s="1">
        <f t="shared" si="389"/>
        <v>0</v>
      </c>
      <c r="L776" s="1" t="str">
        <f t="shared" si="390"/>
        <v>0</v>
      </c>
      <c r="M776" s="10">
        <f t="shared" si="391"/>
        <v>0</v>
      </c>
      <c r="N776" s="1">
        <f t="shared" si="402"/>
        <v>0</v>
      </c>
      <c r="O776" s="1">
        <f t="shared" si="394"/>
        <v>0</v>
      </c>
      <c r="P776" s="1">
        <f t="shared" si="392"/>
        <v>0</v>
      </c>
      <c r="Q776" s="3" t="str">
        <f t="shared" si="393"/>
        <v/>
      </c>
      <c r="T776" s="13" t="str">
        <f t="shared" si="382"/>
        <v/>
      </c>
      <c r="U776" s="14" t="str">
        <f t="shared" si="383"/>
        <v/>
      </c>
      <c r="V776" s="13" t="str">
        <f t="shared" si="384"/>
        <v/>
      </c>
      <c r="W776" s="13" t="str">
        <f t="shared" si="385"/>
        <v/>
      </c>
      <c r="X776" s="14" t="str">
        <f t="shared" si="386"/>
        <v/>
      </c>
    </row>
    <row r="777" spans="2:24" x14ac:dyDescent="0.3">
      <c r="B777" s="1">
        <f t="shared" si="395"/>
        <v>0</v>
      </c>
      <c r="C777" s="1">
        <f t="shared" si="396"/>
        <v>0</v>
      </c>
      <c r="D777" s="10">
        <f t="shared" si="397"/>
        <v>0</v>
      </c>
      <c r="E777" s="1">
        <f t="shared" si="398"/>
        <v>0</v>
      </c>
      <c r="F777" s="1">
        <f t="shared" si="399"/>
        <v>0</v>
      </c>
      <c r="G777" s="1">
        <f t="shared" si="400"/>
        <v>0</v>
      </c>
      <c r="H777" s="1">
        <f t="shared" si="387"/>
        <v>0</v>
      </c>
      <c r="I777" s="10">
        <f t="shared" si="401"/>
        <v>0</v>
      </c>
      <c r="J777" s="1">
        <f t="shared" si="388"/>
        <v>0</v>
      </c>
      <c r="K777" s="1">
        <f t="shared" si="389"/>
        <v>0</v>
      </c>
      <c r="L777" s="1" t="str">
        <f t="shared" si="390"/>
        <v>0</v>
      </c>
      <c r="M777" s="10">
        <f t="shared" si="391"/>
        <v>0</v>
      </c>
      <c r="N777" s="1">
        <f t="shared" si="402"/>
        <v>0</v>
      </c>
      <c r="O777" s="1">
        <f t="shared" si="394"/>
        <v>0</v>
      </c>
      <c r="P777" s="1">
        <f t="shared" si="392"/>
        <v>0</v>
      </c>
      <c r="Q777" s="3" t="str">
        <f t="shared" si="393"/>
        <v/>
      </c>
      <c r="T777" s="13" t="str">
        <f t="shared" si="382"/>
        <v/>
      </c>
      <c r="U777" s="14" t="str">
        <f t="shared" si="383"/>
        <v/>
      </c>
      <c r="V777" s="13" t="str">
        <f t="shared" si="384"/>
        <v/>
      </c>
      <c r="W777" s="13" t="str">
        <f t="shared" si="385"/>
        <v/>
      </c>
      <c r="X777" s="14" t="str">
        <f t="shared" si="386"/>
        <v/>
      </c>
    </row>
    <row r="778" spans="2:24" x14ac:dyDescent="0.3">
      <c r="B778" s="1">
        <f t="shared" si="395"/>
        <v>0</v>
      </c>
      <c r="C778" s="1">
        <f t="shared" si="396"/>
        <v>0</v>
      </c>
      <c r="D778" s="10">
        <f t="shared" si="397"/>
        <v>0</v>
      </c>
      <c r="E778" s="1">
        <f t="shared" si="398"/>
        <v>0</v>
      </c>
      <c r="F778" s="1">
        <f t="shared" si="399"/>
        <v>0</v>
      </c>
      <c r="G778" s="1">
        <f t="shared" si="400"/>
        <v>0</v>
      </c>
      <c r="H778" s="1">
        <f t="shared" si="387"/>
        <v>0</v>
      </c>
      <c r="I778" s="10">
        <f t="shared" si="401"/>
        <v>0</v>
      </c>
      <c r="J778" s="1">
        <f t="shared" si="388"/>
        <v>0</v>
      </c>
      <c r="K778" s="1">
        <f t="shared" si="389"/>
        <v>0</v>
      </c>
      <c r="L778" s="1" t="str">
        <f t="shared" si="390"/>
        <v>0</v>
      </c>
      <c r="M778" s="10">
        <f t="shared" si="391"/>
        <v>0</v>
      </c>
      <c r="N778" s="1">
        <f t="shared" si="402"/>
        <v>0</v>
      </c>
      <c r="O778" s="1">
        <f t="shared" si="394"/>
        <v>0</v>
      </c>
      <c r="P778" s="1">
        <f t="shared" si="392"/>
        <v>0</v>
      </c>
      <c r="Q778" s="3" t="str">
        <f t="shared" si="393"/>
        <v/>
      </c>
      <c r="T778" s="13" t="str">
        <f t="shared" si="382"/>
        <v/>
      </c>
      <c r="U778" s="14" t="str">
        <f t="shared" si="383"/>
        <v/>
      </c>
      <c r="V778" s="13" t="str">
        <f t="shared" si="384"/>
        <v/>
      </c>
      <c r="W778" s="13" t="str">
        <f t="shared" si="385"/>
        <v/>
      </c>
      <c r="X778" s="14" t="str">
        <f t="shared" si="386"/>
        <v/>
      </c>
    </row>
    <row r="779" spans="2:24" x14ac:dyDescent="0.3">
      <c r="B779" s="1">
        <f t="shared" si="395"/>
        <v>0</v>
      </c>
      <c r="C779" s="1">
        <f t="shared" si="396"/>
        <v>0</v>
      </c>
      <c r="D779" s="10">
        <f t="shared" si="397"/>
        <v>0</v>
      </c>
      <c r="E779" s="1">
        <f t="shared" si="398"/>
        <v>0</v>
      </c>
      <c r="F779" s="1">
        <f t="shared" si="399"/>
        <v>0</v>
      </c>
      <c r="G779" s="1">
        <f t="shared" si="400"/>
        <v>0</v>
      </c>
      <c r="H779" s="1">
        <f t="shared" si="387"/>
        <v>0</v>
      </c>
      <c r="I779" s="10">
        <f t="shared" si="401"/>
        <v>0</v>
      </c>
      <c r="J779" s="1">
        <f t="shared" si="388"/>
        <v>0</v>
      </c>
      <c r="K779" s="1">
        <f t="shared" si="389"/>
        <v>0</v>
      </c>
      <c r="L779" s="1" t="str">
        <f t="shared" si="390"/>
        <v>0</v>
      </c>
      <c r="M779" s="10">
        <f t="shared" si="391"/>
        <v>0</v>
      </c>
      <c r="N779" s="1">
        <f t="shared" si="402"/>
        <v>0</v>
      </c>
      <c r="O779" s="1">
        <f t="shared" si="394"/>
        <v>0</v>
      </c>
      <c r="P779" s="1">
        <f t="shared" si="392"/>
        <v>0</v>
      </c>
      <c r="Q779" s="3" t="str">
        <f t="shared" si="393"/>
        <v/>
      </c>
      <c r="T779" s="13" t="str">
        <f t="shared" si="382"/>
        <v/>
      </c>
      <c r="U779" s="14" t="str">
        <f t="shared" si="383"/>
        <v/>
      </c>
      <c r="V779" s="13" t="str">
        <f t="shared" si="384"/>
        <v/>
      </c>
      <c r="W779" s="13" t="str">
        <f t="shared" si="385"/>
        <v/>
      </c>
      <c r="X779" s="14" t="str">
        <f t="shared" si="386"/>
        <v/>
      </c>
    </row>
    <row r="780" spans="2:24" x14ac:dyDescent="0.3">
      <c r="B780" s="1">
        <f t="shared" si="395"/>
        <v>0</v>
      </c>
      <c r="C780" s="1">
        <f t="shared" si="396"/>
        <v>0</v>
      </c>
      <c r="D780" s="10">
        <f t="shared" si="397"/>
        <v>0</v>
      </c>
      <c r="E780" s="1">
        <f t="shared" si="398"/>
        <v>0</v>
      </c>
      <c r="F780" s="1">
        <f t="shared" si="399"/>
        <v>0</v>
      </c>
      <c r="G780" s="1">
        <f t="shared" si="400"/>
        <v>0</v>
      </c>
      <c r="H780" s="1">
        <f t="shared" si="387"/>
        <v>0</v>
      </c>
      <c r="I780" s="10">
        <f t="shared" si="401"/>
        <v>0</v>
      </c>
      <c r="J780" s="1">
        <f t="shared" si="388"/>
        <v>0</v>
      </c>
      <c r="K780" s="1">
        <f t="shared" si="389"/>
        <v>0</v>
      </c>
      <c r="L780" s="1" t="str">
        <f t="shared" si="390"/>
        <v>0</v>
      </c>
      <c r="M780" s="10">
        <f t="shared" si="391"/>
        <v>0</v>
      </c>
      <c r="N780" s="1">
        <f t="shared" si="402"/>
        <v>0</v>
      </c>
      <c r="O780" s="1">
        <f t="shared" si="394"/>
        <v>0</v>
      </c>
      <c r="P780" s="1">
        <f t="shared" si="392"/>
        <v>0</v>
      </c>
      <c r="Q780" s="3" t="str">
        <f t="shared" si="393"/>
        <v/>
      </c>
      <c r="T780" s="13" t="str">
        <f t="shared" si="382"/>
        <v/>
      </c>
      <c r="U780" s="14" t="str">
        <f t="shared" si="383"/>
        <v/>
      </c>
      <c r="V780" s="13" t="str">
        <f t="shared" si="384"/>
        <v/>
      </c>
      <c r="W780" s="13" t="str">
        <f t="shared" si="385"/>
        <v/>
      </c>
      <c r="X780" s="14" t="str">
        <f t="shared" si="386"/>
        <v/>
      </c>
    </row>
    <row r="781" spans="2:24" x14ac:dyDescent="0.3">
      <c r="B781" s="1">
        <f t="shared" si="395"/>
        <v>0</v>
      </c>
      <c r="C781" s="1">
        <f t="shared" si="396"/>
        <v>0</v>
      </c>
      <c r="D781" s="10">
        <f t="shared" si="397"/>
        <v>0</v>
      </c>
      <c r="E781" s="1">
        <f t="shared" si="398"/>
        <v>0</v>
      </c>
      <c r="F781" s="1">
        <f t="shared" si="399"/>
        <v>0</v>
      </c>
      <c r="G781" s="1">
        <f t="shared" si="400"/>
        <v>0</v>
      </c>
      <c r="H781" s="1">
        <f t="shared" si="387"/>
        <v>0</v>
      </c>
      <c r="I781" s="10">
        <f t="shared" si="401"/>
        <v>0</v>
      </c>
      <c r="J781" s="1">
        <f t="shared" si="388"/>
        <v>0</v>
      </c>
      <c r="K781" s="1">
        <f t="shared" si="389"/>
        <v>0</v>
      </c>
      <c r="L781" s="1" t="str">
        <f t="shared" si="390"/>
        <v>0</v>
      </c>
      <c r="M781" s="10">
        <f t="shared" si="391"/>
        <v>0</v>
      </c>
      <c r="N781" s="1">
        <f t="shared" si="402"/>
        <v>0</v>
      </c>
      <c r="O781" s="1">
        <f t="shared" si="394"/>
        <v>0</v>
      </c>
      <c r="P781" s="1">
        <f t="shared" si="392"/>
        <v>0</v>
      </c>
      <c r="Q781" s="3" t="str">
        <f t="shared" si="393"/>
        <v/>
      </c>
      <c r="T781" s="13" t="str">
        <f t="shared" si="382"/>
        <v/>
      </c>
      <c r="U781" s="14" t="str">
        <f t="shared" si="383"/>
        <v/>
      </c>
      <c r="V781" s="13" t="str">
        <f t="shared" si="384"/>
        <v/>
      </c>
      <c r="W781" s="13" t="str">
        <f t="shared" si="385"/>
        <v/>
      </c>
      <c r="X781" s="14" t="str">
        <f t="shared" si="386"/>
        <v/>
      </c>
    </row>
    <row r="782" spans="2:24" x14ac:dyDescent="0.3">
      <c r="B782" s="1">
        <f t="shared" si="395"/>
        <v>0</v>
      </c>
      <c r="C782" s="1">
        <f t="shared" si="396"/>
        <v>0</v>
      </c>
      <c r="D782" s="10">
        <f t="shared" si="397"/>
        <v>0</v>
      </c>
      <c r="E782" s="1">
        <f t="shared" si="398"/>
        <v>0</v>
      </c>
      <c r="F782" s="1">
        <f t="shared" si="399"/>
        <v>0</v>
      </c>
      <c r="G782" s="1">
        <f t="shared" si="400"/>
        <v>0</v>
      </c>
      <c r="H782" s="1">
        <f t="shared" si="387"/>
        <v>0</v>
      </c>
      <c r="I782" s="10">
        <f t="shared" si="401"/>
        <v>0</v>
      </c>
      <c r="J782" s="1">
        <f t="shared" si="388"/>
        <v>0</v>
      </c>
      <c r="K782" s="1">
        <f t="shared" si="389"/>
        <v>0</v>
      </c>
      <c r="L782" s="1" t="str">
        <f t="shared" si="390"/>
        <v>0</v>
      </c>
      <c r="M782" s="10">
        <f t="shared" si="391"/>
        <v>0</v>
      </c>
      <c r="N782" s="1">
        <f t="shared" si="402"/>
        <v>0</v>
      </c>
      <c r="O782" s="1">
        <f t="shared" si="394"/>
        <v>0</v>
      </c>
      <c r="P782" s="1">
        <f t="shared" si="392"/>
        <v>0</v>
      </c>
      <c r="Q782" s="3" t="str">
        <f t="shared" si="393"/>
        <v/>
      </c>
      <c r="T782" s="13" t="str">
        <f t="shared" si="382"/>
        <v/>
      </c>
      <c r="U782" s="14" t="str">
        <f t="shared" si="383"/>
        <v/>
      </c>
      <c r="V782" s="13" t="str">
        <f t="shared" si="384"/>
        <v/>
      </c>
      <c r="W782" s="13" t="str">
        <f t="shared" si="385"/>
        <v/>
      </c>
      <c r="X782" s="14" t="str">
        <f t="shared" si="386"/>
        <v/>
      </c>
    </row>
    <row r="783" spans="2:24" x14ac:dyDescent="0.3">
      <c r="B783" s="1">
        <f t="shared" si="395"/>
        <v>0</v>
      </c>
      <c r="C783" s="1">
        <f t="shared" si="396"/>
        <v>0</v>
      </c>
      <c r="D783" s="10">
        <f t="shared" si="397"/>
        <v>0</v>
      </c>
      <c r="E783" s="1">
        <f t="shared" si="398"/>
        <v>0</v>
      </c>
      <c r="F783" s="1">
        <f t="shared" si="399"/>
        <v>0</v>
      </c>
      <c r="G783" s="1">
        <f t="shared" si="400"/>
        <v>0</v>
      </c>
      <c r="H783" s="1">
        <f t="shared" si="387"/>
        <v>0</v>
      </c>
      <c r="I783" s="10">
        <f t="shared" si="401"/>
        <v>0</v>
      </c>
      <c r="J783" s="1">
        <f t="shared" si="388"/>
        <v>0</v>
      </c>
      <c r="K783" s="1">
        <f t="shared" si="389"/>
        <v>0</v>
      </c>
      <c r="L783" s="1" t="str">
        <f t="shared" si="390"/>
        <v>0</v>
      </c>
      <c r="M783" s="10">
        <f t="shared" si="391"/>
        <v>0</v>
      </c>
      <c r="N783" s="1">
        <f t="shared" si="402"/>
        <v>0</v>
      </c>
      <c r="O783" s="1">
        <f t="shared" si="394"/>
        <v>0</v>
      </c>
      <c r="P783" s="1">
        <f t="shared" si="392"/>
        <v>0</v>
      </c>
      <c r="Q783" s="3" t="str">
        <f t="shared" si="393"/>
        <v/>
      </c>
      <c r="T783" s="13" t="str">
        <f t="shared" si="382"/>
        <v/>
      </c>
      <c r="U783" s="14" t="str">
        <f t="shared" si="383"/>
        <v/>
      </c>
      <c r="V783" s="13" t="str">
        <f t="shared" si="384"/>
        <v/>
      </c>
      <c r="W783" s="13" t="str">
        <f t="shared" si="385"/>
        <v/>
      </c>
      <c r="X783" s="14" t="str">
        <f t="shared" si="386"/>
        <v/>
      </c>
    </row>
    <row r="784" spans="2:24" x14ac:dyDescent="0.3">
      <c r="B784" s="1">
        <f t="shared" si="395"/>
        <v>0</v>
      </c>
      <c r="C784" s="1">
        <f t="shared" si="396"/>
        <v>0</v>
      </c>
      <c r="D784" s="10">
        <f t="shared" si="397"/>
        <v>0</v>
      </c>
      <c r="E784" s="1">
        <f t="shared" si="398"/>
        <v>0</v>
      </c>
      <c r="F784" s="1">
        <f t="shared" si="399"/>
        <v>0</v>
      </c>
      <c r="G784" s="1">
        <f t="shared" si="400"/>
        <v>0</v>
      </c>
      <c r="H784" s="1">
        <f t="shared" si="387"/>
        <v>0</v>
      </c>
      <c r="I784" s="10">
        <f t="shared" si="401"/>
        <v>0</v>
      </c>
      <c r="J784" s="1">
        <f t="shared" si="388"/>
        <v>0</v>
      </c>
      <c r="K784" s="1">
        <f t="shared" si="389"/>
        <v>0</v>
      </c>
      <c r="L784" s="1" t="str">
        <f t="shared" si="390"/>
        <v>0</v>
      </c>
      <c r="M784" s="10">
        <f t="shared" si="391"/>
        <v>0</v>
      </c>
      <c r="N784" s="1">
        <f t="shared" si="402"/>
        <v>0</v>
      </c>
      <c r="O784" s="1">
        <f t="shared" si="394"/>
        <v>0</v>
      </c>
      <c r="P784" s="1">
        <f t="shared" si="392"/>
        <v>0</v>
      </c>
      <c r="Q784" s="3" t="str">
        <f t="shared" si="393"/>
        <v/>
      </c>
      <c r="T784" s="13" t="str">
        <f t="shared" si="382"/>
        <v/>
      </c>
      <c r="U784" s="14" t="str">
        <f t="shared" si="383"/>
        <v/>
      </c>
      <c r="V784" s="13" t="str">
        <f t="shared" si="384"/>
        <v/>
      </c>
      <c r="W784" s="13" t="str">
        <f t="shared" si="385"/>
        <v/>
      </c>
      <c r="X784" s="14" t="str">
        <f t="shared" si="386"/>
        <v/>
      </c>
    </row>
    <row r="785" spans="2:24" x14ac:dyDescent="0.3">
      <c r="B785" s="1">
        <f t="shared" si="395"/>
        <v>0</v>
      </c>
      <c r="C785" s="1">
        <f t="shared" si="396"/>
        <v>0</v>
      </c>
      <c r="D785" s="10">
        <f t="shared" si="397"/>
        <v>0</v>
      </c>
      <c r="E785" s="1">
        <f t="shared" si="398"/>
        <v>0</v>
      </c>
      <c r="F785" s="1">
        <f t="shared" si="399"/>
        <v>0</v>
      </c>
      <c r="G785" s="1">
        <f t="shared" si="400"/>
        <v>0</v>
      </c>
      <c r="H785" s="1">
        <f t="shared" si="387"/>
        <v>0</v>
      </c>
      <c r="I785" s="10">
        <f t="shared" si="401"/>
        <v>0</v>
      </c>
      <c r="J785" s="1">
        <f t="shared" si="388"/>
        <v>0</v>
      </c>
      <c r="K785" s="1">
        <f t="shared" si="389"/>
        <v>0</v>
      </c>
      <c r="L785" s="1" t="str">
        <f t="shared" si="390"/>
        <v>0</v>
      </c>
      <c r="M785" s="10">
        <f t="shared" si="391"/>
        <v>0</v>
      </c>
      <c r="N785" s="1">
        <f t="shared" si="402"/>
        <v>0</v>
      </c>
      <c r="O785" s="1">
        <f t="shared" si="394"/>
        <v>0</v>
      </c>
      <c r="P785" s="1">
        <f t="shared" si="392"/>
        <v>0</v>
      </c>
      <c r="Q785" s="3" t="str">
        <f t="shared" si="393"/>
        <v/>
      </c>
      <c r="T785" s="13" t="str">
        <f t="shared" si="382"/>
        <v/>
      </c>
      <c r="U785" s="14" t="str">
        <f t="shared" si="383"/>
        <v/>
      </c>
      <c r="V785" s="13" t="str">
        <f t="shared" si="384"/>
        <v/>
      </c>
      <c r="W785" s="13" t="str">
        <f t="shared" si="385"/>
        <v/>
      </c>
      <c r="X785" s="14" t="str">
        <f t="shared" si="386"/>
        <v/>
      </c>
    </row>
    <row r="786" spans="2:24" x14ac:dyDescent="0.3">
      <c r="B786" s="1">
        <f t="shared" si="395"/>
        <v>0</v>
      </c>
      <c r="C786" s="1">
        <f t="shared" si="396"/>
        <v>0</v>
      </c>
      <c r="D786" s="10">
        <f t="shared" si="397"/>
        <v>0</v>
      </c>
      <c r="E786" s="1">
        <f t="shared" si="398"/>
        <v>0</v>
      </c>
      <c r="F786" s="1">
        <f t="shared" si="399"/>
        <v>0</v>
      </c>
      <c r="G786" s="1">
        <f t="shared" si="400"/>
        <v>0</v>
      </c>
      <c r="H786" s="1">
        <f t="shared" si="387"/>
        <v>0</v>
      </c>
      <c r="I786" s="10">
        <f t="shared" si="401"/>
        <v>0</v>
      </c>
      <c r="J786" s="1">
        <f t="shared" si="388"/>
        <v>0</v>
      </c>
      <c r="K786" s="1">
        <f t="shared" si="389"/>
        <v>0</v>
      </c>
      <c r="L786" s="1" t="str">
        <f t="shared" si="390"/>
        <v>0</v>
      </c>
      <c r="M786" s="10">
        <f t="shared" si="391"/>
        <v>0</v>
      </c>
      <c r="N786" s="1">
        <f t="shared" si="402"/>
        <v>0</v>
      </c>
      <c r="O786" s="1">
        <f t="shared" si="394"/>
        <v>0</v>
      </c>
      <c r="P786" s="1">
        <f t="shared" si="392"/>
        <v>0</v>
      </c>
      <c r="Q786" s="3" t="str">
        <f t="shared" si="393"/>
        <v/>
      </c>
      <c r="T786" s="13" t="str">
        <f t="shared" si="382"/>
        <v/>
      </c>
      <c r="U786" s="14" t="str">
        <f t="shared" si="383"/>
        <v/>
      </c>
      <c r="V786" s="13" t="str">
        <f t="shared" si="384"/>
        <v/>
      </c>
      <c r="W786" s="13" t="str">
        <f t="shared" si="385"/>
        <v/>
      </c>
      <c r="X786" s="14" t="str">
        <f t="shared" si="386"/>
        <v/>
      </c>
    </row>
    <row r="787" spans="2:24" x14ac:dyDescent="0.3">
      <c r="B787" s="1">
        <f t="shared" si="395"/>
        <v>0</v>
      </c>
      <c r="C787" s="1">
        <f t="shared" si="396"/>
        <v>0</v>
      </c>
      <c r="D787" s="10">
        <f t="shared" si="397"/>
        <v>0</v>
      </c>
      <c r="E787" s="1">
        <f t="shared" si="398"/>
        <v>0</v>
      </c>
      <c r="F787" s="1">
        <f t="shared" si="399"/>
        <v>0</v>
      </c>
      <c r="G787" s="1">
        <f t="shared" si="400"/>
        <v>0</v>
      </c>
      <c r="H787" s="1">
        <f t="shared" si="387"/>
        <v>0</v>
      </c>
      <c r="I787" s="10">
        <f t="shared" si="401"/>
        <v>0</v>
      </c>
      <c r="J787" s="1">
        <f t="shared" si="388"/>
        <v>0</v>
      </c>
      <c r="K787" s="1">
        <f t="shared" si="389"/>
        <v>0</v>
      </c>
      <c r="L787" s="1" t="str">
        <f t="shared" si="390"/>
        <v>0</v>
      </c>
      <c r="M787" s="10">
        <f t="shared" si="391"/>
        <v>0</v>
      </c>
      <c r="N787" s="1">
        <f t="shared" si="402"/>
        <v>0</v>
      </c>
      <c r="O787" s="1">
        <f t="shared" si="394"/>
        <v>0</v>
      </c>
      <c r="P787" s="1">
        <f t="shared" si="392"/>
        <v>0</v>
      </c>
      <c r="Q787" s="3" t="str">
        <f t="shared" si="393"/>
        <v/>
      </c>
      <c r="T787" s="13" t="str">
        <f t="shared" ref="T787:T850" si="403">IF(A787="",IF(A786="","",$T$1),IF(O787=1,"#",IF(B787=0,"*",DEC2HEX(R787))))</f>
        <v/>
      </c>
      <c r="U787" s="14" t="str">
        <f t="shared" ref="U787:U850" si="404">IF(A787="",IF(A786="","",$U$1),  IF(B787=0,Q787,I787)  )</f>
        <v/>
      </c>
      <c r="V787" s="13" t="str">
        <f t="shared" ref="V787:V850" si="405">IF(U787=$U$1,"",IF(A787="",IF(A786="","",1),  IF(B787=0,1,D787)  ))</f>
        <v/>
      </c>
      <c r="W787" s="13" t="str">
        <f t="shared" ref="W787:W850" si="406">IF(U787=$U$1,"",IF(A787="",IF(A786="","",0),  IF(C787=0,0,0)  ))</f>
        <v/>
      </c>
      <c r="X787" s="14" t="str">
        <f t="shared" ref="X787:X850" si="407">IF(U787=$U$1,"",IF(U787="","",IF(B787&gt;0,IF(Q787&lt;&gt;"",Q787,"No description"),"-")))</f>
        <v/>
      </c>
    </row>
    <row r="788" spans="2:24" x14ac:dyDescent="0.3">
      <c r="B788" s="1">
        <f t="shared" si="395"/>
        <v>0</v>
      </c>
      <c r="C788" s="1">
        <f t="shared" si="396"/>
        <v>0</v>
      </c>
      <c r="D788" s="10">
        <f t="shared" si="397"/>
        <v>0</v>
      </c>
      <c r="E788" s="1">
        <f t="shared" si="398"/>
        <v>0</v>
      </c>
      <c r="F788" s="1">
        <f t="shared" si="399"/>
        <v>0</v>
      </c>
      <c r="G788" s="1">
        <f t="shared" si="400"/>
        <v>0</v>
      </c>
      <c r="H788" s="1">
        <f t="shared" si="387"/>
        <v>0</v>
      </c>
      <c r="I788" s="10">
        <f t="shared" si="401"/>
        <v>0</v>
      </c>
      <c r="J788" s="1">
        <f t="shared" si="388"/>
        <v>0</v>
      </c>
      <c r="K788" s="1">
        <f t="shared" si="389"/>
        <v>0</v>
      </c>
      <c r="L788" s="1" t="str">
        <f t="shared" si="390"/>
        <v>0</v>
      </c>
      <c r="M788" s="10">
        <f t="shared" si="391"/>
        <v>0</v>
      </c>
      <c r="N788" s="1">
        <f t="shared" si="402"/>
        <v>0</v>
      </c>
      <c r="O788" s="1">
        <f t="shared" si="394"/>
        <v>0</v>
      </c>
      <c r="P788" s="1">
        <f t="shared" si="392"/>
        <v>0</v>
      </c>
      <c r="Q788" s="3" t="str">
        <f t="shared" si="393"/>
        <v/>
      </c>
      <c r="T788" s="13" t="str">
        <f t="shared" si="403"/>
        <v/>
      </c>
      <c r="U788" s="14" t="str">
        <f t="shared" si="404"/>
        <v/>
      </c>
      <c r="V788" s="13" t="str">
        <f t="shared" si="405"/>
        <v/>
      </c>
      <c r="W788" s="13" t="str">
        <f t="shared" si="406"/>
        <v/>
      </c>
      <c r="X788" s="14" t="str">
        <f t="shared" si="407"/>
        <v/>
      </c>
    </row>
    <row r="789" spans="2:24" x14ac:dyDescent="0.3">
      <c r="B789" s="1">
        <f t="shared" si="395"/>
        <v>0</v>
      </c>
      <c r="C789" s="1">
        <f t="shared" si="396"/>
        <v>0</v>
      </c>
      <c r="D789" s="10">
        <f t="shared" si="397"/>
        <v>0</v>
      </c>
      <c r="E789" s="1">
        <f t="shared" si="398"/>
        <v>0</v>
      </c>
      <c r="F789" s="1">
        <f t="shared" si="399"/>
        <v>0</v>
      </c>
      <c r="G789" s="1">
        <f t="shared" si="400"/>
        <v>0</v>
      </c>
      <c r="H789" s="1">
        <f t="shared" si="387"/>
        <v>0</v>
      </c>
      <c r="I789" s="10">
        <f t="shared" si="401"/>
        <v>0</v>
      </c>
      <c r="J789" s="1">
        <f t="shared" si="388"/>
        <v>0</v>
      </c>
      <c r="K789" s="1">
        <f t="shared" si="389"/>
        <v>0</v>
      </c>
      <c r="L789" s="1" t="str">
        <f t="shared" si="390"/>
        <v>0</v>
      </c>
      <c r="M789" s="10">
        <f t="shared" si="391"/>
        <v>0</v>
      </c>
      <c r="N789" s="1">
        <f t="shared" si="402"/>
        <v>0</v>
      </c>
      <c r="O789" s="1">
        <f t="shared" si="394"/>
        <v>0</v>
      </c>
      <c r="P789" s="1">
        <f t="shared" si="392"/>
        <v>0</v>
      </c>
      <c r="Q789" s="3" t="str">
        <f t="shared" si="393"/>
        <v/>
      </c>
      <c r="T789" s="13" t="str">
        <f t="shared" si="403"/>
        <v/>
      </c>
      <c r="U789" s="14" t="str">
        <f t="shared" si="404"/>
        <v/>
      </c>
      <c r="V789" s="13" t="str">
        <f t="shared" si="405"/>
        <v/>
      </c>
      <c r="W789" s="13" t="str">
        <f t="shared" si="406"/>
        <v/>
      </c>
      <c r="X789" s="14" t="str">
        <f t="shared" si="407"/>
        <v/>
      </c>
    </row>
    <row r="790" spans="2:24" x14ac:dyDescent="0.3">
      <c r="B790" s="1">
        <f t="shared" si="395"/>
        <v>0</v>
      </c>
      <c r="C790" s="1">
        <f t="shared" si="396"/>
        <v>0</v>
      </c>
      <c r="D790" s="10">
        <f t="shared" si="397"/>
        <v>0</v>
      </c>
      <c r="E790" s="1">
        <f t="shared" si="398"/>
        <v>0</v>
      </c>
      <c r="F790" s="1">
        <f t="shared" si="399"/>
        <v>0</v>
      </c>
      <c r="G790" s="1">
        <f t="shared" si="400"/>
        <v>0</v>
      </c>
      <c r="H790" s="1">
        <f t="shared" si="387"/>
        <v>0</v>
      </c>
      <c r="I790" s="10">
        <f t="shared" si="401"/>
        <v>0</v>
      </c>
      <c r="J790" s="1">
        <f t="shared" si="388"/>
        <v>0</v>
      </c>
      <c r="K790" s="1">
        <f t="shared" si="389"/>
        <v>0</v>
      </c>
      <c r="L790" s="1" t="str">
        <f t="shared" si="390"/>
        <v>0</v>
      </c>
      <c r="M790" s="10">
        <f t="shared" si="391"/>
        <v>0</v>
      </c>
      <c r="N790" s="1">
        <f t="shared" si="402"/>
        <v>0</v>
      </c>
      <c r="O790" s="1">
        <f t="shared" si="394"/>
        <v>0</v>
      </c>
      <c r="P790" s="1">
        <f t="shared" si="392"/>
        <v>0</v>
      </c>
      <c r="Q790" s="3" t="str">
        <f t="shared" si="393"/>
        <v/>
      </c>
      <c r="T790" s="13" t="str">
        <f t="shared" si="403"/>
        <v/>
      </c>
      <c r="U790" s="14" t="str">
        <f t="shared" si="404"/>
        <v/>
      </c>
      <c r="V790" s="13" t="str">
        <f t="shared" si="405"/>
        <v/>
      </c>
      <c r="W790" s="13" t="str">
        <f t="shared" si="406"/>
        <v/>
      </c>
      <c r="X790" s="14" t="str">
        <f t="shared" si="407"/>
        <v/>
      </c>
    </row>
    <row r="791" spans="2:24" x14ac:dyDescent="0.3">
      <c r="B791" s="1">
        <f t="shared" si="395"/>
        <v>0</v>
      </c>
      <c r="C791" s="1">
        <f t="shared" si="396"/>
        <v>0</v>
      </c>
      <c r="D791" s="10">
        <f t="shared" si="397"/>
        <v>0</v>
      </c>
      <c r="E791" s="1">
        <f t="shared" si="398"/>
        <v>0</v>
      </c>
      <c r="F791" s="1">
        <f t="shared" si="399"/>
        <v>0</v>
      </c>
      <c r="G791" s="1">
        <f t="shared" si="400"/>
        <v>0</v>
      </c>
      <c r="H791" s="1">
        <f t="shared" si="387"/>
        <v>0</v>
      </c>
      <c r="I791" s="10">
        <f t="shared" si="401"/>
        <v>0</v>
      </c>
      <c r="J791" s="1">
        <f t="shared" si="388"/>
        <v>0</v>
      </c>
      <c r="K791" s="1">
        <f t="shared" si="389"/>
        <v>0</v>
      </c>
      <c r="L791" s="1" t="str">
        <f t="shared" si="390"/>
        <v>0</v>
      </c>
      <c r="M791" s="10">
        <f t="shared" si="391"/>
        <v>0</v>
      </c>
      <c r="N791" s="1">
        <f t="shared" si="402"/>
        <v>0</v>
      </c>
      <c r="O791" s="1">
        <f t="shared" si="394"/>
        <v>0</v>
      </c>
      <c r="P791" s="1">
        <f t="shared" si="392"/>
        <v>0</v>
      </c>
      <c r="Q791" s="3" t="str">
        <f t="shared" si="393"/>
        <v/>
      </c>
      <c r="T791" s="13" t="str">
        <f t="shared" si="403"/>
        <v/>
      </c>
      <c r="U791" s="14" t="str">
        <f t="shared" si="404"/>
        <v/>
      </c>
      <c r="V791" s="13" t="str">
        <f t="shared" si="405"/>
        <v/>
      </c>
      <c r="W791" s="13" t="str">
        <f t="shared" si="406"/>
        <v/>
      </c>
      <c r="X791" s="14" t="str">
        <f t="shared" si="407"/>
        <v/>
      </c>
    </row>
    <row r="792" spans="2:24" x14ac:dyDescent="0.3">
      <c r="B792" s="1">
        <f t="shared" si="395"/>
        <v>0</v>
      </c>
      <c r="C792" s="1">
        <f t="shared" si="396"/>
        <v>0</v>
      </c>
      <c r="D792" s="10">
        <f t="shared" si="397"/>
        <v>0</v>
      </c>
      <c r="E792" s="1">
        <f t="shared" si="398"/>
        <v>0</v>
      </c>
      <c r="F792" s="1">
        <f t="shared" si="399"/>
        <v>0</v>
      </c>
      <c r="G792" s="1">
        <f t="shared" si="400"/>
        <v>0</v>
      </c>
      <c r="H792" s="1">
        <f t="shared" si="387"/>
        <v>0</v>
      </c>
      <c r="I792" s="10">
        <f t="shared" si="401"/>
        <v>0</v>
      </c>
      <c r="J792" s="1">
        <f t="shared" si="388"/>
        <v>0</v>
      </c>
      <c r="K792" s="1">
        <f t="shared" si="389"/>
        <v>0</v>
      </c>
      <c r="L792" s="1" t="str">
        <f t="shared" si="390"/>
        <v>0</v>
      </c>
      <c r="M792" s="10">
        <f t="shared" si="391"/>
        <v>0</v>
      </c>
      <c r="N792" s="1">
        <f t="shared" si="402"/>
        <v>0</v>
      </c>
      <c r="O792" s="1">
        <f t="shared" si="394"/>
        <v>0</v>
      </c>
      <c r="P792" s="1">
        <f t="shared" si="392"/>
        <v>0</v>
      </c>
      <c r="Q792" s="3" t="str">
        <f t="shared" si="393"/>
        <v/>
      </c>
      <c r="T792" s="13" t="str">
        <f t="shared" si="403"/>
        <v/>
      </c>
      <c r="U792" s="14" t="str">
        <f t="shared" si="404"/>
        <v/>
      </c>
      <c r="V792" s="13" t="str">
        <f t="shared" si="405"/>
        <v/>
      </c>
      <c r="W792" s="13" t="str">
        <f t="shared" si="406"/>
        <v/>
      </c>
      <c r="X792" s="14" t="str">
        <f t="shared" si="407"/>
        <v/>
      </c>
    </row>
    <row r="793" spans="2:24" x14ac:dyDescent="0.3">
      <c r="B793" s="1">
        <f t="shared" si="395"/>
        <v>0</v>
      </c>
      <c r="C793" s="1">
        <f t="shared" si="396"/>
        <v>0</v>
      </c>
      <c r="D793" s="10">
        <f t="shared" si="397"/>
        <v>0</v>
      </c>
      <c r="E793" s="1">
        <f t="shared" si="398"/>
        <v>0</v>
      </c>
      <c r="F793" s="1">
        <f t="shared" si="399"/>
        <v>0</v>
      </c>
      <c r="G793" s="1">
        <f t="shared" si="400"/>
        <v>0</v>
      </c>
      <c r="H793" s="1">
        <f t="shared" si="387"/>
        <v>0</v>
      </c>
      <c r="I793" s="10">
        <f t="shared" si="401"/>
        <v>0</v>
      </c>
      <c r="J793" s="1">
        <f t="shared" si="388"/>
        <v>0</v>
      </c>
      <c r="K793" s="1">
        <f t="shared" si="389"/>
        <v>0</v>
      </c>
      <c r="L793" s="1" t="str">
        <f t="shared" si="390"/>
        <v>0</v>
      </c>
      <c r="M793" s="10">
        <f t="shared" si="391"/>
        <v>0</v>
      </c>
      <c r="N793" s="1">
        <f t="shared" si="402"/>
        <v>0</v>
      </c>
      <c r="O793" s="1">
        <f t="shared" si="394"/>
        <v>0</v>
      </c>
      <c r="P793" s="1">
        <f t="shared" si="392"/>
        <v>0</v>
      </c>
      <c r="Q793" s="3" t="str">
        <f t="shared" si="393"/>
        <v/>
      </c>
      <c r="T793" s="13" t="str">
        <f t="shared" si="403"/>
        <v/>
      </c>
      <c r="U793" s="14" t="str">
        <f t="shared" si="404"/>
        <v/>
      </c>
      <c r="V793" s="13" t="str">
        <f t="shared" si="405"/>
        <v/>
      </c>
      <c r="W793" s="13" t="str">
        <f t="shared" si="406"/>
        <v/>
      </c>
      <c r="X793" s="14" t="str">
        <f t="shared" si="407"/>
        <v/>
      </c>
    </row>
    <row r="794" spans="2:24" x14ac:dyDescent="0.3">
      <c r="B794" s="1">
        <f t="shared" si="395"/>
        <v>0</v>
      </c>
      <c r="C794" s="1">
        <f t="shared" si="396"/>
        <v>0</v>
      </c>
      <c r="D794" s="10">
        <f t="shared" si="397"/>
        <v>0</v>
      </c>
      <c r="E794" s="1">
        <f t="shared" si="398"/>
        <v>0</v>
      </c>
      <c r="F794" s="1">
        <f t="shared" si="399"/>
        <v>0</v>
      </c>
      <c r="G794" s="1">
        <f t="shared" si="400"/>
        <v>0</v>
      </c>
      <c r="H794" s="1">
        <f t="shared" si="387"/>
        <v>0</v>
      </c>
      <c r="I794" s="10">
        <f t="shared" si="401"/>
        <v>0</v>
      </c>
      <c r="J794" s="1">
        <f t="shared" si="388"/>
        <v>0</v>
      </c>
      <c r="K794" s="1">
        <f t="shared" si="389"/>
        <v>0</v>
      </c>
      <c r="L794" s="1" t="str">
        <f t="shared" si="390"/>
        <v>0</v>
      </c>
      <c r="M794" s="10">
        <f t="shared" si="391"/>
        <v>0</v>
      </c>
      <c r="N794" s="1">
        <f t="shared" si="402"/>
        <v>0</v>
      </c>
      <c r="O794" s="1">
        <f t="shared" si="394"/>
        <v>0</v>
      </c>
      <c r="P794" s="1">
        <f t="shared" si="392"/>
        <v>0</v>
      </c>
      <c r="Q794" s="3" t="str">
        <f t="shared" si="393"/>
        <v/>
      </c>
      <c r="T794" s="13" t="str">
        <f t="shared" si="403"/>
        <v/>
      </c>
      <c r="U794" s="14" t="str">
        <f t="shared" si="404"/>
        <v/>
      </c>
      <c r="V794" s="13" t="str">
        <f t="shared" si="405"/>
        <v/>
      </c>
      <c r="W794" s="13" t="str">
        <f t="shared" si="406"/>
        <v/>
      </c>
      <c r="X794" s="14" t="str">
        <f t="shared" si="407"/>
        <v/>
      </c>
    </row>
    <row r="795" spans="2:24" x14ac:dyDescent="0.3">
      <c r="B795" s="1">
        <f t="shared" si="395"/>
        <v>0</v>
      </c>
      <c r="C795" s="1">
        <f t="shared" si="396"/>
        <v>0</v>
      </c>
      <c r="D795" s="10">
        <f t="shared" si="397"/>
        <v>0</v>
      </c>
      <c r="E795" s="1">
        <f t="shared" si="398"/>
        <v>0</v>
      </c>
      <c r="F795" s="1">
        <f t="shared" si="399"/>
        <v>0</v>
      </c>
      <c r="G795" s="1">
        <f t="shared" si="400"/>
        <v>0</v>
      </c>
      <c r="H795" s="1">
        <f t="shared" si="387"/>
        <v>0</v>
      </c>
      <c r="I795" s="10">
        <f t="shared" si="401"/>
        <v>0</v>
      </c>
      <c r="J795" s="1">
        <f t="shared" si="388"/>
        <v>0</v>
      </c>
      <c r="K795" s="1">
        <f t="shared" si="389"/>
        <v>0</v>
      </c>
      <c r="L795" s="1" t="str">
        <f t="shared" si="390"/>
        <v>0</v>
      </c>
      <c r="M795" s="10">
        <f t="shared" si="391"/>
        <v>0</v>
      </c>
      <c r="N795" s="1">
        <f t="shared" si="402"/>
        <v>0</v>
      </c>
      <c r="O795" s="1">
        <f t="shared" si="394"/>
        <v>0</v>
      </c>
      <c r="P795" s="1">
        <f t="shared" si="392"/>
        <v>0</v>
      </c>
      <c r="Q795" s="3" t="str">
        <f t="shared" si="393"/>
        <v/>
      </c>
      <c r="T795" s="13" t="str">
        <f t="shared" si="403"/>
        <v/>
      </c>
      <c r="U795" s="14" t="str">
        <f t="shared" si="404"/>
        <v/>
      </c>
      <c r="V795" s="13" t="str">
        <f t="shared" si="405"/>
        <v/>
      </c>
      <c r="W795" s="13" t="str">
        <f t="shared" si="406"/>
        <v/>
      </c>
      <c r="X795" s="14" t="str">
        <f t="shared" si="407"/>
        <v/>
      </c>
    </row>
    <row r="796" spans="2:24" x14ac:dyDescent="0.3">
      <c r="B796" s="1">
        <f t="shared" si="395"/>
        <v>0</v>
      </c>
      <c r="C796" s="1">
        <f t="shared" si="396"/>
        <v>0</v>
      </c>
      <c r="D796" s="10">
        <f t="shared" si="397"/>
        <v>0</v>
      </c>
      <c r="E796" s="1">
        <f t="shared" si="398"/>
        <v>0</v>
      </c>
      <c r="F796" s="1">
        <f t="shared" si="399"/>
        <v>0</v>
      </c>
      <c r="G796" s="1">
        <f t="shared" si="400"/>
        <v>0</v>
      </c>
      <c r="H796" s="1">
        <f t="shared" si="387"/>
        <v>0</v>
      </c>
      <c r="I796" s="10">
        <f t="shared" si="401"/>
        <v>0</v>
      </c>
      <c r="J796" s="1">
        <f t="shared" si="388"/>
        <v>0</v>
      </c>
      <c r="K796" s="1">
        <f t="shared" si="389"/>
        <v>0</v>
      </c>
      <c r="L796" s="1" t="str">
        <f t="shared" si="390"/>
        <v>0</v>
      </c>
      <c r="M796" s="10">
        <f t="shared" si="391"/>
        <v>0</v>
      </c>
      <c r="N796" s="1">
        <f t="shared" si="402"/>
        <v>0</v>
      </c>
      <c r="O796" s="1">
        <f t="shared" si="394"/>
        <v>0</v>
      </c>
      <c r="P796" s="1">
        <f t="shared" si="392"/>
        <v>0</v>
      </c>
      <c r="Q796" s="3" t="str">
        <f t="shared" si="393"/>
        <v/>
      </c>
      <c r="T796" s="13" t="str">
        <f t="shared" si="403"/>
        <v/>
      </c>
      <c r="U796" s="14" t="str">
        <f t="shared" si="404"/>
        <v/>
      </c>
      <c r="V796" s="13" t="str">
        <f t="shared" si="405"/>
        <v/>
      </c>
      <c r="W796" s="13" t="str">
        <f t="shared" si="406"/>
        <v/>
      </c>
      <c r="X796" s="14" t="str">
        <f t="shared" si="407"/>
        <v/>
      </c>
    </row>
    <row r="797" spans="2:24" x14ac:dyDescent="0.3">
      <c r="B797" s="1">
        <f t="shared" si="395"/>
        <v>0</v>
      </c>
      <c r="C797" s="1">
        <f t="shared" si="396"/>
        <v>0</v>
      </c>
      <c r="D797" s="10">
        <f t="shared" si="397"/>
        <v>0</v>
      </c>
      <c r="E797" s="1">
        <f t="shared" si="398"/>
        <v>0</v>
      </c>
      <c r="F797" s="1">
        <f t="shared" si="399"/>
        <v>0</v>
      </c>
      <c r="G797" s="1">
        <f t="shared" si="400"/>
        <v>0</v>
      </c>
      <c r="H797" s="1">
        <f t="shared" si="387"/>
        <v>0</v>
      </c>
      <c r="I797" s="10">
        <f t="shared" si="401"/>
        <v>0</v>
      </c>
      <c r="J797" s="1">
        <f t="shared" si="388"/>
        <v>0</v>
      </c>
      <c r="K797" s="1">
        <f t="shared" si="389"/>
        <v>0</v>
      </c>
      <c r="L797" s="1" t="str">
        <f t="shared" si="390"/>
        <v>0</v>
      </c>
      <c r="M797" s="10">
        <f t="shared" si="391"/>
        <v>0</v>
      </c>
      <c r="N797" s="1">
        <f t="shared" si="402"/>
        <v>0</v>
      </c>
      <c r="O797" s="1">
        <f t="shared" si="394"/>
        <v>0</v>
      </c>
      <c r="P797" s="1">
        <f t="shared" si="392"/>
        <v>0</v>
      </c>
      <c r="Q797" s="3" t="str">
        <f t="shared" si="393"/>
        <v/>
      </c>
      <c r="T797" s="13" t="str">
        <f t="shared" si="403"/>
        <v/>
      </c>
      <c r="U797" s="14" t="str">
        <f t="shared" si="404"/>
        <v/>
      </c>
      <c r="V797" s="13" t="str">
        <f t="shared" si="405"/>
        <v/>
      </c>
      <c r="W797" s="13" t="str">
        <f t="shared" si="406"/>
        <v/>
      </c>
      <c r="X797" s="14" t="str">
        <f t="shared" si="407"/>
        <v/>
      </c>
    </row>
    <row r="798" spans="2:24" x14ac:dyDescent="0.3">
      <c r="B798" s="1">
        <f t="shared" si="395"/>
        <v>0</v>
      </c>
      <c r="C798" s="1">
        <f t="shared" si="396"/>
        <v>0</v>
      </c>
      <c r="D798" s="10">
        <f t="shared" si="397"/>
        <v>0</v>
      </c>
      <c r="E798" s="1">
        <f t="shared" si="398"/>
        <v>0</v>
      </c>
      <c r="F798" s="1">
        <f t="shared" si="399"/>
        <v>0</v>
      </c>
      <c r="G798" s="1">
        <f t="shared" si="400"/>
        <v>0</v>
      </c>
      <c r="H798" s="1">
        <f t="shared" si="387"/>
        <v>0</v>
      </c>
      <c r="I798" s="10">
        <f t="shared" si="401"/>
        <v>0</v>
      </c>
      <c r="J798" s="1">
        <f t="shared" si="388"/>
        <v>0</v>
      </c>
      <c r="K798" s="1">
        <f t="shared" si="389"/>
        <v>0</v>
      </c>
      <c r="L798" s="1" t="str">
        <f t="shared" si="390"/>
        <v>0</v>
      </c>
      <c r="M798" s="10">
        <f t="shared" si="391"/>
        <v>0</v>
      </c>
      <c r="N798" s="1">
        <f t="shared" si="402"/>
        <v>0</v>
      </c>
      <c r="O798" s="1">
        <f t="shared" si="394"/>
        <v>0</v>
      </c>
      <c r="P798" s="1">
        <f t="shared" si="392"/>
        <v>0</v>
      </c>
      <c r="Q798" s="3" t="str">
        <f t="shared" si="393"/>
        <v/>
      </c>
      <c r="T798" s="13" t="str">
        <f t="shared" si="403"/>
        <v/>
      </c>
      <c r="U798" s="14" t="str">
        <f t="shared" si="404"/>
        <v/>
      </c>
      <c r="V798" s="13" t="str">
        <f t="shared" si="405"/>
        <v/>
      </c>
      <c r="W798" s="13" t="str">
        <f t="shared" si="406"/>
        <v/>
      </c>
      <c r="X798" s="14" t="str">
        <f t="shared" si="407"/>
        <v/>
      </c>
    </row>
    <row r="799" spans="2:24" x14ac:dyDescent="0.3">
      <c r="B799" s="1">
        <f t="shared" si="395"/>
        <v>0</v>
      </c>
      <c r="C799" s="1">
        <f t="shared" si="396"/>
        <v>0</v>
      </c>
      <c r="D799" s="10">
        <f t="shared" si="397"/>
        <v>0</v>
      </c>
      <c r="E799" s="1">
        <f t="shared" si="398"/>
        <v>0</v>
      </c>
      <c r="F799" s="1">
        <f t="shared" si="399"/>
        <v>0</v>
      </c>
      <c r="G799" s="1">
        <f t="shared" si="400"/>
        <v>0</v>
      </c>
      <c r="H799" s="1">
        <f t="shared" si="387"/>
        <v>0</v>
      </c>
      <c r="I799" s="10">
        <f t="shared" si="401"/>
        <v>0</v>
      </c>
      <c r="J799" s="1">
        <f t="shared" si="388"/>
        <v>0</v>
      </c>
      <c r="K799" s="1">
        <f t="shared" si="389"/>
        <v>0</v>
      </c>
      <c r="L799" s="1" t="str">
        <f t="shared" si="390"/>
        <v>0</v>
      </c>
      <c r="M799" s="10">
        <f t="shared" si="391"/>
        <v>0</v>
      </c>
      <c r="N799" s="1">
        <f t="shared" si="402"/>
        <v>0</v>
      </c>
      <c r="O799" s="1">
        <f t="shared" si="394"/>
        <v>0</v>
      </c>
      <c r="P799" s="1">
        <f t="shared" si="392"/>
        <v>0</v>
      </c>
      <c r="Q799" s="3" t="str">
        <f t="shared" si="393"/>
        <v/>
      </c>
      <c r="T799" s="13" t="str">
        <f t="shared" si="403"/>
        <v/>
      </c>
      <c r="U799" s="14" t="str">
        <f t="shared" si="404"/>
        <v/>
      </c>
      <c r="V799" s="13" t="str">
        <f t="shared" si="405"/>
        <v/>
      </c>
      <c r="W799" s="13" t="str">
        <f t="shared" si="406"/>
        <v/>
      </c>
      <c r="X799" s="14" t="str">
        <f t="shared" si="407"/>
        <v/>
      </c>
    </row>
    <row r="800" spans="2:24" x14ac:dyDescent="0.3">
      <c r="B800" s="1">
        <f t="shared" si="395"/>
        <v>0</v>
      </c>
      <c r="C800" s="1">
        <f t="shared" si="396"/>
        <v>0</v>
      </c>
      <c r="D800" s="10">
        <f t="shared" si="397"/>
        <v>0</v>
      </c>
      <c r="E800" s="1">
        <f t="shared" si="398"/>
        <v>0</v>
      </c>
      <c r="F800" s="1">
        <f t="shared" si="399"/>
        <v>0</v>
      </c>
      <c r="G800" s="1">
        <f t="shared" si="400"/>
        <v>0</v>
      </c>
      <c r="H800" s="1">
        <f t="shared" si="387"/>
        <v>0</v>
      </c>
      <c r="I800" s="10">
        <f t="shared" si="401"/>
        <v>0</v>
      </c>
      <c r="J800" s="1">
        <f t="shared" si="388"/>
        <v>0</v>
      </c>
      <c r="K800" s="1">
        <f t="shared" si="389"/>
        <v>0</v>
      </c>
      <c r="L800" s="1" t="str">
        <f t="shared" si="390"/>
        <v>0</v>
      </c>
      <c r="M800" s="10">
        <f t="shared" si="391"/>
        <v>0</v>
      </c>
      <c r="N800" s="1">
        <f t="shared" si="402"/>
        <v>0</v>
      </c>
      <c r="O800" s="1">
        <f t="shared" si="394"/>
        <v>0</v>
      </c>
      <c r="P800" s="1">
        <f t="shared" si="392"/>
        <v>0</v>
      </c>
      <c r="Q800" s="3" t="str">
        <f t="shared" si="393"/>
        <v/>
      </c>
      <c r="T800" s="13" t="str">
        <f t="shared" si="403"/>
        <v/>
      </c>
      <c r="U800" s="14" t="str">
        <f t="shared" si="404"/>
        <v/>
      </c>
      <c r="V800" s="13" t="str">
        <f t="shared" si="405"/>
        <v/>
      </c>
      <c r="W800" s="13" t="str">
        <f t="shared" si="406"/>
        <v/>
      </c>
      <c r="X800" s="14" t="str">
        <f t="shared" si="407"/>
        <v/>
      </c>
    </row>
    <row r="801" spans="2:24" x14ac:dyDescent="0.3">
      <c r="B801" s="1">
        <f t="shared" si="395"/>
        <v>0</v>
      </c>
      <c r="C801" s="1">
        <f t="shared" si="396"/>
        <v>0</v>
      </c>
      <c r="D801" s="10">
        <f t="shared" si="397"/>
        <v>0</v>
      </c>
      <c r="E801" s="1">
        <f t="shared" si="398"/>
        <v>0</v>
      </c>
      <c r="F801" s="1">
        <f t="shared" si="399"/>
        <v>0</v>
      </c>
      <c r="G801" s="1">
        <f t="shared" si="400"/>
        <v>0</v>
      </c>
      <c r="H801" s="1">
        <f t="shared" si="387"/>
        <v>0</v>
      </c>
      <c r="I801" s="10">
        <f t="shared" si="401"/>
        <v>0</v>
      </c>
      <c r="J801" s="1">
        <f t="shared" si="388"/>
        <v>0</v>
      </c>
      <c r="K801" s="1">
        <f t="shared" si="389"/>
        <v>0</v>
      </c>
      <c r="L801" s="1" t="str">
        <f t="shared" si="390"/>
        <v>0</v>
      </c>
      <c r="M801" s="10">
        <f t="shared" si="391"/>
        <v>0</v>
      </c>
      <c r="N801" s="1">
        <f t="shared" si="402"/>
        <v>0</v>
      </c>
      <c r="O801" s="1">
        <f t="shared" si="394"/>
        <v>0</v>
      </c>
      <c r="P801" s="1">
        <f t="shared" si="392"/>
        <v>0</v>
      </c>
      <c r="Q801" s="3" t="str">
        <f t="shared" si="393"/>
        <v/>
      </c>
      <c r="T801" s="13" t="str">
        <f t="shared" si="403"/>
        <v/>
      </c>
      <c r="U801" s="14" t="str">
        <f t="shared" si="404"/>
        <v/>
      </c>
      <c r="V801" s="13" t="str">
        <f t="shared" si="405"/>
        <v/>
      </c>
      <c r="W801" s="13" t="str">
        <f t="shared" si="406"/>
        <v/>
      </c>
      <c r="X801" s="14" t="str">
        <f t="shared" si="407"/>
        <v/>
      </c>
    </row>
    <row r="802" spans="2:24" x14ac:dyDescent="0.3">
      <c r="B802" s="1">
        <f t="shared" si="395"/>
        <v>0</v>
      </c>
      <c r="C802" s="1">
        <f t="shared" si="396"/>
        <v>0</v>
      </c>
      <c r="D802" s="10">
        <f t="shared" si="397"/>
        <v>0</v>
      </c>
      <c r="E802" s="1">
        <f t="shared" si="398"/>
        <v>0</v>
      </c>
      <c r="F802" s="1">
        <f t="shared" si="399"/>
        <v>0</v>
      </c>
      <c r="G802" s="1">
        <f t="shared" si="400"/>
        <v>0</v>
      </c>
      <c r="H802" s="1">
        <f t="shared" si="387"/>
        <v>0</v>
      </c>
      <c r="I802" s="10">
        <f t="shared" si="401"/>
        <v>0</v>
      </c>
      <c r="J802" s="1">
        <f t="shared" si="388"/>
        <v>0</v>
      </c>
      <c r="K802" s="1">
        <f t="shared" si="389"/>
        <v>0</v>
      </c>
      <c r="L802" s="1" t="str">
        <f t="shared" si="390"/>
        <v>0</v>
      </c>
      <c r="M802" s="10">
        <f t="shared" si="391"/>
        <v>0</v>
      </c>
      <c r="N802" s="1">
        <f t="shared" si="402"/>
        <v>0</v>
      </c>
      <c r="O802" s="1">
        <f t="shared" si="394"/>
        <v>0</v>
      </c>
      <c r="P802" s="1">
        <f t="shared" si="392"/>
        <v>0</v>
      </c>
      <c r="Q802" s="3" t="str">
        <f t="shared" si="393"/>
        <v/>
      </c>
      <c r="T802" s="13" t="str">
        <f t="shared" si="403"/>
        <v/>
      </c>
      <c r="U802" s="14" t="str">
        <f t="shared" si="404"/>
        <v/>
      </c>
      <c r="V802" s="13" t="str">
        <f t="shared" si="405"/>
        <v/>
      </c>
      <c r="W802" s="13" t="str">
        <f t="shared" si="406"/>
        <v/>
      </c>
      <c r="X802" s="14" t="str">
        <f t="shared" si="407"/>
        <v/>
      </c>
    </row>
    <row r="803" spans="2:24" x14ac:dyDescent="0.3">
      <c r="B803" s="1">
        <f t="shared" si="395"/>
        <v>0</v>
      </c>
      <c r="C803" s="1">
        <f t="shared" si="396"/>
        <v>0</v>
      </c>
      <c r="D803" s="10">
        <f t="shared" si="397"/>
        <v>0</v>
      </c>
      <c r="E803" s="1">
        <f t="shared" si="398"/>
        <v>0</v>
      </c>
      <c r="F803" s="1">
        <f t="shared" si="399"/>
        <v>0</v>
      </c>
      <c r="G803" s="1">
        <f t="shared" si="400"/>
        <v>0</v>
      </c>
      <c r="H803" s="1">
        <f t="shared" si="387"/>
        <v>0</v>
      </c>
      <c r="I803" s="10">
        <f t="shared" si="401"/>
        <v>0</v>
      </c>
      <c r="J803" s="1">
        <f t="shared" si="388"/>
        <v>0</v>
      </c>
      <c r="K803" s="1">
        <f t="shared" si="389"/>
        <v>0</v>
      </c>
      <c r="L803" s="1" t="str">
        <f t="shared" si="390"/>
        <v>0</v>
      </c>
      <c r="M803" s="10">
        <f t="shared" si="391"/>
        <v>0</v>
      </c>
      <c r="N803" s="1">
        <f t="shared" si="402"/>
        <v>0</v>
      </c>
      <c r="O803" s="1">
        <f t="shared" si="394"/>
        <v>0</v>
      </c>
      <c r="P803" s="1">
        <f t="shared" si="392"/>
        <v>0</v>
      </c>
      <c r="Q803" s="3" t="str">
        <f t="shared" si="393"/>
        <v/>
      </c>
      <c r="T803" s="13" t="str">
        <f t="shared" si="403"/>
        <v/>
      </c>
      <c r="U803" s="14" t="str">
        <f t="shared" si="404"/>
        <v/>
      </c>
      <c r="V803" s="13" t="str">
        <f t="shared" si="405"/>
        <v/>
      </c>
      <c r="W803" s="13" t="str">
        <f t="shared" si="406"/>
        <v/>
      </c>
      <c r="X803" s="14" t="str">
        <f t="shared" si="407"/>
        <v/>
      </c>
    </row>
    <row r="804" spans="2:24" x14ac:dyDescent="0.3">
      <c r="B804" s="1">
        <f t="shared" si="395"/>
        <v>0</v>
      </c>
      <c r="C804" s="1">
        <f t="shared" si="396"/>
        <v>0</v>
      </c>
      <c r="D804" s="10">
        <f t="shared" si="397"/>
        <v>0</v>
      </c>
      <c r="E804" s="1">
        <f t="shared" si="398"/>
        <v>0</v>
      </c>
      <c r="F804" s="1">
        <f t="shared" si="399"/>
        <v>0</v>
      </c>
      <c r="G804" s="1">
        <f t="shared" si="400"/>
        <v>0</v>
      </c>
      <c r="H804" s="1">
        <f t="shared" si="387"/>
        <v>0</v>
      </c>
      <c r="I804" s="10">
        <f t="shared" si="401"/>
        <v>0</v>
      </c>
      <c r="J804" s="1">
        <f t="shared" si="388"/>
        <v>0</v>
      </c>
      <c r="K804" s="1">
        <f t="shared" si="389"/>
        <v>0</v>
      </c>
      <c r="L804" s="1" t="str">
        <f t="shared" si="390"/>
        <v>0</v>
      </c>
      <c r="M804" s="10">
        <f t="shared" si="391"/>
        <v>0</v>
      </c>
      <c r="N804" s="1">
        <f t="shared" si="402"/>
        <v>0</v>
      </c>
      <c r="O804" s="1">
        <f t="shared" si="394"/>
        <v>0</v>
      </c>
      <c r="P804" s="1">
        <f t="shared" si="392"/>
        <v>0</v>
      </c>
      <c r="Q804" s="3" t="str">
        <f t="shared" si="393"/>
        <v/>
      </c>
      <c r="T804" s="13" t="str">
        <f t="shared" si="403"/>
        <v/>
      </c>
      <c r="U804" s="14" t="str">
        <f t="shared" si="404"/>
        <v/>
      </c>
      <c r="V804" s="13" t="str">
        <f t="shared" si="405"/>
        <v/>
      </c>
      <c r="W804" s="13" t="str">
        <f t="shared" si="406"/>
        <v/>
      </c>
      <c r="X804" s="14" t="str">
        <f t="shared" si="407"/>
        <v/>
      </c>
    </row>
    <row r="805" spans="2:24" x14ac:dyDescent="0.3">
      <c r="B805" s="1">
        <f t="shared" si="395"/>
        <v>0</v>
      </c>
      <c r="C805" s="1">
        <f t="shared" si="396"/>
        <v>0</v>
      </c>
      <c r="D805" s="10">
        <f t="shared" si="397"/>
        <v>0</v>
      </c>
      <c r="E805" s="1">
        <f t="shared" si="398"/>
        <v>0</v>
      </c>
      <c r="F805" s="1">
        <f t="shared" si="399"/>
        <v>0</v>
      </c>
      <c r="G805" s="1">
        <f t="shared" si="400"/>
        <v>0</v>
      </c>
      <c r="H805" s="1">
        <f t="shared" si="387"/>
        <v>0</v>
      </c>
      <c r="I805" s="10">
        <f t="shared" si="401"/>
        <v>0</v>
      </c>
      <c r="J805" s="1">
        <f t="shared" si="388"/>
        <v>0</v>
      </c>
      <c r="K805" s="1">
        <f t="shared" si="389"/>
        <v>0</v>
      </c>
      <c r="L805" s="1" t="str">
        <f t="shared" si="390"/>
        <v>0</v>
      </c>
      <c r="M805" s="10">
        <f t="shared" si="391"/>
        <v>0</v>
      </c>
      <c r="N805" s="1">
        <f t="shared" si="402"/>
        <v>0</v>
      </c>
      <c r="O805" s="1">
        <f t="shared" si="394"/>
        <v>0</v>
      </c>
      <c r="P805" s="1">
        <f t="shared" si="392"/>
        <v>0</v>
      </c>
      <c r="Q805" s="3" t="str">
        <f t="shared" si="393"/>
        <v/>
      </c>
      <c r="T805" s="13" t="str">
        <f t="shared" si="403"/>
        <v/>
      </c>
      <c r="U805" s="14" t="str">
        <f t="shared" si="404"/>
        <v/>
      </c>
      <c r="V805" s="13" t="str">
        <f t="shared" si="405"/>
        <v/>
      </c>
      <c r="W805" s="13" t="str">
        <f t="shared" si="406"/>
        <v/>
      </c>
      <c r="X805" s="14" t="str">
        <f t="shared" si="407"/>
        <v/>
      </c>
    </row>
    <row r="806" spans="2:24" x14ac:dyDescent="0.3">
      <c r="B806" s="1">
        <f t="shared" si="395"/>
        <v>0</v>
      </c>
      <c r="C806" s="1">
        <f t="shared" si="396"/>
        <v>0</v>
      </c>
      <c r="D806" s="10">
        <f t="shared" si="397"/>
        <v>0</v>
      </c>
      <c r="E806" s="1">
        <f t="shared" si="398"/>
        <v>0</v>
      </c>
      <c r="F806" s="1">
        <f t="shared" si="399"/>
        <v>0</v>
      </c>
      <c r="G806" s="1">
        <f t="shared" si="400"/>
        <v>0</v>
      </c>
      <c r="H806" s="1">
        <f t="shared" si="387"/>
        <v>0</v>
      </c>
      <c r="I806" s="10">
        <f t="shared" si="401"/>
        <v>0</v>
      </c>
      <c r="J806" s="1">
        <f t="shared" si="388"/>
        <v>0</v>
      </c>
      <c r="K806" s="1">
        <f t="shared" si="389"/>
        <v>0</v>
      </c>
      <c r="L806" s="1" t="str">
        <f t="shared" si="390"/>
        <v>0</v>
      </c>
      <c r="M806" s="10">
        <f t="shared" si="391"/>
        <v>0</v>
      </c>
      <c r="N806" s="1">
        <f t="shared" si="402"/>
        <v>0</v>
      </c>
      <c r="O806" s="1">
        <f t="shared" si="394"/>
        <v>0</v>
      </c>
      <c r="P806" s="1">
        <f t="shared" si="392"/>
        <v>0</v>
      </c>
      <c r="Q806" s="3" t="str">
        <f t="shared" si="393"/>
        <v/>
      </c>
      <c r="T806" s="13" t="str">
        <f t="shared" si="403"/>
        <v/>
      </c>
      <c r="U806" s="14" t="str">
        <f t="shared" si="404"/>
        <v/>
      </c>
      <c r="V806" s="13" t="str">
        <f t="shared" si="405"/>
        <v/>
      </c>
      <c r="W806" s="13" t="str">
        <f t="shared" si="406"/>
        <v/>
      </c>
      <c r="X806" s="14" t="str">
        <f t="shared" si="407"/>
        <v/>
      </c>
    </row>
    <row r="807" spans="2:24" x14ac:dyDescent="0.3">
      <c r="B807" s="1">
        <f t="shared" si="395"/>
        <v>0</v>
      </c>
      <c r="C807" s="1">
        <f t="shared" si="396"/>
        <v>0</v>
      </c>
      <c r="D807" s="10">
        <f t="shared" si="397"/>
        <v>0</v>
      </c>
      <c r="E807" s="1">
        <f t="shared" si="398"/>
        <v>0</v>
      </c>
      <c r="F807" s="1">
        <f t="shared" si="399"/>
        <v>0</v>
      </c>
      <c r="G807" s="1">
        <f t="shared" si="400"/>
        <v>0</v>
      </c>
      <c r="H807" s="1">
        <f t="shared" si="387"/>
        <v>0</v>
      </c>
      <c r="I807" s="10">
        <f t="shared" si="401"/>
        <v>0</v>
      </c>
      <c r="J807" s="1">
        <f t="shared" si="388"/>
        <v>0</v>
      </c>
      <c r="K807" s="1">
        <f t="shared" si="389"/>
        <v>0</v>
      </c>
      <c r="L807" s="1" t="str">
        <f t="shared" si="390"/>
        <v>0</v>
      </c>
      <c r="M807" s="10">
        <f t="shared" si="391"/>
        <v>0</v>
      </c>
      <c r="N807" s="1">
        <f t="shared" si="402"/>
        <v>0</v>
      </c>
      <c r="O807" s="1">
        <f t="shared" si="394"/>
        <v>0</v>
      </c>
      <c r="P807" s="1">
        <f t="shared" si="392"/>
        <v>0</v>
      </c>
      <c r="Q807" s="3" t="str">
        <f t="shared" si="393"/>
        <v/>
      </c>
      <c r="T807" s="13" t="str">
        <f t="shared" si="403"/>
        <v/>
      </c>
      <c r="U807" s="14" t="str">
        <f t="shared" si="404"/>
        <v/>
      </c>
      <c r="V807" s="13" t="str">
        <f t="shared" si="405"/>
        <v/>
      </c>
      <c r="W807" s="13" t="str">
        <f t="shared" si="406"/>
        <v/>
      </c>
      <c r="X807" s="14" t="str">
        <f t="shared" si="407"/>
        <v/>
      </c>
    </row>
    <row r="808" spans="2:24" x14ac:dyDescent="0.3">
      <c r="B808" s="1">
        <f t="shared" si="395"/>
        <v>0</v>
      </c>
      <c r="C808" s="1">
        <f t="shared" si="396"/>
        <v>0</v>
      </c>
      <c r="D808" s="10">
        <f t="shared" si="397"/>
        <v>0</v>
      </c>
      <c r="E808" s="1">
        <f t="shared" si="398"/>
        <v>0</v>
      </c>
      <c r="F808" s="1">
        <f t="shared" si="399"/>
        <v>0</v>
      </c>
      <c r="G808" s="1">
        <f t="shared" si="400"/>
        <v>0</v>
      </c>
      <c r="H808" s="1">
        <f t="shared" si="387"/>
        <v>0</v>
      </c>
      <c r="I808" s="10">
        <f t="shared" si="401"/>
        <v>0</v>
      </c>
      <c r="J808" s="1">
        <f t="shared" si="388"/>
        <v>0</v>
      </c>
      <c r="K808" s="1">
        <f t="shared" si="389"/>
        <v>0</v>
      </c>
      <c r="L808" s="1" t="str">
        <f t="shared" si="390"/>
        <v>0</v>
      </c>
      <c r="M808" s="10">
        <f t="shared" si="391"/>
        <v>0</v>
      </c>
      <c r="N808" s="1">
        <f t="shared" si="402"/>
        <v>0</v>
      </c>
      <c r="O808" s="1">
        <f t="shared" si="394"/>
        <v>0</v>
      </c>
      <c r="P808" s="1">
        <f t="shared" si="392"/>
        <v>0</v>
      </c>
      <c r="Q808" s="3" t="str">
        <f t="shared" si="393"/>
        <v/>
      </c>
      <c r="T808" s="13" t="str">
        <f t="shared" si="403"/>
        <v/>
      </c>
      <c r="U808" s="14" t="str">
        <f t="shared" si="404"/>
        <v/>
      </c>
      <c r="V808" s="13" t="str">
        <f t="shared" si="405"/>
        <v/>
      </c>
      <c r="W808" s="13" t="str">
        <f t="shared" si="406"/>
        <v/>
      </c>
      <c r="X808" s="14" t="str">
        <f t="shared" si="407"/>
        <v/>
      </c>
    </row>
    <row r="809" spans="2:24" x14ac:dyDescent="0.3">
      <c r="B809" s="1">
        <f t="shared" si="395"/>
        <v>0</v>
      </c>
      <c r="C809" s="1">
        <f t="shared" si="396"/>
        <v>0</v>
      </c>
      <c r="D809" s="10">
        <f t="shared" si="397"/>
        <v>0</v>
      </c>
      <c r="E809" s="1">
        <f t="shared" si="398"/>
        <v>0</v>
      </c>
      <c r="F809" s="1">
        <f t="shared" si="399"/>
        <v>0</v>
      </c>
      <c r="G809" s="1">
        <f t="shared" si="400"/>
        <v>0</v>
      </c>
      <c r="H809" s="1">
        <f t="shared" si="387"/>
        <v>0</v>
      </c>
      <c r="I809" s="10">
        <f t="shared" si="401"/>
        <v>0</v>
      </c>
      <c r="J809" s="1">
        <f t="shared" si="388"/>
        <v>0</v>
      </c>
      <c r="K809" s="1">
        <f t="shared" si="389"/>
        <v>0</v>
      </c>
      <c r="L809" s="1" t="str">
        <f t="shared" si="390"/>
        <v>0</v>
      </c>
      <c r="M809" s="10">
        <f t="shared" si="391"/>
        <v>0</v>
      </c>
      <c r="N809" s="1">
        <f t="shared" si="402"/>
        <v>0</v>
      </c>
      <c r="O809" s="1">
        <f t="shared" si="394"/>
        <v>0</v>
      </c>
      <c r="P809" s="1">
        <f t="shared" si="392"/>
        <v>0</v>
      </c>
      <c r="Q809" s="3" t="str">
        <f t="shared" si="393"/>
        <v/>
      </c>
      <c r="T809" s="13" t="str">
        <f t="shared" si="403"/>
        <v/>
      </c>
      <c r="U809" s="14" t="str">
        <f t="shared" si="404"/>
        <v/>
      </c>
      <c r="V809" s="13" t="str">
        <f t="shared" si="405"/>
        <v/>
      </c>
      <c r="W809" s="13" t="str">
        <f t="shared" si="406"/>
        <v/>
      </c>
      <c r="X809" s="14" t="str">
        <f t="shared" si="407"/>
        <v/>
      </c>
    </row>
    <row r="810" spans="2:24" x14ac:dyDescent="0.3">
      <c r="B810" s="1">
        <f t="shared" si="395"/>
        <v>0</v>
      </c>
      <c r="C810" s="1">
        <f t="shared" si="396"/>
        <v>0</v>
      </c>
      <c r="D810" s="10">
        <f t="shared" si="397"/>
        <v>0</v>
      </c>
      <c r="E810" s="1">
        <f t="shared" si="398"/>
        <v>0</v>
      </c>
      <c r="F810" s="1">
        <f t="shared" si="399"/>
        <v>0</v>
      </c>
      <c r="G810" s="1">
        <f t="shared" si="400"/>
        <v>0</v>
      </c>
      <c r="H810" s="1">
        <f t="shared" si="387"/>
        <v>0</v>
      </c>
      <c r="I810" s="10">
        <f t="shared" si="401"/>
        <v>0</v>
      </c>
      <c r="J810" s="1">
        <f t="shared" si="388"/>
        <v>0</v>
      </c>
      <c r="K810" s="1">
        <f t="shared" si="389"/>
        <v>0</v>
      </c>
      <c r="L810" s="1" t="str">
        <f t="shared" si="390"/>
        <v>0</v>
      </c>
      <c r="M810" s="10">
        <f t="shared" si="391"/>
        <v>0</v>
      </c>
      <c r="N810" s="1">
        <f t="shared" si="402"/>
        <v>0</v>
      </c>
      <c r="O810" s="1">
        <f t="shared" si="394"/>
        <v>0</v>
      </c>
      <c r="P810" s="1">
        <f t="shared" si="392"/>
        <v>0</v>
      </c>
      <c r="Q810" s="3" t="str">
        <f t="shared" si="393"/>
        <v/>
      </c>
      <c r="T810" s="13" t="str">
        <f t="shared" si="403"/>
        <v/>
      </c>
      <c r="U810" s="14" t="str">
        <f t="shared" si="404"/>
        <v/>
      </c>
      <c r="V810" s="13" t="str">
        <f t="shared" si="405"/>
        <v/>
      </c>
      <c r="W810" s="13" t="str">
        <f t="shared" si="406"/>
        <v/>
      </c>
      <c r="X810" s="14" t="str">
        <f t="shared" si="407"/>
        <v/>
      </c>
    </row>
    <row r="811" spans="2:24" x14ac:dyDescent="0.3">
      <c r="B811" s="1">
        <f t="shared" si="395"/>
        <v>0</v>
      </c>
      <c r="C811" s="1">
        <f t="shared" si="396"/>
        <v>0</v>
      </c>
      <c r="D811" s="10">
        <f t="shared" si="397"/>
        <v>0</v>
      </c>
      <c r="E811" s="1">
        <f t="shared" si="398"/>
        <v>0</v>
      </c>
      <c r="F811" s="1">
        <f t="shared" si="399"/>
        <v>0</v>
      </c>
      <c r="G811" s="1">
        <f t="shared" si="400"/>
        <v>0</v>
      </c>
      <c r="H811" s="1">
        <f t="shared" si="387"/>
        <v>0</v>
      </c>
      <c r="I811" s="10">
        <f t="shared" si="401"/>
        <v>0</v>
      </c>
      <c r="J811" s="1">
        <f t="shared" si="388"/>
        <v>0</v>
      </c>
      <c r="K811" s="1">
        <f t="shared" si="389"/>
        <v>0</v>
      </c>
      <c r="L811" s="1" t="str">
        <f t="shared" si="390"/>
        <v>0</v>
      </c>
      <c r="M811" s="10">
        <f t="shared" si="391"/>
        <v>0</v>
      </c>
      <c r="N811" s="1">
        <f t="shared" si="402"/>
        <v>0</v>
      </c>
      <c r="O811" s="1">
        <f t="shared" si="394"/>
        <v>0</v>
      </c>
      <c r="P811" s="1">
        <f t="shared" si="392"/>
        <v>0</v>
      </c>
      <c r="Q811" s="3" t="str">
        <f t="shared" si="393"/>
        <v/>
      </c>
      <c r="T811" s="13" t="str">
        <f t="shared" si="403"/>
        <v/>
      </c>
      <c r="U811" s="14" t="str">
        <f t="shared" si="404"/>
        <v/>
      </c>
      <c r="V811" s="13" t="str">
        <f t="shared" si="405"/>
        <v/>
      </c>
      <c r="W811" s="13" t="str">
        <f t="shared" si="406"/>
        <v/>
      </c>
      <c r="X811" s="14" t="str">
        <f t="shared" si="407"/>
        <v/>
      </c>
    </row>
    <row r="812" spans="2:24" x14ac:dyDescent="0.3">
      <c r="B812" s="1">
        <f t="shared" si="395"/>
        <v>0</v>
      </c>
      <c r="C812" s="1">
        <f t="shared" si="396"/>
        <v>0</v>
      </c>
      <c r="D812" s="10">
        <f t="shared" si="397"/>
        <v>0</v>
      </c>
      <c r="E812" s="1">
        <f t="shared" si="398"/>
        <v>0</v>
      </c>
      <c r="F812" s="1">
        <f t="shared" si="399"/>
        <v>0</v>
      </c>
      <c r="G812" s="1">
        <f t="shared" si="400"/>
        <v>0</v>
      </c>
      <c r="H812" s="1">
        <f t="shared" si="387"/>
        <v>0</v>
      </c>
      <c r="I812" s="10">
        <f t="shared" si="401"/>
        <v>0</v>
      </c>
      <c r="J812" s="1">
        <f t="shared" si="388"/>
        <v>0</v>
      </c>
      <c r="K812" s="1">
        <f t="shared" si="389"/>
        <v>0</v>
      </c>
      <c r="L812" s="1" t="str">
        <f t="shared" si="390"/>
        <v>0</v>
      </c>
      <c r="M812" s="10">
        <f t="shared" si="391"/>
        <v>0</v>
      </c>
      <c r="N812" s="1">
        <f t="shared" si="402"/>
        <v>0</v>
      </c>
      <c r="O812" s="1">
        <f t="shared" si="394"/>
        <v>0</v>
      </c>
      <c r="P812" s="1">
        <f t="shared" si="392"/>
        <v>0</v>
      </c>
      <c r="Q812" s="3" t="str">
        <f t="shared" si="393"/>
        <v/>
      </c>
      <c r="T812" s="13" t="str">
        <f t="shared" si="403"/>
        <v/>
      </c>
      <c r="U812" s="14" t="str">
        <f t="shared" si="404"/>
        <v/>
      </c>
      <c r="V812" s="13" t="str">
        <f t="shared" si="405"/>
        <v/>
      </c>
      <c r="W812" s="13" t="str">
        <f t="shared" si="406"/>
        <v/>
      </c>
      <c r="X812" s="14" t="str">
        <f t="shared" si="407"/>
        <v/>
      </c>
    </row>
    <row r="813" spans="2:24" x14ac:dyDescent="0.3">
      <c r="B813" s="1">
        <f t="shared" si="395"/>
        <v>0</v>
      </c>
      <c r="C813" s="1">
        <f t="shared" si="396"/>
        <v>0</v>
      </c>
      <c r="D813" s="10">
        <f t="shared" si="397"/>
        <v>0</v>
      </c>
      <c r="E813" s="1">
        <f t="shared" si="398"/>
        <v>0</v>
      </c>
      <c r="F813" s="1">
        <f t="shared" si="399"/>
        <v>0</v>
      </c>
      <c r="G813" s="1">
        <f t="shared" si="400"/>
        <v>0</v>
      </c>
      <c r="H813" s="1">
        <f t="shared" si="387"/>
        <v>0</v>
      </c>
      <c r="I813" s="10">
        <f t="shared" si="401"/>
        <v>0</v>
      </c>
      <c r="J813" s="1">
        <f t="shared" si="388"/>
        <v>0</v>
      </c>
      <c r="K813" s="1">
        <f t="shared" si="389"/>
        <v>0</v>
      </c>
      <c r="L813" s="1" t="str">
        <f t="shared" si="390"/>
        <v>0</v>
      </c>
      <c r="M813" s="10">
        <f t="shared" si="391"/>
        <v>0</v>
      </c>
      <c r="N813" s="1">
        <f t="shared" si="402"/>
        <v>0</v>
      </c>
      <c r="O813" s="1">
        <f t="shared" si="394"/>
        <v>0</v>
      </c>
      <c r="P813" s="1">
        <f t="shared" si="392"/>
        <v>0</v>
      </c>
      <c r="Q813" s="3" t="str">
        <f t="shared" si="393"/>
        <v/>
      </c>
      <c r="T813" s="13" t="str">
        <f t="shared" si="403"/>
        <v/>
      </c>
      <c r="U813" s="14" t="str">
        <f t="shared" si="404"/>
        <v/>
      </c>
      <c r="V813" s="13" t="str">
        <f t="shared" si="405"/>
        <v/>
      </c>
      <c r="W813" s="13" t="str">
        <f t="shared" si="406"/>
        <v/>
      </c>
      <c r="X813" s="14" t="str">
        <f t="shared" si="407"/>
        <v/>
      </c>
    </row>
    <row r="814" spans="2:24" x14ac:dyDescent="0.3">
      <c r="B814" s="1">
        <f t="shared" si="395"/>
        <v>0</v>
      </c>
      <c r="C814" s="1">
        <f t="shared" si="396"/>
        <v>0</v>
      </c>
      <c r="D814" s="10">
        <f t="shared" si="397"/>
        <v>0</v>
      </c>
      <c r="E814" s="1">
        <f t="shared" si="398"/>
        <v>0</v>
      </c>
      <c r="F814" s="1">
        <f t="shared" si="399"/>
        <v>0</v>
      </c>
      <c r="G814" s="1">
        <f t="shared" si="400"/>
        <v>0</v>
      </c>
      <c r="H814" s="1">
        <f t="shared" si="387"/>
        <v>0</v>
      </c>
      <c r="I814" s="10">
        <f t="shared" si="401"/>
        <v>0</v>
      </c>
      <c r="J814" s="1">
        <f t="shared" si="388"/>
        <v>0</v>
      </c>
      <c r="K814" s="1">
        <f t="shared" si="389"/>
        <v>0</v>
      </c>
      <c r="L814" s="1" t="str">
        <f t="shared" si="390"/>
        <v>0</v>
      </c>
      <c r="M814" s="10">
        <f t="shared" si="391"/>
        <v>0</v>
      </c>
      <c r="N814" s="1">
        <f t="shared" si="402"/>
        <v>0</v>
      </c>
      <c r="O814" s="1">
        <f t="shared" si="394"/>
        <v>0</v>
      </c>
      <c r="P814" s="1">
        <f t="shared" si="392"/>
        <v>0</v>
      </c>
      <c r="Q814" s="3" t="str">
        <f t="shared" si="393"/>
        <v/>
      </c>
      <c r="T814" s="13" t="str">
        <f t="shared" si="403"/>
        <v/>
      </c>
      <c r="U814" s="14" t="str">
        <f t="shared" si="404"/>
        <v/>
      </c>
      <c r="V814" s="13" t="str">
        <f t="shared" si="405"/>
        <v/>
      </c>
      <c r="W814" s="13" t="str">
        <f t="shared" si="406"/>
        <v/>
      </c>
      <c r="X814" s="14" t="str">
        <f t="shared" si="407"/>
        <v/>
      </c>
    </row>
    <row r="815" spans="2:24" x14ac:dyDescent="0.3">
      <c r="B815" s="1">
        <f t="shared" si="395"/>
        <v>0</v>
      </c>
      <c r="C815" s="1">
        <f t="shared" si="396"/>
        <v>0</v>
      </c>
      <c r="D815" s="10">
        <f t="shared" si="397"/>
        <v>0</v>
      </c>
      <c r="E815" s="1">
        <f t="shared" si="398"/>
        <v>0</v>
      </c>
      <c r="F815" s="1">
        <f t="shared" si="399"/>
        <v>0</v>
      </c>
      <c r="G815" s="1">
        <f t="shared" si="400"/>
        <v>0</v>
      </c>
      <c r="H815" s="1">
        <f t="shared" si="387"/>
        <v>0</v>
      </c>
      <c r="I815" s="10">
        <f t="shared" si="401"/>
        <v>0</v>
      </c>
      <c r="J815" s="1">
        <f t="shared" si="388"/>
        <v>0</v>
      </c>
      <c r="K815" s="1">
        <f t="shared" si="389"/>
        <v>0</v>
      </c>
      <c r="L815" s="1" t="str">
        <f t="shared" si="390"/>
        <v>0</v>
      </c>
      <c r="M815" s="10">
        <f t="shared" si="391"/>
        <v>0</v>
      </c>
      <c r="N815" s="1">
        <f t="shared" si="402"/>
        <v>0</v>
      </c>
      <c r="O815" s="1">
        <f t="shared" si="394"/>
        <v>0</v>
      </c>
      <c r="P815" s="1">
        <f t="shared" si="392"/>
        <v>0</v>
      </c>
      <c r="Q815" s="3" t="str">
        <f t="shared" si="393"/>
        <v/>
      </c>
      <c r="T815" s="13" t="str">
        <f t="shared" si="403"/>
        <v/>
      </c>
      <c r="U815" s="14" t="str">
        <f t="shared" si="404"/>
        <v/>
      </c>
      <c r="V815" s="13" t="str">
        <f t="shared" si="405"/>
        <v/>
      </c>
      <c r="W815" s="13" t="str">
        <f t="shared" si="406"/>
        <v/>
      </c>
      <c r="X815" s="14" t="str">
        <f t="shared" si="407"/>
        <v/>
      </c>
    </row>
    <row r="816" spans="2:24" x14ac:dyDescent="0.3">
      <c r="B816" s="1">
        <f t="shared" si="395"/>
        <v>0</v>
      </c>
      <c r="C816" s="1">
        <f t="shared" si="396"/>
        <v>0</v>
      </c>
      <c r="D816" s="10">
        <f t="shared" si="397"/>
        <v>0</v>
      </c>
      <c r="E816" s="1">
        <f t="shared" si="398"/>
        <v>0</v>
      </c>
      <c r="F816" s="1">
        <f t="shared" si="399"/>
        <v>0</v>
      </c>
      <c r="G816" s="1">
        <f t="shared" si="400"/>
        <v>0</v>
      </c>
      <c r="H816" s="1">
        <f t="shared" si="387"/>
        <v>0</v>
      </c>
      <c r="I816" s="10">
        <f t="shared" si="401"/>
        <v>0</v>
      </c>
      <c r="J816" s="1">
        <f t="shared" si="388"/>
        <v>0</v>
      </c>
      <c r="K816" s="1">
        <f t="shared" si="389"/>
        <v>0</v>
      </c>
      <c r="L816" s="1" t="str">
        <f t="shared" si="390"/>
        <v>0</v>
      </c>
      <c r="M816" s="10">
        <f t="shared" si="391"/>
        <v>0</v>
      </c>
      <c r="N816" s="1">
        <f t="shared" si="402"/>
        <v>0</v>
      </c>
      <c r="O816" s="1">
        <f t="shared" si="394"/>
        <v>0</v>
      </c>
      <c r="P816" s="1">
        <f t="shared" si="392"/>
        <v>0</v>
      </c>
      <c r="Q816" s="3" t="str">
        <f t="shared" si="393"/>
        <v/>
      </c>
      <c r="T816" s="13" t="str">
        <f t="shared" si="403"/>
        <v/>
      </c>
      <c r="U816" s="14" t="str">
        <f t="shared" si="404"/>
        <v/>
      </c>
      <c r="V816" s="13" t="str">
        <f t="shared" si="405"/>
        <v/>
      </c>
      <c r="W816" s="13" t="str">
        <f t="shared" si="406"/>
        <v/>
      </c>
      <c r="X816" s="14" t="str">
        <f t="shared" si="407"/>
        <v/>
      </c>
    </row>
    <row r="817" spans="2:24" x14ac:dyDescent="0.3">
      <c r="B817" s="1">
        <f t="shared" si="395"/>
        <v>0</v>
      </c>
      <c r="C817" s="1">
        <f t="shared" si="396"/>
        <v>0</v>
      </c>
      <c r="D817" s="10">
        <f t="shared" si="397"/>
        <v>0</v>
      </c>
      <c r="E817" s="1">
        <f t="shared" si="398"/>
        <v>0</v>
      </c>
      <c r="F817" s="1">
        <f t="shared" si="399"/>
        <v>0</v>
      </c>
      <c r="G817" s="1">
        <f t="shared" si="400"/>
        <v>0</v>
      </c>
      <c r="H817" s="1">
        <f t="shared" si="387"/>
        <v>0</v>
      </c>
      <c r="I817" s="10">
        <f t="shared" si="401"/>
        <v>0</v>
      </c>
      <c r="J817" s="1">
        <f t="shared" si="388"/>
        <v>0</v>
      </c>
      <c r="K817" s="1">
        <f t="shared" si="389"/>
        <v>0</v>
      </c>
      <c r="L817" s="1" t="str">
        <f t="shared" si="390"/>
        <v>0</v>
      </c>
      <c r="M817" s="10">
        <f t="shared" si="391"/>
        <v>0</v>
      </c>
      <c r="N817" s="1">
        <f t="shared" si="402"/>
        <v>0</v>
      </c>
      <c r="O817" s="1">
        <f t="shared" si="394"/>
        <v>0</v>
      </c>
      <c r="P817" s="1">
        <f t="shared" si="392"/>
        <v>0</v>
      </c>
      <c r="Q817" s="3" t="str">
        <f t="shared" si="393"/>
        <v/>
      </c>
      <c r="T817" s="13" t="str">
        <f t="shared" si="403"/>
        <v/>
      </c>
      <c r="U817" s="14" t="str">
        <f t="shared" si="404"/>
        <v/>
      </c>
      <c r="V817" s="13" t="str">
        <f t="shared" si="405"/>
        <v/>
      </c>
      <c r="W817" s="13" t="str">
        <f t="shared" si="406"/>
        <v/>
      </c>
      <c r="X817" s="14" t="str">
        <f t="shared" si="407"/>
        <v/>
      </c>
    </row>
    <row r="818" spans="2:24" x14ac:dyDescent="0.3">
      <c r="B818" s="1">
        <f t="shared" si="395"/>
        <v>0</v>
      </c>
      <c r="C818" s="1">
        <f t="shared" si="396"/>
        <v>0</v>
      </c>
      <c r="D818" s="10">
        <f t="shared" si="397"/>
        <v>0</v>
      </c>
      <c r="E818" s="1">
        <f t="shared" si="398"/>
        <v>0</v>
      </c>
      <c r="F818" s="1">
        <f t="shared" si="399"/>
        <v>0</v>
      </c>
      <c r="G818" s="1">
        <f t="shared" si="400"/>
        <v>0</v>
      </c>
      <c r="H818" s="1">
        <f t="shared" si="387"/>
        <v>0</v>
      </c>
      <c r="I818" s="10">
        <f t="shared" si="401"/>
        <v>0</v>
      </c>
      <c r="J818" s="1">
        <f t="shared" si="388"/>
        <v>0</v>
      </c>
      <c r="K818" s="1">
        <f t="shared" si="389"/>
        <v>0</v>
      </c>
      <c r="L818" s="1" t="str">
        <f t="shared" si="390"/>
        <v>0</v>
      </c>
      <c r="M818" s="10">
        <f t="shared" si="391"/>
        <v>0</v>
      </c>
      <c r="N818" s="1">
        <f t="shared" si="402"/>
        <v>0</v>
      </c>
      <c r="O818" s="1">
        <f t="shared" si="394"/>
        <v>0</v>
      </c>
      <c r="P818" s="1">
        <f t="shared" si="392"/>
        <v>0</v>
      </c>
      <c r="Q818" s="3" t="str">
        <f t="shared" si="393"/>
        <v/>
      </c>
      <c r="T818" s="13" t="str">
        <f t="shared" si="403"/>
        <v/>
      </c>
      <c r="U818" s="14" t="str">
        <f t="shared" si="404"/>
        <v/>
      </c>
      <c r="V818" s="13" t="str">
        <f t="shared" si="405"/>
        <v/>
      </c>
      <c r="W818" s="13" t="str">
        <f t="shared" si="406"/>
        <v/>
      </c>
      <c r="X818" s="14" t="str">
        <f t="shared" si="407"/>
        <v/>
      </c>
    </row>
    <row r="819" spans="2:24" x14ac:dyDescent="0.3">
      <c r="B819" s="1">
        <f t="shared" si="395"/>
        <v>0</v>
      </c>
      <c r="C819" s="1">
        <f t="shared" si="396"/>
        <v>0</v>
      </c>
      <c r="D819" s="10">
        <f t="shared" si="397"/>
        <v>0</v>
      </c>
      <c r="E819" s="1">
        <f t="shared" si="398"/>
        <v>0</v>
      </c>
      <c r="F819" s="1">
        <f t="shared" si="399"/>
        <v>0</v>
      </c>
      <c r="G819" s="1">
        <f t="shared" si="400"/>
        <v>0</v>
      </c>
      <c r="H819" s="1">
        <f t="shared" si="387"/>
        <v>0</v>
      </c>
      <c r="I819" s="10">
        <f t="shared" si="401"/>
        <v>0</v>
      </c>
      <c r="J819" s="1">
        <f t="shared" si="388"/>
        <v>0</v>
      </c>
      <c r="K819" s="1">
        <f t="shared" si="389"/>
        <v>0</v>
      </c>
      <c r="L819" s="1" t="str">
        <f t="shared" si="390"/>
        <v>0</v>
      </c>
      <c r="M819" s="10">
        <f t="shared" si="391"/>
        <v>0</v>
      </c>
      <c r="N819" s="1">
        <f t="shared" si="402"/>
        <v>0</v>
      </c>
      <c r="O819" s="1">
        <f t="shared" si="394"/>
        <v>0</v>
      </c>
      <c r="P819" s="1">
        <f t="shared" si="392"/>
        <v>0</v>
      </c>
      <c r="Q819" s="3" t="str">
        <f t="shared" si="393"/>
        <v/>
      </c>
      <c r="T819" s="13" t="str">
        <f t="shared" si="403"/>
        <v/>
      </c>
      <c r="U819" s="14" t="str">
        <f t="shared" si="404"/>
        <v/>
      </c>
      <c r="V819" s="13" t="str">
        <f t="shared" si="405"/>
        <v/>
      </c>
      <c r="W819" s="13" t="str">
        <f t="shared" si="406"/>
        <v/>
      </c>
      <c r="X819" s="14" t="str">
        <f t="shared" si="407"/>
        <v/>
      </c>
    </row>
    <row r="820" spans="2:24" x14ac:dyDescent="0.3">
      <c r="B820" s="1">
        <f t="shared" si="395"/>
        <v>0</v>
      </c>
      <c r="C820" s="1">
        <f t="shared" si="396"/>
        <v>0</v>
      </c>
      <c r="D820" s="10">
        <f t="shared" si="397"/>
        <v>0</v>
      </c>
      <c r="E820" s="1">
        <f t="shared" si="398"/>
        <v>0</v>
      </c>
      <c r="F820" s="1">
        <f t="shared" si="399"/>
        <v>0</v>
      </c>
      <c r="G820" s="1">
        <f t="shared" si="400"/>
        <v>0</v>
      </c>
      <c r="H820" s="1">
        <f t="shared" si="387"/>
        <v>0</v>
      </c>
      <c r="I820" s="10">
        <f t="shared" si="401"/>
        <v>0</v>
      </c>
      <c r="J820" s="1">
        <f t="shared" si="388"/>
        <v>0</v>
      </c>
      <c r="K820" s="1">
        <f t="shared" si="389"/>
        <v>0</v>
      </c>
      <c r="L820" s="1" t="str">
        <f t="shared" si="390"/>
        <v>0</v>
      </c>
      <c r="M820" s="10">
        <f t="shared" si="391"/>
        <v>0</v>
      </c>
      <c r="N820" s="1">
        <f t="shared" si="402"/>
        <v>0</v>
      </c>
      <c r="O820" s="1">
        <f t="shared" si="394"/>
        <v>0</v>
      </c>
      <c r="P820" s="1">
        <f t="shared" si="392"/>
        <v>0</v>
      </c>
      <c r="Q820" s="3" t="str">
        <f t="shared" si="393"/>
        <v/>
      </c>
      <c r="T820" s="13" t="str">
        <f t="shared" si="403"/>
        <v/>
      </c>
      <c r="U820" s="14" t="str">
        <f t="shared" si="404"/>
        <v/>
      </c>
      <c r="V820" s="13" t="str">
        <f t="shared" si="405"/>
        <v/>
      </c>
      <c r="W820" s="13" t="str">
        <f t="shared" si="406"/>
        <v/>
      </c>
      <c r="X820" s="14" t="str">
        <f t="shared" si="407"/>
        <v/>
      </c>
    </row>
    <row r="821" spans="2:24" x14ac:dyDescent="0.3">
      <c r="B821" s="1">
        <f t="shared" si="395"/>
        <v>0</v>
      </c>
      <c r="C821" s="1">
        <f t="shared" si="396"/>
        <v>0</v>
      </c>
      <c r="D821" s="10">
        <f t="shared" si="397"/>
        <v>0</v>
      </c>
      <c r="E821" s="1">
        <f t="shared" si="398"/>
        <v>0</v>
      </c>
      <c r="F821" s="1">
        <f t="shared" si="399"/>
        <v>0</v>
      </c>
      <c r="G821" s="1">
        <f t="shared" si="400"/>
        <v>0</v>
      </c>
      <c r="H821" s="1">
        <f t="shared" ref="H821:H884" si="408">IF(AND(F821&gt;0,F821&lt;G821),F821,G821)</f>
        <v>0</v>
      </c>
      <c r="I821" s="10">
        <f t="shared" si="401"/>
        <v>0</v>
      </c>
      <c r="J821" s="1">
        <f t="shared" ref="J821:J884" si="409">IF(AND(F821&gt;0,F821&lt;G821),FIND("=",A821,F821)+1,0)</f>
        <v>0</v>
      </c>
      <c r="K821" s="1">
        <f t="shared" ref="K821:K884" si="410">IF(J821&gt;0,MID(A821,J821,G821-J821),0)</f>
        <v>0</v>
      </c>
      <c r="L821" s="1" t="str">
        <f t="shared" ref="L821:L884" si="411">IFERROR(RIGHT(K821,LEN(K821)-FIND("0x",K821)-1),DEC2HEX(K821))</f>
        <v>0</v>
      </c>
      <c r="M821" s="10">
        <f t="shared" ref="M821:M884" si="412">HEX2DEC(L821)</f>
        <v>0</v>
      </c>
      <c r="N821" s="1">
        <f t="shared" si="402"/>
        <v>0</v>
      </c>
      <c r="O821" s="1">
        <f t="shared" si="394"/>
        <v>0</v>
      </c>
      <c r="P821" s="1">
        <f t="shared" ref="P821:P884" si="413">IFERROR(FIND("*/",$A821,N821+1),0)</f>
        <v>0</v>
      </c>
      <c r="Q821" s="3" t="str">
        <f t="shared" si="393"/>
        <v/>
      </c>
      <c r="T821" s="13" t="str">
        <f t="shared" si="403"/>
        <v/>
      </c>
      <c r="U821" s="14" t="str">
        <f t="shared" si="404"/>
        <v/>
      </c>
      <c r="V821" s="13" t="str">
        <f t="shared" si="405"/>
        <v/>
      </c>
      <c r="W821" s="13" t="str">
        <f t="shared" si="406"/>
        <v/>
      </c>
      <c r="X821" s="14" t="str">
        <f t="shared" si="407"/>
        <v/>
      </c>
    </row>
    <row r="822" spans="2:24" x14ac:dyDescent="0.3">
      <c r="B822" s="1">
        <f t="shared" si="395"/>
        <v>0</v>
      </c>
      <c r="C822" s="1">
        <f t="shared" si="396"/>
        <v>0</v>
      </c>
      <c r="D822" s="10">
        <f t="shared" si="397"/>
        <v>0</v>
      </c>
      <c r="E822" s="1">
        <f t="shared" si="398"/>
        <v>0</v>
      </c>
      <c r="F822" s="1">
        <f t="shared" si="399"/>
        <v>0</v>
      </c>
      <c r="G822" s="1">
        <f t="shared" si="400"/>
        <v>0</v>
      </c>
      <c r="H822" s="1">
        <f t="shared" si="408"/>
        <v>0</v>
      </c>
      <c r="I822" s="10">
        <f t="shared" si="401"/>
        <v>0</v>
      </c>
      <c r="J822" s="1">
        <f t="shared" si="409"/>
        <v>0</v>
      </c>
      <c r="K822" s="1">
        <f t="shared" si="410"/>
        <v>0</v>
      </c>
      <c r="L822" s="1" t="str">
        <f t="shared" si="411"/>
        <v>0</v>
      </c>
      <c r="M822" s="10">
        <f t="shared" si="412"/>
        <v>0</v>
      </c>
      <c r="N822" s="1">
        <f t="shared" si="402"/>
        <v>0</v>
      </c>
      <c r="O822" s="1">
        <f t="shared" si="394"/>
        <v>0</v>
      </c>
      <c r="P822" s="1">
        <f t="shared" si="413"/>
        <v>0</v>
      </c>
      <c r="Q822" s="3" t="str">
        <f t="shared" si="393"/>
        <v/>
      </c>
      <c r="T822" s="13" t="str">
        <f t="shared" si="403"/>
        <v/>
      </c>
      <c r="U822" s="14" t="str">
        <f t="shared" si="404"/>
        <v/>
      </c>
      <c r="V822" s="13" t="str">
        <f t="shared" si="405"/>
        <v/>
      </c>
      <c r="W822" s="13" t="str">
        <f t="shared" si="406"/>
        <v/>
      </c>
      <c r="X822" s="14" t="str">
        <f t="shared" si="407"/>
        <v/>
      </c>
    </row>
    <row r="823" spans="2:24" x14ac:dyDescent="0.3">
      <c r="B823" s="1">
        <f t="shared" si="395"/>
        <v>0</v>
      </c>
      <c r="C823" s="1">
        <f t="shared" si="396"/>
        <v>0</v>
      </c>
      <c r="D823" s="10">
        <f t="shared" si="397"/>
        <v>0</v>
      </c>
      <c r="E823" s="1">
        <f t="shared" si="398"/>
        <v>0</v>
      </c>
      <c r="F823" s="1">
        <f t="shared" si="399"/>
        <v>0</v>
      </c>
      <c r="G823" s="1">
        <f t="shared" si="400"/>
        <v>0</v>
      </c>
      <c r="H823" s="1">
        <f t="shared" si="408"/>
        <v>0</v>
      </c>
      <c r="I823" s="10">
        <f t="shared" si="401"/>
        <v>0</v>
      </c>
      <c r="J823" s="1">
        <f t="shared" si="409"/>
        <v>0</v>
      </c>
      <c r="K823" s="1">
        <f t="shared" si="410"/>
        <v>0</v>
      </c>
      <c r="L823" s="1" t="str">
        <f t="shared" si="411"/>
        <v>0</v>
      </c>
      <c r="M823" s="10">
        <f t="shared" si="412"/>
        <v>0</v>
      </c>
      <c r="N823" s="1">
        <f t="shared" si="402"/>
        <v>0</v>
      </c>
      <c r="O823" s="1">
        <f t="shared" si="394"/>
        <v>0</v>
      </c>
      <c r="P823" s="1">
        <f t="shared" si="413"/>
        <v>0</v>
      </c>
      <c r="Q823" s="3" t="str">
        <f t="shared" si="393"/>
        <v/>
      </c>
      <c r="T823" s="13" t="str">
        <f t="shared" si="403"/>
        <v/>
      </c>
      <c r="U823" s="14" t="str">
        <f t="shared" si="404"/>
        <v/>
      </c>
      <c r="V823" s="13" t="str">
        <f t="shared" si="405"/>
        <v/>
      </c>
      <c r="W823" s="13" t="str">
        <f t="shared" si="406"/>
        <v/>
      </c>
      <c r="X823" s="14" t="str">
        <f t="shared" si="407"/>
        <v/>
      </c>
    </row>
    <row r="824" spans="2:24" x14ac:dyDescent="0.3">
      <c r="B824" s="1">
        <f t="shared" si="395"/>
        <v>0</v>
      </c>
      <c r="C824" s="1">
        <f t="shared" si="396"/>
        <v>0</v>
      </c>
      <c r="D824" s="10">
        <f t="shared" si="397"/>
        <v>0</v>
      </c>
      <c r="E824" s="1">
        <f t="shared" si="398"/>
        <v>0</v>
      </c>
      <c r="F824" s="1">
        <f t="shared" si="399"/>
        <v>0</v>
      </c>
      <c r="G824" s="1">
        <f t="shared" si="400"/>
        <v>0</v>
      </c>
      <c r="H824" s="1">
        <f t="shared" si="408"/>
        <v>0</v>
      </c>
      <c r="I824" s="10">
        <f t="shared" si="401"/>
        <v>0</v>
      </c>
      <c r="J824" s="1">
        <f t="shared" si="409"/>
        <v>0</v>
      </c>
      <c r="K824" s="1">
        <f t="shared" si="410"/>
        <v>0</v>
      </c>
      <c r="L824" s="1" t="str">
        <f t="shared" si="411"/>
        <v>0</v>
      </c>
      <c r="M824" s="10">
        <f t="shared" si="412"/>
        <v>0</v>
      </c>
      <c r="N824" s="1">
        <f t="shared" si="402"/>
        <v>0</v>
      </c>
      <c r="O824" s="1">
        <f t="shared" si="394"/>
        <v>0</v>
      </c>
      <c r="P824" s="1">
        <f t="shared" si="413"/>
        <v>0</v>
      </c>
      <c r="Q824" s="3" t="str">
        <f t="shared" si="393"/>
        <v/>
      </c>
      <c r="T824" s="13" t="str">
        <f t="shared" si="403"/>
        <v/>
      </c>
      <c r="U824" s="14" t="str">
        <f t="shared" si="404"/>
        <v/>
      </c>
      <c r="V824" s="13" t="str">
        <f t="shared" si="405"/>
        <v/>
      </c>
      <c r="W824" s="13" t="str">
        <f t="shared" si="406"/>
        <v/>
      </c>
      <c r="X824" s="14" t="str">
        <f t="shared" si="407"/>
        <v/>
      </c>
    </row>
    <row r="825" spans="2:24" x14ac:dyDescent="0.3">
      <c r="B825" s="1">
        <f t="shared" si="395"/>
        <v>0</v>
      </c>
      <c r="C825" s="1">
        <f t="shared" si="396"/>
        <v>0</v>
      </c>
      <c r="D825" s="10">
        <f t="shared" si="397"/>
        <v>0</v>
      </c>
      <c r="E825" s="1">
        <f t="shared" si="398"/>
        <v>0</v>
      </c>
      <c r="F825" s="1">
        <f t="shared" si="399"/>
        <v>0</v>
      </c>
      <c r="G825" s="1">
        <f t="shared" si="400"/>
        <v>0</v>
      </c>
      <c r="H825" s="1">
        <f t="shared" si="408"/>
        <v>0</v>
      </c>
      <c r="I825" s="10">
        <f t="shared" si="401"/>
        <v>0</v>
      </c>
      <c r="J825" s="1">
        <f t="shared" si="409"/>
        <v>0</v>
      </c>
      <c r="K825" s="1">
        <f t="shared" si="410"/>
        <v>0</v>
      </c>
      <c r="L825" s="1" t="str">
        <f t="shared" si="411"/>
        <v>0</v>
      </c>
      <c r="M825" s="10">
        <f t="shared" si="412"/>
        <v>0</v>
      </c>
      <c r="N825" s="1">
        <f t="shared" si="402"/>
        <v>0</v>
      </c>
      <c r="O825" s="1">
        <f t="shared" si="394"/>
        <v>0</v>
      </c>
      <c r="P825" s="1">
        <f t="shared" si="413"/>
        <v>0</v>
      </c>
      <c r="Q825" s="3" t="str">
        <f t="shared" si="393"/>
        <v/>
      </c>
      <c r="T825" s="13" t="str">
        <f t="shared" si="403"/>
        <v/>
      </c>
      <c r="U825" s="14" t="str">
        <f t="shared" si="404"/>
        <v/>
      </c>
      <c r="V825" s="13" t="str">
        <f t="shared" si="405"/>
        <v/>
      </c>
      <c r="W825" s="13" t="str">
        <f t="shared" si="406"/>
        <v/>
      </c>
      <c r="X825" s="14" t="str">
        <f t="shared" si="407"/>
        <v/>
      </c>
    </row>
    <row r="826" spans="2:24" x14ac:dyDescent="0.3">
      <c r="B826" s="1">
        <f t="shared" si="395"/>
        <v>0</v>
      </c>
      <c r="C826" s="1">
        <f t="shared" si="396"/>
        <v>0</v>
      </c>
      <c r="D826" s="10">
        <f t="shared" si="397"/>
        <v>0</v>
      </c>
      <c r="E826" s="1">
        <f t="shared" si="398"/>
        <v>0</v>
      </c>
      <c r="F826" s="1">
        <f t="shared" si="399"/>
        <v>0</v>
      </c>
      <c r="G826" s="1">
        <f t="shared" si="400"/>
        <v>0</v>
      </c>
      <c r="H826" s="1">
        <f t="shared" si="408"/>
        <v>0</v>
      </c>
      <c r="I826" s="10">
        <f t="shared" si="401"/>
        <v>0</v>
      </c>
      <c r="J826" s="1">
        <f t="shared" si="409"/>
        <v>0</v>
      </c>
      <c r="K826" s="1">
        <f t="shared" si="410"/>
        <v>0</v>
      </c>
      <c r="L826" s="1" t="str">
        <f t="shared" si="411"/>
        <v>0</v>
      </c>
      <c r="M826" s="10">
        <f t="shared" si="412"/>
        <v>0</v>
      </c>
      <c r="N826" s="1">
        <f t="shared" si="402"/>
        <v>0</v>
      </c>
      <c r="O826" s="1">
        <f t="shared" si="394"/>
        <v>0</v>
      </c>
      <c r="P826" s="1">
        <f t="shared" si="413"/>
        <v>0</v>
      </c>
      <c r="Q826" s="3" t="str">
        <f t="shared" si="393"/>
        <v/>
      </c>
      <c r="T826" s="13" t="str">
        <f t="shared" si="403"/>
        <v/>
      </c>
      <c r="U826" s="14" t="str">
        <f t="shared" si="404"/>
        <v/>
      </c>
      <c r="V826" s="13" t="str">
        <f t="shared" si="405"/>
        <v/>
      </c>
      <c r="W826" s="13" t="str">
        <f t="shared" si="406"/>
        <v/>
      </c>
      <c r="X826" s="14" t="str">
        <f t="shared" si="407"/>
        <v/>
      </c>
    </row>
    <row r="827" spans="2:24" x14ac:dyDescent="0.3">
      <c r="B827" s="1">
        <f t="shared" si="395"/>
        <v>0</v>
      </c>
      <c r="C827" s="1">
        <f t="shared" si="396"/>
        <v>0</v>
      </c>
      <c r="D827" s="10">
        <f t="shared" si="397"/>
        <v>0</v>
      </c>
      <c r="E827" s="1">
        <f t="shared" si="398"/>
        <v>0</v>
      </c>
      <c r="F827" s="1">
        <f t="shared" si="399"/>
        <v>0</v>
      </c>
      <c r="G827" s="1">
        <f t="shared" si="400"/>
        <v>0</v>
      </c>
      <c r="H827" s="1">
        <f t="shared" si="408"/>
        <v>0</v>
      </c>
      <c r="I827" s="10">
        <f t="shared" si="401"/>
        <v>0</v>
      </c>
      <c r="J827" s="1">
        <f t="shared" si="409"/>
        <v>0</v>
      </c>
      <c r="K827" s="1">
        <f t="shared" si="410"/>
        <v>0</v>
      </c>
      <c r="L827" s="1" t="str">
        <f t="shared" si="411"/>
        <v>0</v>
      </c>
      <c r="M827" s="10">
        <f t="shared" si="412"/>
        <v>0</v>
      </c>
      <c r="N827" s="1">
        <f t="shared" si="402"/>
        <v>0</v>
      </c>
      <c r="O827" s="1">
        <f t="shared" si="394"/>
        <v>0</v>
      </c>
      <c r="P827" s="1">
        <f t="shared" si="413"/>
        <v>0</v>
      </c>
      <c r="Q827" s="3" t="str">
        <f t="shared" si="393"/>
        <v/>
      </c>
      <c r="T827" s="13" t="str">
        <f t="shared" si="403"/>
        <v/>
      </c>
      <c r="U827" s="14" t="str">
        <f t="shared" si="404"/>
        <v/>
      </c>
      <c r="V827" s="13" t="str">
        <f t="shared" si="405"/>
        <v/>
      </c>
      <c r="W827" s="13" t="str">
        <f t="shared" si="406"/>
        <v/>
      </c>
      <c r="X827" s="14" t="str">
        <f t="shared" si="407"/>
        <v/>
      </c>
    </row>
    <row r="828" spans="2:24" x14ac:dyDescent="0.3">
      <c r="B828" s="1">
        <f t="shared" si="395"/>
        <v>0</v>
      </c>
      <c r="C828" s="1">
        <f t="shared" si="396"/>
        <v>0</v>
      </c>
      <c r="D828" s="10">
        <f t="shared" si="397"/>
        <v>0</v>
      </c>
      <c r="E828" s="1">
        <f t="shared" si="398"/>
        <v>0</v>
      </c>
      <c r="F828" s="1">
        <f t="shared" si="399"/>
        <v>0</v>
      </c>
      <c r="G828" s="1">
        <f t="shared" si="400"/>
        <v>0</v>
      </c>
      <c r="H828" s="1">
        <f t="shared" si="408"/>
        <v>0</v>
      </c>
      <c r="I828" s="10">
        <f t="shared" si="401"/>
        <v>0</v>
      </c>
      <c r="J828" s="1">
        <f t="shared" si="409"/>
        <v>0</v>
      </c>
      <c r="K828" s="1">
        <f t="shared" si="410"/>
        <v>0</v>
      </c>
      <c r="L828" s="1" t="str">
        <f t="shared" si="411"/>
        <v>0</v>
      </c>
      <c r="M828" s="10">
        <f t="shared" si="412"/>
        <v>0</v>
      </c>
      <c r="N828" s="1">
        <f t="shared" si="402"/>
        <v>0</v>
      </c>
      <c r="O828" s="1">
        <f t="shared" si="394"/>
        <v>0</v>
      </c>
      <c r="P828" s="1">
        <f t="shared" si="413"/>
        <v>0</v>
      </c>
      <c r="Q828" s="3" t="str">
        <f t="shared" si="393"/>
        <v/>
      </c>
      <c r="T828" s="13" t="str">
        <f t="shared" si="403"/>
        <v/>
      </c>
      <c r="U828" s="14" t="str">
        <f t="shared" si="404"/>
        <v/>
      </c>
      <c r="V828" s="13" t="str">
        <f t="shared" si="405"/>
        <v/>
      </c>
      <c r="W828" s="13" t="str">
        <f t="shared" si="406"/>
        <v/>
      </c>
      <c r="X828" s="14" t="str">
        <f t="shared" si="407"/>
        <v/>
      </c>
    </row>
    <row r="829" spans="2:24" x14ac:dyDescent="0.3">
      <c r="B829" s="1">
        <f t="shared" si="395"/>
        <v>0</v>
      </c>
      <c r="C829" s="1">
        <f t="shared" si="396"/>
        <v>0</v>
      </c>
      <c r="D829" s="10">
        <f t="shared" si="397"/>
        <v>0</v>
      </c>
      <c r="E829" s="1">
        <f t="shared" si="398"/>
        <v>0</v>
      </c>
      <c r="F829" s="1">
        <f t="shared" si="399"/>
        <v>0</v>
      </c>
      <c r="G829" s="1">
        <f t="shared" si="400"/>
        <v>0</v>
      </c>
      <c r="H829" s="1">
        <f t="shared" si="408"/>
        <v>0</v>
      </c>
      <c r="I829" s="10">
        <f t="shared" si="401"/>
        <v>0</v>
      </c>
      <c r="J829" s="1">
        <f t="shared" si="409"/>
        <v>0</v>
      </c>
      <c r="K829" s="1">
        <f t="shared" si="410"/>
        <v>0</v>
      </c>
      <c r="L829" s="1" t="str">
        <f t="shared" si="411"/>
        <v>0</v>
      </c>
      <c r="M829" s="10">
        <f t="shared" si="412"/>
        <v>0</v>
      </c>
      <c r="N829" s="1">
        <f t="shared" si="402"/>
        <v>0</v>
      </c>
      <c r="O829" s="1">
        <f t="shared" si="394"/>
        <v>0</v>
      </c>
      <c r="P829" s="1">
        <f t="shared" si="413"/>
        <v>0</v>
      </c>
      <c r="Q829" s="3" t="str">
        <f t="shared" si="393"/>
        <v/>
      </c>
      <c r="T829" s="13" t="str">
        <f t="shared" si="403"/>
        <v/>
      </c>
      <c r="U829" s="14" t="str">
        <f t="shared" si="404"/>
        <v/>
      </c>
      <c r="V829" s="13" t="str">
        <f t="shared" si="405"/>
        <v/>
      </c>
      <c r="W829" s="13" t="str">
        <f t="shared" si="406"/>
        <v/>
      </c>
      <c r="X829" s="14" t="str">
        <f t="shared" si="407"/>
        <v/>
      </c>
    </row>
    <row r="830" spans="2:24" x14ac:dyDescent="0.3">
      <c r="B830" s="1">
        <f t="shared" si="395"/>
        <v>0</v>
      </c>
      <c r="C830" s="1">
        <f t="shared" si="396"/>
        <v>0</v>
      </c>
      <c r="D830" s="10">
        <f t="shared" si="397"/>
        <v>0</v>
      </c>
      <c r="E830" s="1">
        <f t="shared" si="398"/>
        <v>0</v>
      </c>
      <c r="F830" s="1">
        <f t="shared" si="399"/>
        <v>0</v>
      </c>
      <c r="G830" s="1">
        <f t="shared" si="400"/>
        <v>0</v>
      </c>
      <c r="H830" s="1">
        <f t="shared" si="408"/>
        <v>0</v>
      </c>
      <c r="I830" s="10">
        <f t="shared" si="401"/>
        <v>0</v>
      </c>
      <c r="J830" s="1">
        <f t="shared" si="409"/>
        <v>0</v>
      </c>
      <c r="K830" s="1">
        <f t="shared" si="410"/>
        <v>0</v>
      </c>
      <c r="L830" s="1" t="str">
        <f t="shared" si="411"/>
        <v>0</v>
      </c>
      <c r="M830" s="10">
        <f t="shared" si="412"/>
        <v>0</v>
      </c>
      <c r="N830" s="1">
        <f t="shared" si="402"/>
        <v>0</v>
      </c>
      <c r="O830" s="1">
        <f t="shared" si="394"/>
        <v>0</v>
      </c>
      <c r="P830" s="1">
        <f t="shared" si="413"/>
        <v>0</v>
      </c>
      <c r="Q830" s="3" t="str">
        <f t="shared" si="393"/>
        <v/>
      </c>
      <c r="T830" s="13" t="str">
        <f t="shared" si="403"/>
        <v/>
      </c>
      <c r="U830" s="14" t="str">
        <f t="shared" si="404"/>
        <v/>
      </c>
      <c r="V830" s="13" t="str">
        <f t="shared" si="405"/>
        <v/>
      </c>
      <c r="W830" s="13" t="str">
        <f t="shared" si="406"/>
        <v/>
      </c>
      <c r="X830" s="14" t="str">
        <f t="shared" si="407"/>
        <v/>
      </c>
    </row>
    <row r="831" spans="2:24" x14ac:dyDescent="0.3">
      <c r="B831" s="1">
        <f t="shared" si="395"/>
        <v>0</v>
      </c>
      <c r="C831" s="1">
        <f t="shared" si="396"/>
        <v>0</v>
      </c>
      <c r="D831" s="10">
        <f t="shared" si="397"/>
        <v>0</v>
      </c>
      <c r="E831" s="1">
        <f t="shared" si="398"/>
        <v>0</v>
      </c>
      <c r="F831" s="1">
        <f t="shared" si="399"/>
        <v>0</v>
      </c>
      <c r="G831" s="1">
        <f t="shared" si="400"/>
        <v>0</v>
      </c>
      <c r="H831" s="1">
        <f t="shared" si="408"/>
        <v>0</v>
      </c>
      <c r="I831" s="10">
        <f t="shared" si="401"/>
        <v>0</v>
      </c>
      <c r="J831" s="1">
        <f t="shared" si="409"/>
        <v>0</v>
      </c>
      <c r="K831" s="1">
        <f t="shared" si="410"/>
        <v>0</v>
      </c>
      <c r="L831" s="1" t="str">
        <f t="shared" si="411"/>
        <v>0</v>
      </c>
      <c r="M831" s="10">
        <f t="shared" si="412"/>
        <v>0</v>
      </c>
      <c r="N831" s="1">
        <f t="shared" si="402"/>
        <v>0</v>
      </c>
      <c r="O831" s="1">
        <f t="shared" si="394"/>
        <v>0</v>
      </c>
      <c r="P831" s="1">
        <f t="shared" si="413"/>
        <v>0</v>
      </c>
      <c r="Q831" s="3" t="str">
        <f t="shared" si="393"/>
        <v/>
      </c>
      <c r="T831" s="13" t="str">
        <f t="shared" si="403"/>
        <v/>
      </c>
      <c r="U831" s="14" t="str">
        <f t="shared" si="404"/>
        <v/>
      </c>
      <c r="V831" s="13" t="str">
        <f t="shared" si="405"/>
        <v/>
      </c>
      <c r="W831" s="13" t="str">
        <f t="shared" si="406"/>
        <v/>
      </c>
      <c r="X831" s="14" t="str">
        <f t="shared" si="407"/>
        <v/>
      </c>
    </row>
    <row r="832" spans="2:24" x14ac:dyDescent="0.3">
      <c r="B832" s="1">
        <f t="shared" si="395"/>
        <v>0</v>
      </c>
      <c r="C832" s="1">
        <f t="shared" si="396"/>
        <v>0</v>
      </c>
      <c r="D832" s="10">
        <f t="shared" si="397"/>
        <v>0</v>
      </c>
      <c r="E832" s="1">
        <f t="shared" si="398"/>
        <v>0</v>
      </c>
      <c r="F832" s="1">
        <f t="shared" si="399"/>
        <v>0</v>
      </c>
      <c r="G832" s="1">
        <f t="shared" si="400"/>
        <v>0</v>
      </c>
      <c r="H832" s="1">
        <f t="shared" si="408"/>
        <v>0</v>
      </c>
      <c r="I832" s="10">
        <f t="shared" si="401"/>
        <v>0</v>
      </c>
      <c r="J832" s="1">
        <f t="shared" si="409"/>
        <v>0</v>
      </c>
      <c r="K832" s="1">
        <f t="shared" si="410"/>
        <v>0</v>
      </c>
      <c r="L832" s="1" t="str">
        <f t="shared" si="411"/>
        <v>0</v>
      </c>
      <c r="M832" s="10">
        <f t="shared" si="412"/>
        <v>0</v>
      </c>
      <c r="N832" s="1">
        <f t="shared" si="402"/>
        <v>0</v>
      </c>
      <c r="O832" s="1">
        <f t="shared" si="394"/>
        <v>0</v>
      </c>
      <c r="P832" s="1">
        <f t="shared" si="413"/>
        <v>0</v>
      </c>
      <c r="Q832" s="3" t="str">
        <f t="shared" si="393"/>
        <v/>
      </c>
      <c r="T832" s="13" t="str">
        <f t="shared" si="403"/>
        <v/>
      </c>
      <c r="U832" s="14" t="str">
        <f t="shared" si="404"/>
        <v/>
      </c>
      <c r="V832" s="13" t="str">
        <f t="shared" si="405"/>
        <v/>
      </c>
      <c r="W832" s="13" t="str">
        <f t="shared" si="406"/>
        <v/>
      </c>
      <c r="X832" s="14" t="str">
        <f t="shared" si="407"/>
        <v/>
      </c>
    </row>
    <row r="833" spans="2:24" x14ac:dyDescent="0.3">
      <c r="B833" s="1">
        <f t="shared" si="395"/>
        <v>0</v>
      </c>
      <c r="C833" s="1">
        <f t="shared" si="396"/>
        <v>0</v>
      </c>
      <c r="D833" s="10">
        <f t="shared" si="397"/>
        <v>0</v>
      </c>
      <c r="E833" s="1">
        <f t="shared" si="398"/>
        <v>0</v>
      </c>
      <c r="F833" s="1">
        <f t="shared" si="399"/>
        <v>0</v>
      </c>
      <c r="G833" s="1">
        <f t="shared" si="400"/>
        <v>0</v>
      </c>
      <c r="H833" s="1">
        <f t="shared" si="408"/>
        <v>0</v>
      </c>
      <c r="I833" s="10">
        <f t="shared" si="401"/>
        <v>0</v>
      </c>
      <c r="J833" s="1">
        <f t="shared" si="409"/>
        <v>0</v>
      </c>
      <c r="K833" s="1">
        <f t="shared" si="410"/>
        <v>0</v>
      </c>
      <c r="L833" s="1" t="str">
        <f t="shared" si="411"/>
        <v>0</v>
      </c>
      <c r="M833" s="10">
        <f t="shared" si="412"/>
        <v>0</v>
      </c>
      <c r="N833" s="1">
        <f t="shared" si="402"/>
        <v>0</v>
      </c>
      <c r="O833" s="1">
        <f t="shared" si="394"/>
        <v>0</v>
      </c>
      <c r="P833" s="1">
        <f t="shared" si="413"/>
        <v>0</v>
      </c>
      <c r="Q833" s="3" t="str">
        <f t="shared" si="393"/>
        <v/>
      </c>
      <c r="T833" s="13" t="str">
        <f t="shared" si="403"/>
        <v/>
      </c>
      <c r="U833" s="14" t="str">
        <f t="shared" si="404"/>
        <v/>
      </c>
      <c r="V833" s="13" t="str">
        <f t="shared" si="405"/>
        <v/>
      </c>
      <c r="W833" s="13" t="str">
        <f t="shared" si="406"/>
        <v/>
      </c>
      <c r="X833" s="14" t="str">
        <f t="shared" si="407"/>
        <v/>
      </c>
    </row>
    <row r="834" spans="2:24" x14ac:dyDescent="0.3">
      <c r="B834" s="1">
        <f t="shared" si="395"/>
        <v>0</v>
      </c>
      <c r="C834" s="1">
        <f t="shared" si="396"/>
        <v>0</v>
      </c>
      <c r="D834" s="10">
        <f t="shared" si="397"/>
        <v>0</v>
      </c>
      <c r="E834" s="1">
        <f t="shared" si="398"/>
        <v>0</v>
      </c>
      <c r="F834" s="1">
        <f t="shared" si="399"/>
        <v>0</v>
      </c>
      <c r="G834" s="1">
        <f t="shared" si="400"/>
        <v>0</v>
      </c>
      <c r="H834" s="1">
        <f t="shared" si="408"/>
        <v>0</v>
      </c>
      <c r="I834" s="10">
        <f t="shared" si="401"/>
        <v>0</v>
      </c>
      <c r="J834" s="1">
        <f t="shared" si="409"/>
        <v>0</v>
      </c>
      <c r="K834" s="1">
        <f t="shared" si="410"/>
        <v>0</v>
      </c>
      <c r="L834" s="1" t="str">
        <f t="shared" si="411"/>
        <v>0</v>
      </c>
      <c r="M834" s="10">
        <f t="shared" si="412"/>
        <v>0</v>
      </c>
      <c r="N834" s="1">
        <f t="shared" si="402"/>
        <v>0</v>
      </c>
      <c r="O834" s="1">
        <f t="shared" si="394"/>
        <v>0</v>
      </c>
      <c r="P834" s="1">
        <f t="shared" si="413"/>
        <v>0</v>
      </c>
      <c r="Q834" s="3" t="str">
        <f t="shared" si="393"/>
        <v/>
      </c>
      <c r="T834" s="13" t="str">
        <f t="shared" si="403"/>
        <v/>
      </c>
      <c r="U834" s="14" t="str">
        <f t="shared" si="404"/>
        <v/>
      </c>
      <c r="V834" s="13" t="str">
        <f t="shared" si="405"/>
        <v/>
      </c>
      <c r="W834" s="13" t="str">
        <f t="shared" si="406"/>
        <v/>
      </c>
      <c r="X834" s="14" t="str">
        <f t="shared" si="407"/>
        <v/>
      </c>
    </row>
    <row r="835" spans="2:24" x14ac:dyDescent="0.3">
      <c r="B835" s="1">
        <f t="shared" si="395"/>
        <v>0</v>
      </c>
      <c r="C835" s="1">
        <f t="shared" si="396"/>
        <v>0</v>
      </c>
      <c r="D835" s="10">
        <f t="shared" si="397"/>
        <v>0</v>
      </c>
      <c r="E835" s="1">
        <f t="shared" si="398"/>
        <v>0</v>
      </c>
      <c r="F835" s="1">
        <f t="shared" si="399"/>
        <v>0</v>
      </c>
      <c r="G835" s="1">
        <f t="shared" si="400"/>
        <v>0</v>
      </c>
      <c r="H835" s="1">
        <f t="shared" si="408"/>
        <v>0</v>
      </c>
      <c r="I835" s="10">
        <f t="shared" si="401"/>
        <v>0</v>
      </c>
      <c r="J835" s="1">
        <f t="shared" si="409"/>
        <v>0</v>
      </c>
      <c r="K835" s="1">
        <f t="shared" si="410"/>
        <v>0</v>
      </c>
      <c r="L835" s="1" t="str">
        <f t="shared" si="411"/>
        <v>0</v>
      </c>
      <c r="M835" s="10">
        <f t="shared" si="412"/>
        <v>0</v>
      </c>
      <c r="N835" s="1">
        <f t="shared" si="402"/>
        <v>0</v>
      </c>
      <c r="O835" s="1">
        <f t="shared" si="394"/>
        <v>0</v>
      </c>
      <c r="P835" s="1">
        <f t="shared" si="413"/>
        <v>0</v>
      </c>
      <c r="Q835" s="3" t="str">
        <f t="shared" si="393"/>
        <v/>
      </c>
      <c r="T835" s="13" t="str">
        <f t="shared" si="403"/>
        <v/>
      </c>
      <c r="U835" s="14" t="str">
        <f t="shared" si="404"/>
        <v/>
      </c>
      <c r="V835" s="13" t="str">
        <f t="shared" si="405"/>
        <v/>
      </c>
      <c r="W835" s="13" t="str">
        <f t="shared" si="406"/>
        <v/>
      </c>
      <c r="X835" s="14" t="str">
        <f t="shared" si="407"/>
        <v/>
      </c>
    </row>
    <row r="836" spans="2:24" x14ac:dyDescent="0.3">
      <c r="B836" s="1">
        <f t="shared" si="395"/>
        <v>0</v>
      </c>
      <c r="C836" s="1">
        <f t="shared" si="396"/>
        <v>0</v>
      </c>
      <c r="D836" s="10">
        <f t="shared" si="397"/>
        <v>0</v>
      </c>
      <c r="E836" s="1">
        <f t="shared" si="398"/>
        <v>0</v>
      </c>
      <c r="F836" s="1">
        <f t="shared" si="399"/>
        <v>0</v>
      </c>
      <c r="G836" s="1">
        <f t="shared" si="400"/>
        <v>0</v>
      </c>
      <c r="H836" s="1">
        <f t="shared" si="408"/>
        <v>0</v>
      </c>
      <c r="I836" s="10">
        <f t="shared" si="401"/>
        <v>0</v>
      </c>
      <c r="J836" s="1">
        <f t="shared" si="409"/>
        <v>0</v>
      </c>
      <c r="K836" s="1">
        <f t="shared" si="410"/>
        <v>0</v>
      </c>
      <c r="L836" s="1" t="str">
        <f t="shared" si="411"/>
        <v>0</v>
      </c>
      <c r="M836" s="10">
        <f t="shared" si="412"/>
        <v>0</v>
      </c>
      <c r="N836" s="1">
        <f t="shared" si="402"/>
        <v>0</v>
      </c>
      <c r="O836" s="1">
        <f t="shared" si="394"/>
        <v>0</v>
      </c>
      <c r="P836" s="1">
        <f t="shared" si="413"/>
        <v>0</v>
      </c>
      <c r="Q836" s="3" t="str">
        <f t="shared" ref="Q836:Q899" si="414">IF($N836&gt;0,MID($A836,($N836+$O836),$P836-($N836+$O836)),"")</f>
        <v/>
      </c>
      <c r="T836" s="13" t="str">
        <f t="shared" si="403"/>
        <v/>
      </c>
      <c r="U836" s="14" t="str">
        <f t="shared" si="404"/>
        <v/>
      </c>
      <c r="V836" s="13" t="str">
        <f t="shared" si="405"/>
        <v/>
      </c>
      <c r="W836" s="13" t="str">
        <f t="shared" si="406"/>
        <v/>
      </c>
      <c r="X836" s="14" t="str">
        <f t="shared" si="407"/>
        <v/>
      </c>
    </row>
    <row r="837" spans="2:24" x14ac:dyDescent="0.3">
      <c r="B837" s="1">
        <f t="shared" si="395"/>
        <v>0</v>
      </c>
      <c r="C837" s="1">
        <f t="shared" si="396"/>
        <v>0</v>
      </c>
      <c r="D837" s="10">
        <f t="shared" si="397"/>
        <v>0</v>
      </c>
      <c r="E837" s="1">
        <f t="shared" si="398"/>
        <v>0</v>
      </c>
      <c r="F837" s="1">
        <f t="shared" si="399"/>
        <v>0</v>
      </c>
      <c r="G837" s="1">
        <f t="shared" si="400"/>
        <v>0</v>
      </c>
      <c r="H837" s="1">
        <f t="shared" si="408"/>
        <v>0</v>
      </c>
      <c r="I837" s="10">
        <f t="shared" si="401"/>
        <v>0</v>
      </c>
      <c r="J837" s="1">
        <f t="shared" si="409"/>
        <v>0</v>
      </c>
      <c r="K837" s="1">
        <f t="shared" si="410"/>
        <v>0</v>
      </c>
      <c r="L837" s="1" t="str">
        <f t="shared" si="411"/>
        <v>0</v>
      </c>
      <c r="M837" s="10">
        <f t="shared" si="412"/>
        <v>0</v>
      </c>
      <c r="N837" s="1">
        <f t="shared" si="402"/>
        <v>0</v>
      </c>
      <c r="O837" s="1">
        <f t="shared" ref="O837:O900" si="415">IFERROR(FIND("#",$A837)+1-N837,0)</f>
        <v>0</v>
      </c>
      <c r="P837" s="1">
        <f t="shared" si="413"/>
        <v>0</v>
      </c>
      <c r="Q837" s="3" t="str">
        <f t="shared" si="414"/>
        <v/>
      </c>
      <c r="T837" s="13" t="str">
        <f t="shared" si="403"/>
        <v/>
      </c>
      <c r="U837" s="14" t="str">
        <f t="shared" si="404"/>
        <v/>
      </c>
      <c r="V837" s="13" t="str">
        <f t="shared" si="405"/>
        <v/>
      </c>
      <c r="W837" s="13" t="str">
        <f t="shared" si="406"/>
        <v/>
      </c>
      <c r="X837" s="14" t="str">
        <f t="shared" si="407"/>
        <v/>
      </c>
    </row>
    <row r="838" spans="2:24" x14ac:dyDescent="0.3">
      <c r="B838" s="1">
        <f t="shared" si="395"/>
        <v>0</v>
      </c>
      <c r="C838" s="1">
        <f t="shared" si="396"/>
        <v>0</v>
      </c>
      <c r="D838" s="10">
        <f t="shared" si="397"/>
        <v>0</v>
      </c>
      <c r="E838" s="1">
        <f t="shared" si="398"/>
        <v>0</v>
      </c>
      <c r="F838" s="1">
        <f t="shared" si="399"/>
        <v>0</v>
      </c>
      <c r="G838" s="1">
        <f t="shared" si="400"/>
        <v>0</v>
      </c>
      <c r="H838" s="1">
        <f t="shared" si="408"/>
        <v>0</v>
      </c>
      <c r="I838" s="10">
        <f t="shared" si="401"/>
        <v>0</v>
      </c>
      <c r="J838" s="1">
        <f t="shared" si="409"/>
        <v>0</v>
      </c>
      <c r="K838" s="1">
        <f t="shared" si="410"/>
        <v>0</v>
      </c>
      <c r="L838" s="1" t="str">
        <f t="shared" si="411"/>
        <v>0</v>
      </c>
      <c r="M838" s="10">
        <f t="shared" si="412"/>
        <v>0</v>
      </c>
      <c r="N838" s="1">
        <f t="shared" si="402"/>
        <v>0</v>
      </c>
      <c r="O838" s="1">
        <f t="shared" si="415"/>
        <v>0</v>
      </c>
      <c r="P838" s="1">
        <f t="shared" si="413"/>
        <v>0</v>
      </c>
      <c r="Q838" s="3" t="str">
        <f t="shared" si="414"/>
        <v/>
      </c>
      <c r="T838" s="13" t="str">
        <f t="shared" si="403"/>
        <v/>
      </c>
      <c r="U838" s="14" t="str">
        <f t="shared" si="404"/>
        <v/>
      </c>
      <c r="V838" s="13" t="str">
        <f t="shared" si="405"/>
        <v/>
      </c>
      <c r="W838" s="13" t="str">
        <f t="shared" si="406"/>
        <v/>
      </c>
      <c r="X838" s="14" t="str">
        <f t="shared" si="407"/>
        <v/>
      </c>
    </row>
    <row r="839" spans="2:24" x14ac:dyDescent="0.3">
      <c r="B839" s="1">
        <f t="shared" ref="B839:B902" si="416">IFERROR(FIND("UP_SET(",$A839)+7,0)</f>
        <v>0</v>
      </c>
      <c r="C839" s="1">
        <f t="shared" ref="C839:C902" si="417">IF($B839&gt;0,FIND(",",$A839,$B839),0)</f>
        <v>0</v>
      </c>
      <c r="D839" s="10">
        <f t="shared" ref="D839:D902" si="418">IF($B839&gt;0,MID($A839,$B839,$C839-$B839),0)</f>
        <v>0</v>
      </c>
      <c r="E839" s="1">
        <f t="shared" ref="E839:E902" si="419">IF($B839&gt;0,FIND("Up",$A839,$C839),0)</f>
        <v>0</v>
      </c>
      <c r="F839" s="1">
        <f t="shared" ref="F839:F902" si="420">IF($B839&gt;0,IFERROR(FIND(",",$A839,$E839),0),0)</f>
        <v>0</v>
      </c>
      <c r="G839" s="1">
        <f t="shared" ref="G839:G902" si="421">IF($B839&gt;0,FIND(")",$A839,$B839),0)</f>
        <v>0</v>
      </c>
      <c r="H839" s="1">
        <f t="shared" si="408"/>
        <v>0</v>
      </c>
      <c r="I839" s="10">
        <f t="shared" ref="I839:I902" si="422">IF($B839&gt;0,MID($A839,$E839,$H839-$E839),0)</f>
        <v>0</v>
      </c>
      <c r="J839" s="1">
        <f t="shared" si="409"/>
        <v>0</v>
      </c>
      <c r="K839" s="1">
        <f t="shared" si="410"/>
        <v>0</v>
      </c>
      <c r="L839" s="1" t="str">
        <f t="shared" si="411"/>
        <v>0</v>
      </c>
      <c r="M839" s="10">
        <f t="shared" si="412"/>
        <v>0</v>
      </c>
      <c r="N839" s="1">
        <f t="shared" ref="N839:N902" si="423">IFERROR(FIND("/*",$A839)+2,0)</f>
        <v>0</v>
      </c>
      <c r="O839" s="1">
        <f t="shared" si="415"/>
        <v>0</v>
      </c>
      <c r="P839" s="1">
        <f t="shared" si="413"/>
        <v>0</v>
      </c>
      <c r="Q839" s="3" t="str">
        <f t="shared" si="414"/>
        <v/>
      </c>
      <c r="T839" s="13" t="str">
        <f t="shared" si="403"/>
        <v/>
      </c>
      <c r="U839" s="14" t="str">
        <f t="shared" si="404"/>
        <v/>
      </c>
      <c r="V839" s="13" t="str">
        <f t="shared" si="405"/>
        <v/>
      </c>
      <c r="W839" s="13" t="str">
        <f t="shared" si="406"/>
        <v/>
      </c>
      <c r="X839" s="14" t="str">
        <f t="shared" si="407"/>
        <v/>
      </c>
    </row>
    <row r="840" spans="2:24" x14ac:dyDescent="0.3">
      <c r="B840" s="1">
        <f t="shared" si="416"/>
        <v>0</v>
      </c>
      <c r="C840" s="1">
        <f t="shared" si="417"/>
        <v>0</v>
      </c>
      <c r="D840" s="10">
        <f t="shared" si="418"/>
        <v>0</v>
      </c>
      <c r="E840" s="1">
        <f t="shared" si="419"/>
        <v>0</v>
      </c>
      <c r="F840" s="1">
        <f t="shared" si="420"/>
        <v>0</v>
      </c>
      <c r="G840" s="1">
        <f t="shared" si="421"/>
        <v>0</v>
      </c>
      <c r="H840" s="1">
        <f t="shared" si="408"/>
        <v>0</v>
      </c>
      <c r="I840" s="10">
        <f t="shared" si="422"/>
        <v>0</v>
      </c>
      <c r="J840" s="1">
        <f t="shared" si="409"/>
        <v>0</v>
      </c>
      <c r="K840" s="1">
        <f t="shared" si="410"/>
        <v>0</v>
      </c>
      <c r="L840" s="1" t="str">
        <f t="shared" si="411"/>
        <v>0</v>
      </c>
      <c r="M840" s="10">
        <f t="shared" si="412"/>
        <v>0</v>
      </c>
      <c r="N840" s="1">
        <f t="shared" si="423"/>
        <v>0</v>
      </c>
      <c r="O840" s="1">
        <f t="shared" si="415"/>
        <v>0</v>
      </c>
      <c r="P840" s="1">
        <f t="shared" si="413"/>
        <v>0</v>
      </c>
      <c r="Q840" s="3" t="str">
        <f t="shared" si="414"/>
        <v/>
      </c>
      <c r="T840" s="13" t="str">
        <f t="shared" si="403"/>
        <v/>
      </c>
      <c r="U840" s="14" t="str">
        <f t="shared" si="404"/>
        <v/>
      </c>
      <c r="V840" s="13" t="str">
        <f t="shared" si="405"/>
        <v/>
      </c>
      <c r="W840" s="13" t="str">
        <f t="shared" si="406"/>
        <v/>
      </c>
      <c r="X840" s="14" t="str">
        <f t="shared" si="407"/>
        <v/>
      </c>
    </row>
    <row r="841" spans="2:24" x14ac:dyDescent="0.3">
      <c r="B841" s="1">
        <f t="shared" si="416"/>
        <v>0</v>
      </c>
      <c r="C841" s="1">
        <f t="shared" si="417"/>
        <v>0</v>
      </c>
      <c r="D841" s="10">
        <f t="shared" si="418"/>
        <v>0</v>
      </c>
      <c r="E841" s="1">
        <f t="shared" si="419"/>
        <v>0</v>
      </c>
      <c r="F841" s="1">
        <f t="shared" si="420"/>
        <v>0</v>
      </c>
      <c r="G841" s="1">
        <f t="shared" si="421"/>
        <v>0</v>
      </c>
      <c r="H841" s="1">
        <f t="shared" si="408"/>
        <v>0</v>
      </c>
      <c r="I841" s="10">
        <f t="shared" si="422"/>
        <v>0</v>
      </c>
      <c r="J841" s="1">
        <f t="shared" si="409"/>
        <v>0</v>
      </c>
      <c r="K841" s="1">
        <f t="shared" si="410"/>
        <v>0</v>
      </c>
      <c r="L841" s="1" t="str">
        <f t="shared" si="411"/>
        <v>0</v>
      </c>
      <c r="M841" s="10">
        <f t="shared" si="412"/>
        <v>0</v>
      </c>
      <c r="N841" s="1">
        <f t="shared" si="423"/>
        <v>0</v>
      </c>
      <c r="O841" s="1">
        <f t="shared" si="415"/>
        <v>0</v>
      </c>
      <c r="P841" s="1">
        <f t="shared" si="413"/>
        <v>0</v>
      </c>
      <c r="Q841" s="3" t="str">
        <f t="shared" si="414"/>
        <v/>
      </c>
      <c r="T841" s="13" t="str">
        <f t="shared" si="403"/>
        <v/>
      </c>
      <c r="U841" s="14" t="str">
        <f t="shared" si="404"/>
        <v/>
      </c>
      <c r="V841" s="13" t="str">
        <f t="shared" si="405"/>
        <v/>
      </c>
      <c r="W841" s="13" t="str">
        <f t="shared" si="406"/>
        <v/>
      </c>
      <c r="X841" s="14" t="str">
        <f t="shared" si="407"/>
        <v/>
      </c>
    </row>
    <row r="842" spans="2:24" x14ac:dyDescent="0.3">
      <c r="B842" s="1">
        <f t="shared" si="416"/>
        <v>0</v>
      </c>
      <c r="C842" s="1">
        <f t="shared" si="417"/>
        <v>0</v>
      </c>
      <c r="D842" s="10">
        <f t="shared" si="418"/>
        <v>0</v>
      </c>
      <c r="E842" s="1">
        <f t="shared" si="419"/>
        <v>0</v>
      </c>
      <c r="F842" s="1">
        <f t="shared" si="420"/>
        <v>0</v>
      </c>
      <c r="G842" s="1">
        <f t="shared" si="421"/>
        <v>0</v>
      </c>
      <c r="H842" s="1">
        <f t="shared" si="408"/>
        <v>0</v>
      </c>
      <c r="I842" s="10">
        <f t="shared" si="422"/>
        <v>0</v>
      </c>
      <c r="J842" s="1">
        <f t="shared" si="409"/>
        <v>0</v>
      </c>
      <c r="K842" s="1">
        <f t="shared" si="410"/>
        <v>0</v>
      </c>
      <c r="L842" s="1" t="str">
        <f t="shared" si="411"/>
        <v>0</v>
      </c>
      <c r="M842" s="10">
        <f t="shared" si="412"/>
        <v>0</v>
      </c>
      <c r="N842" s="1">
        <f t="shared" si="423"/>
        <v>0</v>
      </c>
      <c r="O842" s="1">
        <f t="shared" si="415"/>
        <v>0</v>
      </c>
      <c r="P842" s="1">
        <f t="shared" si="413"/>
        <v>0</v>
      </c>
      <c r="Q842" s="3" t="str">
        <f t="shared" si="414"/>
        <v/>
      </c>
      <c r="T842" s="13" t="str">
        <f t="shared" si="403"/>
        <v/>
      </c>
      <c r="U842" s="14" t="str">
        <f t="shared" si="404"/>
        <v/>
      </c>
      <c r="V842" s="13" t="str">
        <f t="shared" si="405"/>
        <v/>
      </c>
      <c r="W842" s="13" t="str">
        <f t="shared" si="406"/>
        <v/>
      </c>
      <c r="X842" s="14" t="str">
        <f t="shared" si="407"/>
        <v/>
      </c>
    </row>
    <row r="843" spans="2:24" x14ac:dyDescent="0.3">
      <c r="B843" s="1">
        <f t="shared" si="416"/>
        <v>0</v>
      </c>
      <c r="C843" s="1">
        <f t="shared" si="417"/>
        <v>0</v>
      </c>
      <c r="D843" s="10">
        <f t="shared" si="418"/>
        <v>0</v>
      </c>
      <c r="E843" s="1">
        <f t="shared" si="419"/>
        <v>0</v>
      </c>
      <c r="F843" s="1">
        <f t="shared" si="420"/>
        <v>0</v>
      </c>
      <c r="G843" s="1">
        <f t="shared" si="421"/>
        <v>0</v>
      </c>
      <c r="H843" s="1">
        <f t="shared" si="408"/>
        <v>0</v>
      </c>
      <c r="I843" s="10">
        <f t="shared" si="422"/>
        <v>0</v>
      </c>
      <c r="J843" s="1">
        <f t="shared" si="409"/>
        <v>0</v>
      </c>
      <c r="K843" s="1">
        <f t="shared" si="410"/>
        <v>0</v>
      </c>
      <c r="L843" s="1" t="str">
        <f t="shared" si="411"/>
        <v>0</v>
      </c>
      <c r="M843" s="10">
        <f t="shared" si="412"/>
        <v>0</v>
      </c>
      <c r="N843" s="1">
        <f t="shared" si="423"/>
        <v>0</v>
      </c>
      <c r="O843" s="1">
        <f t="shared" si="415"/>
        <v>0</v>
      </c>
      <c r="P843" s="1">
        <f t="shared" si="413"/>
        <v>0</v>
      </c>
      <c r="Q843" s="3" t="str">
        <f t="shared" si="414"/>
        <v/>
      </c>
      <c r="T843" s="13" t="str">
        <f t="shared" si="403"/>
        <v/>
      </c>
      <c r="U843" s="14" t="str">
        <f t="shared" si="404"/>
        <v/>
      </c>
      <c r="V843" s="13" t="str">
        <f t="shared" si="405"/>
        <v/>
      </c>
      <c r="W843" s="13" t="str">
        <f t="shared" si="406"/>
        <v/>
      </c>
      <c r="X843" s="14" t="str">
        <f t="shared" si="407"/>
        <v/>
      </c>
    </row>
    <row r="844" spans="2:24" x14ac:dyDescent="0.3">
      <c r="B844" s="1">
        <f t="shared" si="416"/>
        <v>0</v>
      </c>
      <c r="C844" s="1">
        <f t="shared" si="417"/>
        <v>0</v>
      </c>
      <c r="D844" s="10">
        <f t="shared" si="418"/>
        <v>0</v>
      </c>
      <c r="E844" s="1">
        <f t="shared" si="419"/>
        <v>0</v>
      </c>
      <c r="F844" s="1">
        <f t="shared" si="420"/>
        <v>0</v>
      </c>
      <c r="G844" s="1">
        <f t="shared" si="421"/>
        <v>0</v>
      </c>
      <c r="H844" s="1">
        <f t="shared" si="408"/>
        <v>0</v>
      </c>
      <c r="I844" s="10">
        <f t="shared" si="422"/>
        <v>0</v>
      </c>
      <c r="J844" s="1">
        <f t="shared" si="409"/>
        <v>0</v>
      </c>
      <c r="K844" s="1">
        <f t="shared" si="410"/>
        <v>0</v>
      </c>
      <c r="L844" s="1" t="str">
        <f t="shared" si="411"/>
        <v>0</v>
      </c>
      <c r="M844" s="10">
        <f t="shared" si="412"/>
        <v>0</v>
      </c>
      <c r="N844" s="1">
        <f t="shared" si="423"/>
        <v>0</v>
      </c>
      <c r="O844" s="1">
        <f t="shared" si="415"/>
        <v>0</v>
      </c>
      <c r="P844" s="1">
        <f t="shared" si="413"/>
        <v>0</v>
      </c>
      <c r="Q844" s="3" t="str">
        <f t="shared" si="414"/>
        <v/>
      </c>
      <c r="T844" s="13" t="str">
        <f t="shared" si="403"/>
        <v/>
      </c>
      <c r="U844" s="14" t="str">
        <f t="shared" si="404"/>
        <v/>
      </c>
      <c r="V844" s="13" t="str">
        <f t="shared" si="405"/>
        <v/>
      </c>
      <c r="W844" s="13" t="str">
        <f t="shared" si="406"/>
        <v/>
      </c>
      <c r="X844" s="14" t="str">
        <f t="shared" si="407"/>
        <v/>
      </c>
    </row>
    <row r="845" spans="2:24" x14ac:dyDescent="0.3">
      <c r="B845" s="1">
        <f t="shared" si="416"/>
        <v>0</v>
      </c>
      <c r="C845" s="1">
        <f t="shared" si="417"/>
        <v>0</v>
      </c>
      <c r="D845" s="10">
        <f t="shared" si="418"/>
        <v>0</v>
      </c>
      <c r="E845" s="1">
        <f t="shared" si="419"/>
        <v>0</v>
      </c>
      <c r="F845" s="1">
        <f t="shared" si="420"/>
        <v>0</v>
      </c>
      <c r="G845" s="1">
        <f t="shared" si="421"/>
        <v>0</v>
      </c>
      <c r="H845" s="1">
        <f t="shared" si="408"/>
        <v>0</v>
      </c>
      <c r="I845" s="10">
        <f t="shared" si="422"/>
        <v>0</v>
      </c>
      <c r="J845" s="1">
        <f t="shared" si="409"/>
        <v>0</v>
      </c>
      <c r="K845" s="1">
        <f t="shared" si="410"/>
        <v>0</v>
      </c>
      <c r="L845" s="1" t="str">
        <f t="shared" si="411"/>
        <v>0</v>
      </c>
      <c r="M845" s="10">
        <f t="shared" si="412"/>
        <v>0</v>
      </c>
      <c r="N845" s="1">
        <f t="shared" si="423"/>
        <v>0</v>
      </c>
      <c r="O845" s="1">
        <f t="shared" si="415"/>
        <v>0</v>
      </c>
      <c r="P845" s="1">
        <f t="shared" si="413"/>
        <v>0</v>
      </c>
      <c r="Q845" s="3" t="str">
        <f t="shared" si="414"/>
        <v/>
      </c>
      <c r="T845" s="13" t="str">
        <f t="shared" si="403"/>
        <v/>
      </c>
      <c r="U845" s="14" t="str">
        <f t="shared" si="404"/>
        <v/>
      </c>
      <c r="V845" s="13" t="str">
        <f t="shared" si="405"/>
        <v/>
      </c>
      <c r="W845" s="13" t="str">
        <f t="shared" si="406"/>
        <v/>
      </c>
      <c r="X845" s="14" t="str">
        <f t="shared" si="407"/>
        <v/>
      </c>
    </row>
    <row r="846" spans="2:24" x14ac:dyDescent="0.3">
      <c r="B846" s="1">
        <f t="shared" si="416"/>
        <v>0</v>
      </c>
      <c r="C846" s="1">
        <f t="shared" si="417"/>
        <v>0</v>
      </c>
      <c r="D846" s="10">
        <f t="shared" si="418"/>
        <v>0</v>
      </c>
      <c r="E846" s="1">
        <f t="shared" si="419"/>
        <v>0</v>
      </c>
      <c r="F846" s="1">
        <f t="shared" si="420"/>
        <v>0</v>
      </c>
      <c r="G846" s="1">
        <f t="shared" si="421"/>
        <v>0</v>
      </c>
      <c r="H846" s="1">
        <f t="shared" si="408"/>
        <v>0</v>
      </c>
      <c r="I846" s="10">
        <f t="shared" si="422"/>
        <v>0</v>
      </c>
      <c r="J846" s="1">
        <f t="shared" si="409"/>
        <v>0</v>
      </c>
      <c r="K846" s="1">
        <f t="shared" si="410"/>
        <v>0</v>
      </c>
      <c r="L846" s="1" t="str">
        <f t="shared" si="411"/>
        <v>0</v>
      </c>
      <c r="M846" s="10">
        <f t="shared" si="412"/>
        <v>0</v>
      </c>
      <c r="N846" s="1">
        <f t="shared" si="423"/>
        <v>0</v>
      </c>
      <c r="O846" s="1">
        <f t="shared" si="415"/>
        <v>0</v>
      </c>
      <c r="P846" s="1">
        <f t="shared" si="413"/>
        <v>0</v>
      </c>
      <c r="Q846" s="3" t="str">
        <f t="shared" si="414"/>
        <v/>
      </c>
      <c r="T846" s="13" t="str">
        <f t="shared" si="403"/>
        <v/>
      </c>
      <c r="U846" s="14" t="str">
        <f t="shared" si="404"/>
        <v/>
      </c>
      <c r="V846" s="13" t="str">
        <f t="shared" si="405"/>
        <v/>
      </c>
      <c r="W846" s="13" t="str">
        <f t="shared" si="406"/>
        <v/>
      </c>
      <c r="X846" s="14" t="str">
        <f t="shared" si="407"/>
        <v/>
      </c>
    </row>
    <row r="847" spans="2:24" x14ac:dyDescent="0.3">
      <c r="B847" s="1">
        <f t="shared" si="416"/>
        <v>0</v>
      </c>
      <c r="C847" s="1">
        <f t="shared" si="417"/>
        <v>0</v>
      </c>
      <c r="D847" s="10">
        <f t="shared" si="418"/>
        <v>0</v>
      </c>
      <c r="E847" s="1">
        <f t="shared" si="419"/>
        <v>0</v>
      </c>
      <c r="F847" s="1">
        <f t="shared" si="420"/>
        <v>0</v>
      </c>
      <c r="G847" s="1">
        <f t="shared" si="421"/>
        <v>0</v>
      </c>
      <c r="H847" s="1">
        <f t="shared" si="408"/>
        <v>0</v>
      </c>
      <c r="I847" s="10">
        <f t="shared" si="422"/>
        <v>0</v>
      </c>
      <c r="J847" s="1">
        <f t="shared" si="409"/>
        <v>0</v>
      </c>
      <c r="K847" s="1">
        <f t="shared" si="410"/>
        <v>0</v>
      </c>
      <c r="L847" s="1" t="str">
        <f t="shared" si="411"/>
        <v>0</v>
      </c>
      <c r="M847" s="10">
        <f t="shared" si="412"/>
        <v>0</v>
      </c>
      <c r="N847" s="1">
        <f t="shared" si="423"/>
        <v>0</v>
      </c>
      <c r="O847" s="1">
        <f t="shared" si="415"/>
        <v>0</v>
      </c>
      <c r="P847" s="1">
        <f t="shared" si="413"/>
        <v>0</v>
      </c>
      <c r="Q847" s="3" t="str">
        <f t="shared" si="414"/>
        <v/>
      </c>
      <c r="T847" s="13" t="str">
        <f t="shared" si="403"/>
        <v/>
      </c>
      <c r="U847" s="14" t="str">
        <f t="shared" si="404"/>
        <v/>
      </c>
      <c r="V847" s="13" t="str">
        <f t="shared" si="405"/>
        <v/>
      </c>
      <c r="W847" s="13" t="str">
        <f t="shared" si="406"/>
        <v/>
      </c>
      <c r="X847" s="14" t="str">
        <f t="shared" si="407"/>
        <v/>
      </c>
    </row>
    <row r="848" spans="2:24" x14ac:dyDescent="0.3">
      <c r="B848" s="1">
        <f t="shared" si="416"/>
        <v>0</v>
      </c>
      <c r="C848" s="1">
        <f t="shared" si="417"/>
        <v>0</v>
      </c>
      <c r="D848" s="10">
        <f t="shared" si="418"/>
        <v>0</v>
      </c>
      <c r="E848" s="1">
        <f t="shared" si="419"/>
        <v>0</v>
      </c>
      <c r="F848" s="1">
        <f t="shared" si="420"/>
        <v>0</v>
      </c>
      <c r="G848" s="1">
        <f t="shared" si="421"/>
        <v>0</v>
      </c>
      <c r="H848" s="1">
        <f t="shared" si="408"/>
        <v>0</v>
      </c>
      <c r="I848" s="10">
        <f t="shared" si="422"/>
        <v>0</v>
      </c>
      <c r="J848" s="1">
        <f t="shared" si="409"/>
        <v>0</v>
      </c>
      <c r="K848" s="1">
        <f t="shared" si="410"/>
        <v>0</v>
      </c>
      <c r="L848" s="1" t="str">
        <f t="shared" si="411"/>
        <v>0</v>
      </c>
      <c r="M848" s="10">
        <f t="shared" si="412"/>
        <v>0</v>
      </c>
      <c r="N848" s="1">
        <f t="shared" si="423"/>
        <v>0</v>
      </c>
      <c r="O848" s="1">
        <f t="shared" si="415"/>
        <v>0</v>
      </c>
      <c r="P848" s="1">
        <f t="shared" si="413"/>
        <v>0</v>
      </c>
      <c r="Q848" s="3" t="str">
        <f t="shared" si="414"/>
        <v/>
      </c>
      <c r="T848" s="13" t="str">
        <f t="shared" si="403"/>
        <v/>
      </c>
      <c r="U848" s="14" t="str">
        <f t="shared" si="404"/>
        <v/>
      </c>
      <c r="V848" s="13" t="str">
        <f t="shared" si="405"/>
        <v/>
      </c>
      <c r="W848" s="13" t="str">
        <f t="shared" si="406"/>
        <v/>
      </c>
      <c r="X848" s="14" t="str">
        <f t="shared" si="407"/>
        <v/>
      </c>
    </row>
    <row r="849" spans="2:24" x14ac:dyDescent="0.3">
      <c r="B849" s="1">
        <f t="shared" si="416"/>
        <v>0</v>
      </c>
      <c r="C849" s="1">
        <f t="shared" si="417"/>
        <v>0</v>
      </c>
      <c r="D849" s="10">
        <f t="shared" si="418"/>
        <v>0</v>
      </c>
      <c r="E849" s="1">
        <f t="shared" si="419"/>
        <v>0</v>
      </c>
      <c r="F849" s="1">
        <f t="shared" si="420"/>
        <v>0</v>
      </c>
      <c r="G849" s="1">
        <f t="shared" si="421"/>
        <v>0</v>
      </c>
      <c r="H849" s="1">
        <f t="shared" si="408"/>
        <v>0</v>
      </c>
      <c r="I849" s="10">
        <f t="shared" si="422"/>
        <v>0</v>
      </c>
      <c r="J849" s="1">
        <f t="shared" si="409"/>
        <v>0</v>
      </c>
      <c r="K849" s="1">
        <f t="shared" si="410"/>
        <v>0</v>
      </c>
      <c r="L849" s="1" t="str">
        <f t="shared" si="411"/>
        <v>0</v>
      </c>
      <c r="M849" s="10">
        <f t="shared" si="412"/>
        <v>0</v>
      </c>
      <c r="N849" s="1">
        <f t="shared" si="423"/>
        <v>0</v>
      </c>
      <c r="O849" s="1">
        <f t="shared" si="415"/>
        <v>0</v>
      </c>
      <c r="P849" s="1">
        <f t="shared" si="413"/>
        <v>0</v>
      </c>
      <c r="Q849" s="3" t="str">
        <f t="shared" si="414"/>
        <v/>
      </c>
      <c r="T849" s="13" t="str">
        <f t="shared" si="403"/>
        <v/>
      </c>
      <c r="U849" s="14" t="str">
        <f t="shared" si="404"/>
        <v/>
      </c>
      <c r="V849" s="13" t="str">
        <f t="shared" si="405"/>
        <v/>
      </c>
      <c r="W849" s="13" t="str">
        <f t="shared" si="406"/>
        <v/>
      </c>
      <c r="X849" s="14" t="str">
        <f t="shared" si="407"/>
        <v/>
      </c>
    </row>
    <row r="850" spans="2:24" x14ac:dyDescent="0.3">
      <c r="B850" s="1">
        <f t="shared" si="416"/>
        <v>0</v>
      </c>
      <c r="C850" s="1">
        <f t="shared" si="417"/>
        <v>0</v>
      </c>
      <c r="D850" s="10">
        <f t="shared" si="418"/>
        <v>0</v>
      </c>
      <c r="E850" s="1">
        <f t="shared" si="419"/>
        <v>0</v>
      </c>
      <c r="F850" s="1">
        <f t="shared" si="420"/>
        <v>0</v>
      </c>
      <c r="G850" s="1">
        <f t="shared" si="421"/>
        <v>0</v>
      </c>
      <c r="H850" s="1">
        <f t="shared" si="408"/>
        <v>0</v>
      </c>
      <c r="I850" s="10">
        <f t="shared" si="422"/>
        <v>0</v>
      </c>
      <c r="J850" s="1">
        <f t="shared" si="409"/>
        <v>0</v>
      </c>
      <c r="K850" s="1">
        <f t="shared" si="410"/>
        <v>0</v>
      </c>
      <c r="L850" s="1" t="str">
        <f t="shared" si="411"/>
        <v>0</v>
      </c>
      <c r="M850" s="10">
        <f t="shared" si="412"/>
        <v>0</v>
      </c>
      <c r="N850" s="1">
        <f t="shared" si="423"/>
        <v>0</v>
      </c>
      <c r="O850" s="1">
        <f t="shared" si="415"/>
        <v>0</v>
      </c>
      <c r="P850" s="1">
        <f t="shared" si="413"/>
        <v>0</v>
      </c>
      <c r="Q850" s="3" t="str">
        <f t="shared" si="414"/>
        <v/>
      </c>
      <c r="T850" s="13" t="str">
        <f t="shared" si="403"/>
        <v/>
      </c>
      <c r="U850" s="14" t="str">
        <f t="shared" si="404"/>
        <v/>
      </c>
      <c r="V850" s="13" t="str">
        <f t="shared" si="405"/>
        <v/>
      </c>
      <c r="W850" s="13" t="str">
        <f t="shared" si="406"/>
        <v/>
      </c>
      <c r="X850" s="14" t="str">
        <f t="shared" si="407"/>
        <v/>
      </c>
    </row>
    <row r="851" spans="2:24" x14ac:dyDescent="0.3">
      <c r="B851" s="1">
        <f t="shared" si="416"/>
        <v>0</v>
      </c>
      <c r="C851" s="1">
        <f t="shared" si="417"/>
        <v>0</v>
      </c>
      <c r="D851" s="10">
        <f t="shared" si="418"/>
        <v>0</v>
      </c>
      <c r="E851" s="1">
        <f t="shared" si="419"/>
        <v>0</v>
      </c>
      <c r="F851" s="1">
        <f t="shared" si="420"/>
        <v>0</v>
      </c>
      <c r="G851" s="1">
        <f t="shared" si="421"/>
        <v>0</v>
      </c>
      <c r="H851" s="1">
        <f t="shared" si="408"/>
        <v>0</v>
      </c>
      <c r="I851" s="10">
        <f t="shared" si="422"/>
        <v>0</v>
      </c>
      <c r="J851" s="1">
        <f t="shared" si="409"/>
        <v>0</v>
      </c>
      <c r="K851" s="1">
        <f t="shared" si="410"/>
        <v>0</v>
      </c>
      <c r="L851" s="1" t="str">
        <f t="shared" si="411"/>
        <v>0</v>
      </c>
      <c r="M851" s="10">
        <f t="shared" si="412"/>
        <v>0</v>
      </c>
      <c r="N851" s="1">
        <f t="shared" si="423"/>
        <v>0</v>
      </c>
      <c r="O851" s="1">
        <f t="shared" si="415"/>
        <v>0</v>
      </c>
      <c r="P851" s="1">
        <f t="shared" si="413"/>
        <v>0</v>
      </c>
      <c r="Q851" s="3" t="str">
        <f t="shared" si="414"/>
        <v/>
      </c>
      <c r="T851" s="13" t="str">
        <f t="shared" ref="T851:T914" si="424">IF(A851="",IF(A850="","",$T$1),IF(O851=1,"#",IF(B851=0,"*",DEC2HEX(R851))))</f>
        <v/>
      </c>
      <c r="U851" s="14" t="str">
        <f t="shared" ref="U851:U914" si="425">IF(A851="",IF(A850="","",$U$1),  IF(B851=0,Q851,I851)  )</f>
        <v/>
      </c>
      <c r="V851" s="13" t="str">
        <f t="shared" ref="V851:V914" si="426">IF(U851=$U$1,"",IF(A851="",IF(A850="","",1),  IF(B851=0,1,D851)  ))</f>
        <v/>
      </c>
      <c r="W851" s="13" t="str">
        <f t="shared" ref="W851:W914" si="427">IF(U851=$U$1,"",IF(A851="",IF(A850="","",0),  IF(C851=0,0,0)  ))</f>
        <v/>
      </c>
      <c r="X851" s="14" t="str">
        <f t="shared" ref="X851:X914" si="428">IF(U851=$U$1,"",IF(U851="","",IF(B851&gt;0,IF(Q851&lt;&gt;"",Q851,"No description"),"-")))</f>
        <v/>
      </c>
    </row>
    <row r="852" spans="2:24" x14ac:dyDescent="0.3">
      <c r="B852" s="1">
        <f t="shared" si="416"/>
        <v>0</v>
      </c>
      <c r="C852" s="1">
        <f t="shared" si="417"/>
        <v>0</v>
      </c>
      <c r="D852" s="10">
        <f t="shared" si="418"/>
        <v>0</v>
      </c>
      <c r="E852" s="1">
        <f t="shared" si="419"/>
        <v>0</v>
      </c>
      <c r="F852" s="1">
        <f t="shared" si="420"/>
        <v>0</v>
      </c>
      <c r="G852" s="1">
        <f t="shared" si="421"/>
        <v>0</v>
      </c>
      <c r="H852" s="1">
        <f t="shared" si="408"/>
        <v>0</v>
      </c>
      <c r="I852" s="10">
        <f t="shared" si="422"/>
        <v>0</v>
      </c>
      <c r="J852" s="1">
        <f t="shared" si="409"/>
        <v>0</v>
      </c>
      <c r="K852" s="1">
        <f t="shared" si="410"/>
        <v>0</v>
      </c>
      <c r="L852" s="1" t="str">
        <f t="shared" si="411"/>
        <v>0</v>
      </c>
      <c r="M852" s="10">
        <f t="shared" si="412"/>
        <v>0</v>
      </c>
      <c r="N852" s="1">
        <f t="shared" si="423"/>
        <v>0</v>
      </c>
      <c r="O852" s="1">
        <f t="shared" si="415"/>
        <v>0</v>
      </c>
      <c r="P852" s="1">
        <f t="shared" si="413"/>
        <v>0</v>
      </c>
      <c r="Q852" s="3" t="str">
        <f t="shared" si="414"/>
        <v/>
      </c>
      <c r="T852" s="13" t="str">
        <f t="shared" si="424"/>
        <v/>
      </c>
      <c r="U852" s="14" t="str">
        <f t="shared" si="425"/>
        <v/>
      </c>
      <c r="V852" s="13" t="str">
        <f t="shared" si="426"/>
        <v/>
      </c>
      <c r="W852" s="13" t="str">
        <f t="shared" si="427"/>
        <v/>
      </c>
      <c r="X852" s="14" t="str">
        <f t="shared" si="428"/>
        <v/>
      </c>
    </row>
    <row r="853" spans="2:24" x14ac:dyDescent="0.3">
      <c r="B853" s="1">
        <f t="shared" si="416"/>
        <v>0</v>
      </c>
      <c r="C853" s="1">
        <f t="shared" si="417"/>
        <v>0</v>
      </c>
      <c r="D853" s="10">
        <f t="shared" si="418"/>
        <v>0</v>
      </c>
      <c r="E853" s="1">
        <f t="shared" si="419"/>
        <v>0</v>
      </c>
      <c r="F853" s="1">
        <f t="shared" si="420"/>
        <v>0</v>
      </c>
      <c r="G853" s="1">
        <f t="shared" si="421"/>
        <v>0</v>
      </c>
      <c r="H853" s="1">
        <f t="shared" si="408"/>
        <v>0</v>
      </c>
      <c r="I853" s="10">
        <f t="shared" si="422"/>
        <v>0</v>
      </c>
      <c r="J853" s="1">
        <f t="shared" si="409"/>
        <v>0</v>
      </c>
      <c r="K853" s="1">
        <f t="shared" si="410"/>
        <v>0</v>
      </c>
      <c r="L853" s="1" t="str">
        <f t="shared" si="411"/>
        <v>0</v>
      </c>
      <c r="M853" s="10">
        <f t="shared" si="412"/>
        <v>0</v>
      </c>
      <c r="N853" s="1">
        <f t="shared" si="423"/>
        <v>0</v>
      </c>
      <c r="O853" s="1">
        <f t="shared" si="415"/>
        <v>0</v>
      </c>
      <c r="P853" s="1">
        <f t="shared" si="413"/>
        <v>0</v>
      </c>
      <c r="Q853" s="3" t="str">
        <f t="shared" si="414"/>
        <v/>
      </c>
      <c r="T853" s="13" t="str">
        <f t="shared" si="424"/>
        <v/>
      </c>
      <c r="U853" s="14" t="str">
        <f t="shared" si="425"/>
        <v/>
      </c>
      <c r="V853" s="13" t="str">
        <f t="shared" si="426"/>
        <v/>
      </c>
      <c r="W853" s="13" t="str">
        <f t="shared" si="427"/>
        <v/>
      </c>
      <c r="X853" s="14" t="str">
        <f t="shared" si="428"/>
        <v/>
      </c>
    </row>
    <row r="854" spans="2:24" x14ac:dyDescent="0.3">
      <c r="B854" s="1">
        <f t="shared" si="416"/>
        <v>0</v>
      </c>
      <c r="C854" s="1">
        <f t="shared" si="417"/>
        <v>0</v>
      </c>
      <c r="D854" s="10">
        <f t="shared" si="418"/>
        <v>0</v>
      </c>
      <c r="E854" s="1">
        <f t="shared" si="419"/>
        <v>0</v>
      </c>
      <c r="F854" s="1">
        <f t="shared" si="420"/>
        <v>0</v>
      </c>
      <c r="G854" s="1">
        <f t="shared" si="421"/>
        <v>0</v>
      </c>
      <c r="H854" s="1">
        <f t="shared" si="408"/>
        <v>0</v>
      </c>
      <c r="I854" s="10">
        <f t="shared" si="422"/>
        <v>0</v>
      </c>
      <c r="J854" s="1">
        <f t="shared" si="409"/>
        <v>0</v>
      </c>
      <c r="K854" s="1">
        <f t="shared" si="410"/>
        <v>0</v>
      </c>
      <c r="L854" s="1" t="str">
        <f t="shared" si="411"/>
        <v>0</v>
      </c>
      <c r="M854" s="10">
        <f t="shared" si="412"/>
        <v>0</v>
      </c>
      <c r="N854" s="1">
        <f t="shared" si="423"/>
        <v>0</v>
      </c>
      <c r="O854" s="1">
        <f t="shared" si="415"/>
        <v>0</v>
      </c>
      <c r="P854" s="1">
        <f t="shared" si="413"/>
        <v>0</v>
      </c>
      <c r="Q854" s="3" t="str">
        <f t="shared" si="414"/>
        <v/>
      </c>
      <c r="T854" s="13" t="str">
        <f t="shared" si="424"/>
        <v/>
      </c>
      <c r="U854" s="14" t="str">
        <f t="shared" si="425"/>
        <v/>
      </c>
      <c r="V854" s="13" t="str">
        <f t="shared" si="426"/>
        <v/>
      </c>
      <c r="W854" s="13" t="str">
        <f t="shared" si="427"/>
        <v/>
      </c>
      <c r="X854" s="14" t="str">
        <f t="shared" si="428"/>
        <v/>
      </c>
    </row>
    <row r="855" spans="2:24" x14ac:dyDescent="0.3">
      <c r="B855" s="1">
        <f t="shared" si="416"/>
        <v>0</v>
      </c>
      <c r="C855" s="1">
        <f t="shared" si="417"/>
        <v>0</v>
      </c>
      <c r="D855" s="10">
        <f t="shared" si="418"/>
        <v>0</v>
      </c>
      <c r="E855" s="1">
        <f t="shared" si="419"/>
        <v>0</v>
      </c>
      <c r="F855" s="1">
        <f t="shared" si="420"/>
        <v>0</v>
      </c>
      <c r="G855" s="1">
        <f t="shared" si="421"/>
        <v>0</v>
      </c>
      <c r="H855" s="1">
        <f t="shared" si="408"/>
        <v>0</v>
      </c>
      <c r="I855" s="10">
        <f t="shared" si="422"/>
        <v>0</v>
      </c>
      <c r="J855" s="1">
        <f t="shared" si="409"/>
        <v>0</v>
      </c>
      <c r="K855" s="1">
        <f t="shared" si="410"/>
        <v>0</v>
      </c>
      <c r="L855" s="1" t="str">
        <f t="shared" si="411"/>
        <v>0</v>
      </c>
      <c r="M855" s="10">
        <f t="shared" si="412"/>
        <v>0</v>
      </c>
      <c r="N855" s="1">
        <f t="shared" si="423"/>
        <v>0</v>
      </c>
      <c r="O855" s="1">
        <f t="shared" si="415"/>
        <v>0</v>
      </c>
      <c r="P855" s="1">
        <f t="shared" si="413"/>
        <v>0</v>
      </c>
      <c r="Q855" s="3" t="str">
        <f t="shared" si="414"/>
        <v/>
      </c>
      <c r="T855" s="13" t="str">
        <f t="shared" si="424"/>
        <v/>
      </c>
      <c r="U855" s="14" t="str">
        <f t="shared" si="425"/>
        <v/>
      </c>
      <c r="V855" s="13" t="str">
        <f t="shared" si="426"/>
        <v/>
      </c>
      <c r="W855" s="13" t="str">
        <f t="shared" si="427"/>
        <v/>
      </c>
      <c r="X855" s="14" t="str">
        <f t="shared" si="428"/>
        <v/>
      </c>
    </row>
    <row r="856" spans="2:24" x14ac:dyDescent="0.3">
      <c r="B856" s="1">
        <f t="shared" si="416"/>
        <v>0</v>
      </c>
      <c r="C856" s="1">
        <f t="shared" si="417"/>
        <v>0</v>
      </c>
      <c r="D856" s="10">
        <f t="shared" si="418"/>
        <v>0</v>
      </c>
      <c r="E856" s="1">
        <f t="shared" si="419"/>
        <v>0</v>
      </c>
      <c r="F856" s="1">
        <f t="shared" si="420"/>
        <v>0</v>
      </c>
      <c r="G856" s="1">
        <f t="shared" si="421"/>
        <v>0</v>
      </c>
      <c r="H856" s="1">
        <f t="shared" si="408"/>
        <v>0</v>
      </c>
      <c r="I856" s="10">
        <f t="shared" si="422"/>
        <v>0</v>
      </c>
      <c r="J856" s="1">
        <f t="shared" si="409"/>
        <v>0</v>
      </c>
      <c r="K856" s="1">
        <f t="shared" si="410"/>
        <v>0</v>
      </c>
      <c r="L856" s="1" t="str">
        <f t="shared" si="411"/>
        <v>0</v>
      </c>
      <c r="M856" s="10">
        <f t="shared" si="412"/>
        <v>0</v>
      </c>
      <c r="N856" s="1">
        <f t="shared" si="423"/>
        <v>0</v>
      </c>
      <c r="O856" s="1">
        <f t="shared" si="415"/>
        <v>0</v>
      </c>
      <c r="P856" s="1">
        <f t="shared" si="413"/>
        <v>0</v>
      </c>
      <c r="Q856" s="3" t="str">
        <f t="shared" si="414"/>
        <v/>
      </c>
      <c r="T856" s="13" t="str">
        <f t="shared" si="424"/>
        <v/>
      </c>
      <c r="U856" s="14" t="str">
        <f t="shared" si="425"/>
        <v/>
      </c>
      <c r="V856" s="13" t="str">
        <f t="shared" si="426"/>
        <v/>
      </c>
      <c r="W856" s="13" t="str">
        <f t="shared" si="427"/>
        <v/>
      </c>
      <c r="X856" s="14" t="str">
        <f t="shared" si="428"/>
        <v/>
      </c>
    </row>
    <row r="857" spans="2:24" x14ac:dyDescent="0.3">
      <c r="B857" s="1">
        <f t="shared" si="416"/>
        <v>0</v>
      </c>
      <c r="C857" s="1">
        <f t="shared" si="417"/>
        <v>0</v>
      </c>
      <c r="D857" s="10">
        <f t="shared" si="418"/>
        <v>0</v>
      </c>
      <c r="E857" s="1">
        <f t="shared" si="419"/>
        <v>0</v>
      </c>
      <c r="F857" s="1">
        <f t="shared" si="420"/>
        <v>0</v>
      </c>
      <c r="G857" s="1">
        <f t="shared" si="421"/>
        <v>0</v>
      </c>
      <c r="H857" s="1">
        <f t="shared" si="408"/>
        <v>0</v>
      </c>
      <c r="I857" s="10">
        <f t="shared" si="422"/>
        <v>0</v>
      </c>
      <c r="J857" s="1">
        <f t="shared" si="409"/>
        <v>0</v>
      </c>
      <c r="K857" s="1">
        <f t="shared" si="410"/>
        <v>0</v>
      </c>
      <c r="L857" s="1" t="str">
        <f t="shared" si="411"/>
        <v>0</v>
      </c>
      <c r="M857" s="10">
        <f t="shared" si="412"/>
        <v>0</v>
      </c>
      <c r="N857" s="1">
        <f t="shared" si="423"/>
        <v>0</v>
      </c>
      <c r="O857" s="1">
        <f t="shared" si="415"/>
        <v>0</v>
      </c>
      <c r="P857" s="1">
        <f t="shared" si="413"/>
        <v>0</v>
      </c>
      <c r="Q857" s="3" t="str">
        <f t="shared" si="414"/>
        <v/>
      </c>
      <c r="T857" s="13" t="str">
        <f t="shared" si="424"/>
        <v/>
      </c>
      <c r="U857" s="14" t="str">
        <f t="shared" si="425"/>
        <v/>
      </c>
      <c r="V857" s="13" t="str">
        <f t="shared" si="426"/>
        <v/>
      </c>
      <c r="W857" s="13" t="str">
        <f t="shared" si="427"/>
        <v/>
      </c>
      <c r="X857" s="14" t="str">
        <f t="shared" si="428"/>
        <v/>
      </c>
    </row>
    <row r="858" spans="2:24" x14ac:dyDescent="0.3">
      <c r="B858" s="1">
        <f t="shared" si="416"/>
        <v>0</v>
      </c>
      <c r="C858" s="1">
        <f t="shared" si="417"/>
        <v>0</v>
      </c>
      <c r="D858" s="10">
        <f t="shared" si="418"/>
        <v>0</v>
      </c>
      <c r="E858" s="1">
        <f t="shared" si="419"/>
        <v>0</v>
      </c>
      <c r="F858" s="1">
        <f t="shared" si="420"/>
        <v>0</v>
      </c>
      <c r="G858" s="1">
        <f t="shared" si="421"/>
        <v>0</v>
      </c>
      <c r="H858" s="1">
        <f t="shared" si="408"/>
        <v>0</v>
      </c>
      <c r="I858" s="10">
        <f t="shared" si="422"/>
        <v>0</v>
      </c>
      <c r="J858" s="1">
        <f t="shared" si="409"/>
        <v>0</v>
      </c>
      <c r="K858" s="1">
        <f t="shared" si="410"/>
        <v>0</v>
      </c>
      <c r="L858" s="1" t="str">
        <f t="shared" si="411"/>
        <v>0</v>
      </c>
      <c r="M858" s="10">
        <f t="shared" si="412"/>
        <v>0</v>
      </c>
      <c r="N858" s="1">
        <f t="shared" si="423"/>
        <v>0</v>
      </c>
      <c r="O858" s="1">
        <f t="shared" si="415"/>
        <v>0</v>
      </c>
      <c r="P858" s="1">
        <f t="shared" si="413"/>
        <v>0</v>
      </c>
      <c r="Q858" s="3" t="str">
        <f t="shared" si="414"/>
        <v/>
      </c>
      <c r="T858" s="13" t="str">
        <f t="shared" si="424"/>
        <v/>
      </c>
      <c r="U858" s="14" t="str">
        <f t="shared" si="425"/>
        <v/>
      </c>
      <c r="V858" s="13" t="str">
        <f t="shared" si="426"/>
        <v/>
      </c>
      <c r="W858" s="13" t="str">
        <f t="shared" si="427"/>
        <v/>
      </c>
      <c r="X858" s="14" t="str">
        <f t="shared" si="428"/>
        <v/>
      </c>
    </row>
    <row r="859" spans="2:24" x14ac:dyDescent="0.3">
      <c r="B859" s="1">
        <f t="shared" si="416"/>
        <v>0</v>
      </c>
      <c r="C859" s="1">
        <f t="shared" si="417"/>
        <v>0</v>
      </c>
      <c r="D859" s="10">
        <f t="shared" si="418"/>
        <v>0</v>
      </c>
      <c r="E859" s="1">
        <f t="shared" si="419"/>
        <v>0</v>
      </c>
      <c r="F859" s="1">
        <f t="shared" si="420"/>
        <v>0</v>
      </c>
      <c r="G859" s="1">
        <f t="shared" si="421"/>
        <v>0</v>
      </c>
      <c r="H859" s="1">
        <f t="shared" si="408"/>
        <v>0</v>
      </c>
      <c r="I859" s="10">
        <f t="shared" si="422"/>
        <v>0</v>
      </c>
      <c r="J859" s="1">
        <f t="shared" si="409"/>
        <v>0</v>
      </c>
      <c r="K859" s="1">
        <f t="shared" si="410"/>
        <v>0</v>
      </c>
      <c r="L859" s="1" t="str">
        <f t="shared" si="411"/>
        <v>0</v>
      </c>
      <c r="M859" s="10">
        <f t="shared" si="412"/>
        <v>0</v>
      </c>
      <c r="N859" s="1">
        <f t="shared" si="423"/>
        <v>0</v>
      </c>
      <c r="O859" s="1">
        <f t="shared" si="415"/>
        <v>0</v>
      </c>
      <c r="P859" s="1">
        <f t="shared" si="413"/>
        <v>0</v>
      </c>
      <c r="Q859" s="3" t="str">
        <f t="shared" si="414"/>
        <v/>
      </c>
      <c r="T859" s="13" t="str">
        <f t="shared" si="424"/>
        <v/>
      </c>
      <c r="U859" s="14" t="str">
        <f t="shared" si="425"/>
        <v/>
      </c>
      <c r="V859" s="13" t="str">
        <f t="shared" si="426"/>
        <v/>
      </c>
      <c r="W859" s="13" t="str">
        <f t="shared" si="427"/>
        <v/>
      </c>
      <c r="X859" s="14" t="str">
        <f t="shared" si="428"/>
        <v/>
      </c>
    </row>
    <row r="860" spans="2:24" x14ac:dyDescent="0.3">
      <c r="B860" s="1">
        <f t="shared" si="416"/>
        <v>0</v>
      </c>
      <c r="C860" s="1">
        <f t="shared" si="417"/>
        <v>0</v>
      </c>
      <c r="D860" s="10">
        <f t="shared" si="418"/>
        <v>0</v>
      </c>
      <c r="E860" s="1">
        <f t="shared" si="419"/>
        <v>0</v>
      </c>
      <c r="F860" s="1">
        <f t="shared" si="420"/>
        <v>0</v>
      </c>
      <c r="G860" s="1">
        <f t="shared" si="421"/>
        <v>0</v>
      </c>
      <c r="H860" s="1">
        <f t="shared" si="408"/>
        <v>0</v>
      </c>
      <c r="I860" s="10">
        <f t="shared" si="422"/>
        <v>0</v>
      </c>
      <c r="J860" s="1">
        <f t="shared" si="409"/>
        <v>0</v>
      </c>
      <c r="K860" s="1">
        <f t="shared" si="410"/>
        <v>0</v>
      </c>
      <c r="L860" s="1" t="str">
        <f t="shared" si="411"/>
        <v>0</v>
      </c>
      <c r="M860" s="10">
        <f t="shared" si="412"/>
        <v>0</v>
      </c>
      <c r="N860" s="1">
        <f t="shared" si="423"/>
        <v>0</v>
      </c>
      <c r="O860" s="1">
        <f t="shared" si="415"/>
        <v>0</v>
      </c>
      <c r="P860" s="1">
        <f t="shared" si="413"/>
        <v>0</v>
      </c>
      <c r="Q860" s="3" t="str">
        <f t="shared" si="414"/>
        <v/>
      </c>
      <c r="T860" s="13" t="str">
        <f t="shared" si="424"/>
        <v/>
      </c>
      <c r="U860" s="14" t="str">
        <f t="shared" si="425"/>
        <v/>
      </c>
      <c r="V860" s="13" t="str">
        <f t="shared" si="426"/>
        <v/>
      </c>
      <c r="W860" s="13" t="str">
        <f t="shared" si="427"/>
        <v/>
      </c>
      <c r="X860" s="14" t="str">
        <f t="shared" si="428"/>
        <v/>
      </c>
    </row>
    <row r="861" spans="2:24" x14ac:dyDescent="0.3">
      <c r="B861" s="1">
        <f t="shared" si="416"/>
        <v>0</v>
      </c>
      <c r="C861" s="1">
        <f t="shared" si="417"/>
        <v>0</v>
      </c>
      <c r="D861" s="10">
        <f t="shared" si="418"/>
        <v>0</v>
      </c>
      <c r="E861" s="1">
        <f t="shared" si="419"/>
        <v>0</v>
      </c>
      <c r="F861" s="1">
        <f t="shared" si="420"/>
        <v>0</v>
      </c>
      <c r="G861" s="1">
        <f t="shared" si="421"/>
        <v>0</v>
      </c>
      <c r="H861" s="1">
        <f t="shared" si="408"/>
        <v>0</v>
      </c>
      <c r="I861" s="10">
        <f t="shared" si="422"/>
        <v>0</v>
      </c>
      <c r="J861" s="1">
        <f t="shared" si="409"/>
        <v>0</v>
      </c>
      <c r="K861" s="1">
        <f t="shared" si="410"/>
        <v>0</v>
      </c>
      <c r="L861" s="1" t="str">
        <f t="shared" si="411"/>
        <v>0</v>
      </c>
      <c r="M861" s="10">
        <f t="shared" si="412"/>
        <v>0</v>
      </c>
      <c r="N861" s="1">
        <f t="shared" si="423"/>
        <v>0</v>
      </c>
      <c r="O861" s="1">
        <f t="shared" si="415"/>
        <v>0</v>
      </c>
      <c r="P861" s="1">
        <f t="shared" si="413"/>
        <v>0</v>
      </c>
      <c r="Q861" s="3" t="str">
        <f t="shared" si="414"/>
        <v/>
      </c>
      <c r="T861" s="13" t="str">
        <f t="shared" si="424"/>
        <v/>
      </c>
      <c r="U861" s="14" t="str">
        <f t="shared" si="425"/>
        <v/>
      </c>
      <c r="V861" s="13" t="str">
        <f t="shared" si="426"/>
        <v/>
      </c>
      <c r="W861" s="13" t="str">
        <f t="shared" si="427"/>
        <v/>
      </c>
      <c r="X861" s="14" t="str">
        <f t="shared" si="428"/>
        <v/>
      </c>
    </row>
    <row r="862" spans="2:24" x14ac:dyDescent="0.3">
      <c r="B862" s="1">
        <f t="shared" si="416"/>
        <v>0</v>
      </c>
      <c r="C862" s="1">
        <f t="shared" si="417"/>
        <v>0</v>
      </c>
      <c r="D862" s="10">
        <f t="shared" si="418"/>
        <v>0</v>
      </c>
      <c r="E862" s="1">
        <f t="shared" si="419"/>
        <v>0</v>
      </c>
      <c r="F862" s="1">
        <f t="shared" si="420"/>
        <v>0</v>
      </c>
      <c r="G862" s="1">
        <f t="shared" si="421"/>
        <v>0</v>
      </c>
      <c r="H862" s="1">
        <f t="shared" si="408"/>
        <v>0</v>
      </c>
      <c r="I862" s="10">
        <f t="shared" si="422"/>
        <v>0</v>
      </c>
      <c r="J862" s="1">
        <f t="shared" si="409"/>
        <v>0</v>
      </c>
      <c r="K862" s="1">
        <f t="shared" si="410"/>
        <v>0</v>
      </c>
      <c r="L862" s="1" t="str">
        <f t="shared" si="411"/>
        <v>0</v>
      </c>
      <c r="M862" s="10">
        <f t="shared" si="412"/>
        <v>0</v>
      </c>
      <c r="N862" s="1">
        <f t="shared" si="423"/>
        <v>0</v>
      </c>
      <c r="O862" s="1">
        <f t="shared" si="415"/>
        <v>0</v>
      </c>
      <c r="P862" s="1">
        <f t="shared" si="413"/>
        <v>0</v>
      </c>
      <c r="Q862" s="3" t="str">
        <f t="shared" si="414"/>
        <v/>
      </c>
      <c r="T862" s="13" t="str">
        <f t="shared" si="424"/>
        <v/>
      </c>
      <c r="U862" s="14" t="str">
        <f t="shared" si="425"/>
        <v/>
      </c>
      <c r="V862" s="13" t="str">
        <f t="shared" si="426"/>
        <v/>
      </c>
      <c r="W862" s="13" t="str">
        <f t="shared" si="427"/>
        <v/>
      </c>
      <c r="X862" s="14" t="str">
        <f t="shared" si="428"/>
        <v/>
      </c>
    </row>
    <row r="863" spans="2:24" x14ac:dyDescent="0.3">
      <c r="B863" s="1">
        <f t="shared" si="416"/>
        <v>0</v>
      </c>
      <c r="C863" s="1">
        <f t="shared" si="417"/>
        <v>0</v>
      </c>
      <c r="D863" s="10">
        <f t="shared" si="418"/>
        <v>0</v>
      </c>
      <c r="E863" s="1">
        <f t="shared" si="419"/>
        <v>0</v>
      </c>
      <c r="F863" s="1">
        <f t="shared" si="420"/>
        <v>0</v>
      </c>
      <c r="G863" s="1">
        <f t="shared" si="421"/>
        <v>0</v>
      </c>
      <c r="H863" s="1">
        <f t="shared" si="408"/>
        <v>0</v>
      </c>
      <c r="I863" s="10">
        <f t="shared" si="422"/>
        <v>0</v>
      </c>
      <c r="J863" s="1">
        <f t="shared" si="409"/>
        <v>0</v>
      </c>
      <c r="K863" s="1">
        <f t="shared" si="410"/>
        <v>0</v>
      </c>
      <c r="L863" s="1" t="str">
        <f t="shared" si="411"/>
        <v>0</v>
      </c>
      <c r="M863" s="10">
        <f t="shared" si="412"/>
        <v>0</v>
      </c>
      <c r="N863" s="1">
        <f t="shared" si="423"/>
        <v>0</v>
      </c>
      <c r="O863" s="1">
        <f t="shared" si="415"/>
        <v>0</v>
      </c>
      <c r="P863" s="1">
        <f t="shared" si="413"/>
        <v>0</v>
      </c>
      <c r="Q863" s="3" t="str">
        <f t="shared" si="414"/>
        <v/>
      </c>
      <c r="T863" s="13" t="str">
        <f t="shared" si="424"/>
        <v/>
      </c>
      <c r="U863" s="14" t="str">
        <f t="shared" si="425"/>
        <v/>
      </c>
      <c r="V863" s="13" t="str">
        <f t="shared" si="426"/>
        <v/>
      </c>
      <c r="W863" s="13" t="str">
        <f t="shared" si="427"/>
        <v/>
      </c>
      <c r="X863" s="14" t="str">
        <f t="shared" si="428"/>
        <v/>
      </c>
    </row>
    <row r="864" spans="2:24" x14ac:dyDescent="0.3">
      <c r="B864" s="1">
        <f t="shared" si="416"/>
        <v>0</v>
      </c>
      <c r="C864" s="1">
        <f t="shared" si="417"/>
        <v>0</v>
      </c>
      <c r="D864" s="10">
        <f t="shared" si="418"/>
        <v>0</v>
      </c>
      <c r="E864" s="1">
        <f t="shared" si="419"/>
        <v>0</v>
      </c>
      <c r="F864" s="1">
        <f t="shared" si="420"/>
        <v>0</v>
      </c>
      <c r="G864" s="1">
        <f t="shared" si="421"/>
        <v>0</v>
      </c>
      <c r="H864" s="1">
        <f t="shared" si="408"/>
        <v>0</v>
      </c>
      <c r="I864" s="10">
        <f t="shared" si="422"/>
        <v>0</v>
      </c>
      <c r="J864" s="1">
        <f t="shared" si="409"/>
        <v>0</v>
      </c>
      <c r="K864" s="1">
        <f t="shared" si="410"/>
        <v>0</v>
      </c>
      <c r="L864" s="1" t="str">
        <f t="shared" si="411"/>
        <v>0</v>
      </c>
      <c r="M864" s="10">
        <f t="shared" si="412"/>
        <v>0</v>
      </c>
      <c r="N864" s="1">
        <f t="shared" si="423"/>
        <v>0</v>
      </c>
      <c r="O864" s="1">
        <f t="shared" si="415"/>
        <v>0</v>
      </c>
      <c r="P864" s="1">
        <f t="shared" si="413"/>
        <v>0</v>
      </c>
      <c r="Q864" s="3" t="str">
        <f t="shared" si="414"/>
        <v/>
      </c>
      <c r="T864" s="13" t="str">
        <f t="shared" si="424"/>
        <v/>
      </c>
      <c r="U864" s="14" t="str">
        <f t="shared" si="425"/>
        <v/>
      </c>
      <c r="V864" s="13" t="str">
        <f t="shared" si="426"/>
        <v/>
      </c>
      <c r="W864" s="13" t="str">
        <f t="shared" si="427"/>
        <v/>
      </c>
      <c r="X864" s="14" t="str">
        <f t="shared" si="428"/>
        <v/>
      </c>
    </row>
    <row r="865" spans="2:24" x14ac:dyDescent="0.3">
      <c r="B865" s="1">
        <f t="shared" si="416"/>
        <v>0</v>
      </c>
      <c r="C865" s="1">
        <f t="shared" si="417"/>
        <v>0</v>
      </c>
      <c r="D865" s="10">
        <f t="shared" si="418"/>
        <v>0</v>
      </c>
      <c r="E865" s="1">
        <f t="shared" si="419"/>
        <v>0</v>
      </c>
      <c r="F865" s="1">
        <f t="shared" si="420"/>
        <v>0</v>
      </c>
      <c r="G865" s="1">
        <f t="shared" si="421"/>
        <v>0</v>
      </c>
      <c r="H865" s="1">
        <f t="shared" si="408"/>
        <v>0</v>
      </c>
      <c r="I865" s="10">
        <f t="shared" si="422"/>
        <v>0</v>
      </c>
      <c r="J865" s="1">
        <f t="shared" si="409"/>
        <v>0</v>
      </c>
      <c r="K865" s="1">
        <f t="shared" si="410"/>
        <v>0</v>
      </c>
      <c r="L865" s="1" t="str">
        <f t="shared" si="411"/>
        <v>0</v>
      </c>
      <c r="M865" s="10">
        <f t="shared" si="412"/>
        <v>0</v>
      </c>
      <c r="N865" s="1">
        <f t="shared" si="423"/>
        <v>0</v>
      </c>
      <c r="O865" s="1">
        <f t="shared" si="415"/>
        <v>0</v>
      </c>
      <c r="P865" s="1">
        <f t="shared" si="413"/>
        <v>0</v>
      </c>
      <c r="Q865" s="3" t="str">
        <f t="shared" si="414"/>
        <v/>
      </c>
      <c r="T865" s="13" t="str">
        <f t="shared" si="424"/>
        <v/>
      </c>
      <c r="U865" s="14" t="str">
        <f t="shared" si="425"/>
        <v/>
      </c>
      <c r="V865" s="13" t="str">
        <f t="shared" si="426"/>
        <v/>
      </c>
      <c r="W865" s="13" t="str">
        <f t="shared" si="427"/>
        <v/>
      </c>
      <c r="X865" s="14" t="str">
        <f t="shared" si="428"/>
        <v/>
      </c>
    </row>
    <row r="866" spans="2:24" x14ac:dyDescent="0.3">
      <c r="B866" s="1">
        <f t="shared" si="416"/>
        <v>0</v>
      </c>
      <c r="C866" s="1">
        <f t="shared" si="417"/>
        <v>0</v>
      </c>
      <c r="D866" s="10">
        <f t="shared" si="418"/>
        <v>0</v>
      </c>
      <c r="E866" s="1">
        <f t="shared" si="419"/>
        <v>0</v>
      </c>
      <c r="F866" s="1">
        <f t="shared" si="420"/>
        <v>0</v>
      </c>
      <c r="G866" s="1">
        <f t="shared" si="421"/>
        <v>0</v>
      </c>
      <c r="H866" s="1">
        <f t="shared" si="408"/>
        <v>0</v>
      </c>
      <c r="I866" s="10">
        <f t="shared" si="422"/>
        <v>0</v>
      </c>
      <c r="J866" s="1">
        <f t="shared" si="409"/>
        <v>0</v>
      </c>
      <c r="K866" s="1">
        <f t="shared" si="410"/>
        <v>0</v>
      </c>
      <c r="L866" s="1" t="str">
        <f t="shared" si="411"/>
        <v>0</v>
      </c>
      <c r="M866" s="10">
        <f t="shared" si="412"/>
        <v>0</v>
      </c>
      <c r="N866" s="1">
        <f t="shared" si="423"/>
        <v>0</v>
      </c>
      <c r="O866" s="1">
        <f t="shared" si="415"/>
        <v>0</v>
      </c>
      <c r="P866" s="1">
        <f t="shared" si="413"/>
        <v>0</v>
      </c>
      <c r="Q866" s="3" t="str">
        <f t="shared" si="414"/>
        <v/>
      </c>
      <c r="T866" s="13" t="str">
        <f t="shared" si="424"/>
        <v/>
      </c>
      <c r="U866" s="14" t="str">
        <f t="shared" si="425"/>
        <v/>
      </c>
      <c r="V866" s="13" t="str">
        <f t="shared" si="426"/>
        <v/>
      </c>
      <c r="W866" s="13" t="str">
        <f t="shared" si="427"/>
        <v/>
      </c>
      <c r="X866" s="14" t="str">
        <f t="shared" si="428"/>
        <v/>
      </c>
    </row>
    <row r="867" spans="2:24" x14ac:dyDescent="0.3">
      <c r="B867" s="1">
        <f t="shared" si="416"/>
        <v>0</v>
      </c>
      <c r="C867" s="1">
        <f t="shared" si="417"/>
        <v>0</v>
      </c>
      <c r="D867" s="10">
        <f t="shared" si="418"/>
        <v>0</v>
      </c>
      <c r="E867" s="1">
        <f t="shared" si="419"/>
        <v>0</v>
      </c>
      <c r="F867" s="1">
        <f t="shared" si="420"/>
        <v>0</v>
      </c>
      <c r="G867" s="1">
        <f t="shared" si="421"/>
        <v>0</v>
      </c>
      <c r="H867" s="1">
        <f t="shared" si="408"/>
        <v>0</v>
      </c>
      <c r="I867" s="10">
        <f t="shared" si="422"/>
        <v>0</v>
      </c>
      <c r="J867" s="1">
        <f t="shared" si="409"/>
        <v>0</v>
      </c>
      <c r="K867" s="1">
        <f t="shared" si="410"/>
        <v>0</v>
      </c>
      <c r="L867" s="1" t="str">
        <f t="shared" si="411"/>
        <v>0</v>
      </c>
      <c r="M867" s="10">
        <f t="shared" si="412"/>
        <v>0</v>
      </c>
      <c r="N867" s="1">
        <f t="shared" si="423"/>
        <v>0</v>
      </c>
      <c r="O867" s="1">
        <f t="shared" si="415"/>
        <v>0</v>
      </c>
      <c r="P867" s="1">
        <f t="shared" si="413"/>
        <v>0</v>
      </c>
      <c r="Q867" s="3" t="str">
        <f t="shared" si="414"/>
        <v/>
      </c>
      <c r="T867" s="13" t="str">
        <f t="shared" si="424"/>
        <v/>
      </c>
      <c r="U867" s="14" t="str">
        <f t="shared" si="425"/>
        <v/>
      </c>
      <c r="V867" s="13" t="str">
        <f t="shared" si="426"/>
        <v/>
      </c>
      <c r="W867" s="13" t="str">
        <f t="shared" si="427"/>
        <v/>
      </c>
      <c r="X867" s="14" t="str">
        <f t="shared" si="428"/>
        <v/>
      </c>
    </row>
    <row r="868" spans="2:24" x14ac:dyDescent="0.3">
      <c r="B868" s="1">
        <f t="shared" si="416"/>
        <v>0</v>
      </c>
      <c r="C868" s="1">
        <f t="shared" si="417"/>
        <v>0</v>
      </c>
      <c r="D868" s="10">
        <f t="shared" si="418"/>
        <v>0</v>
      </c>
      <c r="E868" s="1">
        <f t="shared" si="419"/>
        <v>0</v>
      </c>
      <c r="F868" s="1">
        <f t="shared" si="420"/>
        <v>0</v>
      </c>
      <c r="G868" s="1">
        <f t="shared" si="421"/>
        <v>0</v>
      </c>
      <c r="H868" s="1">
        <f t="shared" si="408"/>
        <v>0</v>
      </c>
      <c r="I868" s="10">
        <f t="shared" si="422"/>
        <v>0</v>
      </c>
      <c r="J868" s="1">
        <f t="shared" si="409"/>
        <v>0</v>
      </c>
      <c r="K868" s="1">
        <f t="shared" si="410"/>
        <v>0</v>
      </c>
      <c r="L868" s="1" t="str">
        <f t="shared" si="411"/>
        <v>0</v>
      </c>
      <c r="M868" s="10">
        <f t="shared" si="412"/>
        <v>0</v>
      </c>
      <c r="N868" s="1">
        <f t="shared" si="423"/>
        <v>0</v>
      </c>
      <c r="O868" s="1">
        <f t="shared" si="415"/>
        <v>0</v>
      </c>
      <c r="P868" s="1">
        <f t="shared" si="413"/>
        <v>0</v>
      </c>
      <c r="Q868" s="3" t="str">
        <f t="shared" si="414"/>
        <v/>
      </c>
      <c r="T868" s="13" t="str">
        <f t="shared" si="424"/>
        <v/>
      </c>
      <c r="U868" s="14" t="str">
        <f t="shared" si="425"/>
        <v/>
      </c>
      <c r="V868" s="13" t="str">
        <f t="shared" si="426"/>
        <v/>
      </c>
      <c r="W868" s="13" t="str">
        <f t="shared" si="427"/>
        <v/>
      </c>
      <c r="X868" s="14" t="str">
        <f t="shared" si="428"/>
        <v/>
      </c>
    </row>
    <row r="869" spans="2:24" x14ac:dyDescent="0.3">
      <c r="B869" s="1">
        <f t="shared" si="416"/>
        <v>0</v>
      </c>
      <c r="C869" s="1">
        <f t="shared" si="417"/>
        <v>0</v>
      </c>
      <c r="D869" s="10">
        <f t="shared" si="418"/>
        <v>0</v>
      </c>
      <c r="E869" s="1">
        <f t="shared" si="419"/>
        <v>0</v>
      </c>
      <c r="F869" s="1">
        <f t="shared" si="420"/>
        <v>0</v>
      </c>
      <c r="G869" s="1">
        <f t="shared" si="421"/>
        <v>0</v>
      </c>
      <c r="H869" s="1">
        <f t="shared" si="408"/>
        <v>0</v>
      </c>
      <c r="I869" s="10">
        <f t="shared" si="422"/>
        <v>0</v>
      </c>
      <c r="J869" s="1">
        <f t="shared" si="409"/>
        <v>0</v>
      </c>
      <c r="K869" s="1">
        <f t="shared" si="410"/>
        <v>0</v>
      </c>
      <c r="L869" s="1" t="str">
        <f t="shared" si="411"/>
        <v>0</v>
      </c>
      <c r="M869" s="10">
        <f t="shared" si="412"/>
        <v>0</v>
      </c>
      <c r="N869" s="1">
        <f t="shared" si="423"/>
        <v>0</v>
      </c>
      <c r="O869" s="1">
        <f t="shared" si="415"/>
        <v>0</v>
      </c>
      <c r="P869" s="1">
        <f t="shared" si="413"/>
        <v>0</v>
      </c>
      <c r="Q869" s="3" t="str">
        <f t="shared" si="414"/>
        <v/>
      </c>
      <c r="T869" s="13" t="str">
        <f t="shared" si="424"/>
        <v/>
      </c>
      <c r="U869" s="14" t="str">
        <f t="shared" si="425"/>
        <v/>
      </c>
      <c r="V869" s="13" t="str">
        <f t="shared" si="426"/>
        <v/>
      </c>
      <c r="W869" s="13" t="str">
        <f t="shared" si="427"/>
        <v/>
      </c>
      <c r="X869" s="14" t="str">
        <f t="shared" si="428"/>
        <v/>
      </c>
    </row>
    <row r="870" spans="2:24" x14ac:dyDescent="0.3">
      <c r="B870" s="1">
        <f t="shared" si="416"/>
        <v>0</v>
      </c>
      <c r="C870" s="1">
        <f t="shared" si="417"/>
        <v>0</v>
      </c>
      <c r="D870" s="10">
        <f t="shared" si="418"/>
        <v>0</v>
      </c>
      <c r="E870" s="1">
        <f t="shared" si="419"/>
        <v>0</v>
      </c>
      <c r="F870" s="1">
        <f t="shared" si="420"/>
        <v>0</v>
      </c>
      <c r="G870" s="1">
        <f t="shared" si="421"/>
        <v>0</v>
      </c>
      <c r="H870" s="1">
        <f t="shared" si="408"/>
        <v>0</v>
      </c>
      <c r="I870" s="10">
        <f t="shared" si="422"/>
        <v>0</v>
      </c>
      <c r="J870" s="1">
        <f t="shared" si="409"/>
        <v>0</v>
      </c>
      <c r="K870" s="1">
        <f t="shared" si="410"/>
        <v>0</v>
      </c>
      <c r="L870" s="1" t="str">
        <f t="shared" si="411"/>
        <v>0</v>
      </c>
      <c r="M870" s="10">
        <f t="shared" si="412"/>
        <v>0</v>
      </c>
      <c r="N870" s="1">
        <f t="shared" si="423"/>
        <v>0</v>
      </c>
      <c r="O870" s="1">
        <f t="shared" si="415"/>
        <v>0</v>
      </c>
      <c r="P870" s="1">
        <f t="shared" si="413"/>
        <v>0</v>
      </c>
      <c r="Q870" s="3" t="str">
        <f t="shared" si="414"/>
        <v/>
      </c>
      <c r="T870" s="13" t="str">
        <f t="shared" si="424"/>
        <v/>
      </c>
      <c r="U870" s="14" t="str">
        <f t="shared" si="425"/>
        <v/>
      </c>
      <c r="V870" s="13" t="str">
        <f t="shared" si="426"/>
        <v/>
      </c>
      <c r="W870" s="13" t="str">
        <f t="shared" si="427"/>
        <v/>
      </c>
      <c r="X870" s="14" t="str">
        <f t="shared" si="428"/>
        <v/>
      </c>
    </row>
    <row r="871" spans="2:24" x14ac:dyDescent="0.3">
      <c r="B871" s="1">
        <f t="shared" si="416"/>
        <v>0</v>
      </c>
      <c r="C871" s="1">
        <f t="shared" si="417"/>
        <v>0</v>
      </c>
      <c r="D871" s="10">
        <f t="shared" si="418"/>
        <v>0</v>
      </c>
      <c r="E871" s="1">
        <f t="shared" si="419"/>
        <v>0</v>
      </c>
      <c r="F871" s="1">
        <f t="shared" si="420"/>
        <v>0</v>
      </c>
      <c r="G871" s="1">
        <f t="shared" si="421"/>
        <v>0</v>
      </c>
      <c r="H871" s="1">
        <f t="shared" si="408"/>
        <v>0</v>
      </c>
      <c r="I871" s="10">
        <f t="shared" si="422"/>
        <v>0</v>
      </c>
      <c r="J871" s="1">
        <f t="shared" si="409"/>
        <v>0</v>
      </c>
      <c r="K871" s="1">
        <f t="shared" si="410"/>
        <v>0</v>
      </c>
      <c r="L871" s="1" t="str">
        <f t="shared" si="411"/>
        <v>0</v>
      </c>
      <c r="M871" s="10">
        <f t="shared" si="412"/>
        <v>0</v>
      </c>
      <c r="N871" s="1">
        <f t="shared" si="423"/>
        <v>0</v>
      </c>
      <c r="O871" s="1">
        <f t="shared" si="415"/>
        <v>0</v>
      </c>
      <c r="P871" s="1">
        <f t="shared" si="413"/>
        <v>0</v>
      </c>
      <c r="Q871" s="3" t="str">
        <f t="shared" si="414"/>
        <v/>
      </c>
      <c r="T871" s="13" t="str">
        <f t="shared" si="424"/>
        <v/>
      </c>
      <c r="U871" s="14" t="str">
        <f t="shared" si="425"/>
        <v/>
      </c>
      <c r="V871" s="13" t="str">
        <f t="shared" si="426"/>
        <v/>
      </c>
      <c r="W871" s="13" t="str">
        <f t="shared" si="427"/>
        <v/>
      </c>
      <c r="X871" s="14" t="str">
        <f t="shared" si="428"/>
        <v/>
      </c>
    </row>
    <row r="872" spans="2:24" x14ac:dyDescent="0.3">
      <c r="B872" s="1">
        <f t="shared" si="416"/>
        <v>0</v>
      </c>
      <c r="C872" s="1">
        <f t="shared" si="417"/>
        <v>0</v>
      </c>
      <c r="D872" s="10">
        <f t="shared" si="418"/>
        <v>0</v>
      </c>
      <c r="E872" s="1">
        <f t="shared" si="419"/>
        <v>0</v>
      </c>
      <c r="F872" s="1">
        <f t="shared" si="420"/>
        <v>0</v>
      </c>
      <c r="G872" s="1">
        <f t="shared" si="421"/>
        <v>0</v>
      </c>
      <c r="H872" s="1">
        <f t="shared" si="408"/>
        <v>0</v>
      </c>
      <c r="I872" s="10">
        <f t="shared" si="422"/>
        <v>0</v>
      </c>
      <c r="J872" s="1">
        <f t="shared" si="409"/>
        <v>0</v>
      </c>
      <c r="K872" s="1">
        <f t="shared" si="410"/>
        <v>0</v>
      </c>
      <c r="L872" s="1" t="str">
        <f t="shared" si="411"/>
        <v>0</v>
      </c>
      <c r="M872" s="10">
        <f t="shared" si="412"/>
        <v>0</v>
      </c>
      <c r="N872" s="1">
        <f t="shared" si="423"/>
        <v>0</v>
      </c>
      <c r="O872" s="1">
        <f t="shared" si="415"/>
        <v>0</v>
      </c>
      <c r="P872" s="1">
        <f t="shared" si="413"/>
        <v>0</v>
      </c>
      <c r="Q872" s="3" t="str">
        <f t="shared" si="414"/>
        <v/>
      </c>
      <c r="T872" s="13" t="str">
        <f t="shared" si="424"/>
        <v/>
      </c>
      <c r="U872" s="14" t="str">
        <f t="shared" si="425"/>
        <v/>
      </c>
      <c r="V872" s="13" t="str">
        <f t="shared" si="426"/>
        <v/>
      </c>
      <c r="W872" s="13" t="str">
        <f t="shared" si="427"/>
        <v/>
      </c>
      <c r="X872" s="14" t="str">
        <f t="shared" si="428"/>
        <v/>
      </c>
    </row>
    <row r="873" spans="2:24" x14ac:dyDescent="0.3">
      <c r="B873" s="1">
        <f t="shared" si="416"/>
        <v>0</v>
      </c>
      <c r="C873" s="1">
        <f t="shared" si="417"/>
        <v>0</v>
      </c>
      <c r="D873" s="10">
        <f t="shared" si="418"/>
        <v>0</v>
      </c>
      <c r="E873" s="1">
        <f t="shared" si="419"/>
        <v>0</v>
      </c>
      <c r="F873" s="1">
        <f t="shared" si="420"/>
        <v>0</v>
      </c>
      <c r="G873" s="1">
        <f t="shared" si="421"/>
        <v>0</v>
      </c>
      <c r="H873" s="1">
        <f t="shared" si="408"/>
        <v>0</v>
      </c>
      <c r="I873" s="10">
        <f t="shared" si="422"/>
        <v>0</v>
      </c>
      <c r="J873" s="1">
        <f t="shared" si="409"/>
        <v>0</v>
      </c>
      <c r="K873" s="1">
        <f t="shared" si="410"/>
        <v>0</v>
      </c>
      <c r="L873" s="1" t="str">
        <f t="shared" si="411"/>
        <v>0</v>
      </c>
      <c r="M873" s="10">
        <f t="shared" si="412"/>
        <v>0</v>
      </c>
      <c r="N873" s="1">
        <f t="shared" si="423"/>
        <v>0</v>
      </c>
      <c r="O873" s="1">
        <f t="shared" si="415"/>
        <v>0</v>
      </c>
      <c r="P873" s="1">
        <f t="shared" si="413"/>
        <v>0</v>
      </c>
      <c r="Q873" s="3" t="str">
        <f t="shared" si="414"/>
        <v/>
      </c>
      <c r="T873" s="13" t="str">
        <f t="shared" si="424"/>
        <v/>
      </c>
      <c r="U873" s="14" t="str">
        <f t="shared" si="425"/>
        <v/>
      </c>
      <c r="V873" s="13" t="str">
        <f t="shared" si="426"/>
        <v/>
      </c>
      <c r="W873" s="13" t="str">
        <f t="shared" si="427"/>
        <v/>
      </c>
      <c r="X873" s="14" t="str">
        <f t="shared" si="428"/>
        <v/>
      </c>
    </row>
    <row r="874" spans="2:24" x14ac:dyDescent="0.3">
      <c r="B874" s="1">
        <f t="shared" si="416"/>
        <v>0</v>
      </c>
      <c r="C874" s="1">
        <f t="shared" si="417"/>
        <v>0</v>
      </c>
      <c r="D874" s="10">
        <f t="shared" si="418"/>
        <v>0</v>
      </c>
      <c r="E874" s="1">
        <f t="shared" si="419"/>
        <v>0</v>
      </c>
      <c r="F874" s="1">
        <f t="shared" si="420"/>
        <v>0</v>
      </c>
      <c r="G874" s="1">
        <f t="shared" si="421"/>
        <v>0</v>
      </c>
      <c r="H874" s="1">
        <f t="shared" si="408"/>
        <v>0</v>
      </c>
      <c r="I874" s="10">
        <f t="shared" si="422"/>
        <v>0</v>
      </c>
      <c r="J874" s="1">
        <f t="shared" si="409"/>
        <v>0</v>
      </c>
      <c r="K874" s="1">
        <f t="shared" si="410"/>
        <v>0</v>
      </c>
      <c r="L874" s="1" t="str">
        <f t="shared" si="411"/>
        <v>0</v>
      </c>
      <c r="M874" s="10">
        <f t="shared" si="412"/>
        <v>0</v>
      </c>
      <c r="N874" s="1">
        <f t="shared" si="423"/>
        <v>0</v>
      </c>
      <c r="O874" s="1">
        <f t="shared" si="415"/>
        <v>0</v>
      </c>
      <c r="P874" s="1">
        <f t="shared" si="413"/>
        <v>0</v>
      </c>
      <c r="Q874" s="3" t="str">
        <f t="shared" si="414"/>
        <v/>
      </c>
      <c r="T874" s="13" t="str">
        <f t="shared" si="424"/>
        <v/>
      </c>
      <c r="U874" s="14" t="str">
        <f t="shared" si="425"/>
        <v/>
      </c>
      <c r="V874" s="13" t="str">
        <f t="shared" si="426"/>
        <v/>
      </c>
      <c r="W874" s="13" t="str">
        <f t="shared" si="427"/>
        <v/>
      </c>
      <c r="X874" s="14" t="str">
        <f t="shared" si="428"/>
        <v/>
      </c>
    </row>
    <row r="875" spans="2:24" x14ac:dyDescent="0.3">
      <c r="B875" s="1">
        <f t="shared" si="416"/>
        <v>0</v>
      </c>
      <c r="C875" s="1">
        <f t="shared" si="417"/>
        <v>0</v>
      </c>
      <c r="D875" s="10">
        <f t="shared" si="418"/>
        <v>0</v>
      </c>
      <c r="E875" s="1">
        <f t="shared" si="419"/>
        <v>0</v>
      </c>
      <c r="F875" s="1">
        <f t="shared" si="420"/>
        <v>0</v>
      </c>
      <c r="G875" s="1">
        <f t="shared" si="421"/>
        <v>0</v>
      </c>
      <c r="H875" s="1">
        <f t="shared" si="408"/>
        <v>0</v>
      </c>
      <c r="I875" s="10">
        <f t="shared" si="422"/>
        <v>0</v>
      </c>
      <c r="J875" s="1">
        <f t="shared" si="409"/>
        <v>0</v>
      </c>
      <c r="K875" s="1">
        <f t="shared" si="410"/>
        <v>0</v>
      </c>
      <c r="L875" s="1" t="str">
        <f t="shared" si="411"/>
        <v>0</v>
      </c>
      <c r="M875" s="10">
        <f t="shared" si="412"/>
        <v>0</v>
      </c>
      <c r="N875" s="1">
        <f t="shared" si="423"/>
        <v>0</v>
      </c>
      <c r="O875" s="1">
        <f t="shared" si="415"/>
        <v>0</v>
      </c>
      <c r="P875" s="1">
        <f t="shared" si="413"/>
        <v>0</v>
      </c>
      <c r="Q875" s="3" t="str">
        <f t="shared" si="414"/>
        <v/>
      </c>
      <c r="T875" s="13" t="str">
        <f t="shared" si="424"/>
        <v/>
      </c>
      <c r="U875" s="14" t="str">
        <f t="shared" si="425"/>
        <v/>
      </c>
      <c r="V875" s="13" t="str">
        <f t="shared" si="426"/>
        <v/>
      </c>
      <c r="W875" s="13" t="str">
        <f t="shared" si="427"/>
        <v/>
      </c>
      <c r="X875" s="14" t="str">
        <f t="shared" si="428"/>
        <v/>
      </c>
    </row>
    <row r="876" spans="2:24" x14ac:dyDescent="0.3">
      <c r="B876" s="1">
        <f t="shared" si="416"/>
        <v>0</v>
      </c>
      <c r="C876" s="1">
        <f t="shared" si="417"/>
        <v>0</v>
      </c>
      <c r="D876" s="10">
        <f t="shared" si="418"/>
        <v>0</v>
      </c>
      <c r="E876" s="1">
        <f t="shared" si="419"/>
        <v>0</v>
      </c>
      <c r="F876" s="1">
        <f t="shared" si="420"/>
        <v>0</v>
      </c>
      <c r="G876" s="1">
        <f t="shared" si="421"/>
        <v>0</v>
      </c>
      <c r="H876" s="1">
        <f t="shared" si="408"/>
        <v>0</v>
      </c>
      <c r="I876" s="10">
        <f t="shared" si="422"/>
        <v>0</v>
      </c>
      <c r="J876" s="1">
        <f t="shared" si="409"/>
        <v>0</v>
      </c>
      <c r="K876" s="1">
        <f t="shared" si="410"/>
        <v>0</v>
      </c>
      <c r="L876" s="1" t="str">
        <f t="shared" si="411"/>
        <v>0</v>
      </c>
      <c r="M876" s="10">
        <f t="shared" si="412"/>
        <v>0</v>
      </c>
      <c r="N876" s="1">
        <f t="shared" si="423"/>
        <v>0</v>
      </c>
      <c r="O876" s="1">
        <f t="shared" si="415"/>
        <v>0</v>
      </c>
      <c r="P876" s="1">
        <f t="shared" si="413"/>
        <v>0</v>
      </c>
      <c r="Q876" s="3" t="str">
        <f t="shared" si="414"/>
        <v/>
      </c>
      <c r="T876" s="13" t="str">
        <f t="shared" si="424"/>
        <v/>
      </c>
      <c r="U876" s="14" t="str">
        <f t="shared" si="425"/>
        <v/>
      </c>
      <c r="V876" s="13" t="str">
        <f t="shared" si="426"/>
        <v/>
      </c>
      <c r="W876" s="13" t="str">
        <f t="shared" si="427"/>
        <v/>
      </c>
      <c r="X876" s="14" t="str">
        <f t="shared" si="428"/>
        <v/>
      </c>
    </row>
    <row r="877" spans="2:24" x14ac:dyDescent="0.3">
      <c r="B877" s="1">
        <f t="shared" si="416"/>
        <v>0</v>
      </c>
      <c r="C877" s="1">
        <f t="shared" si="417"/>
        <v>0</v>
      </c>
      <c r="D877" s="10">
        <f t="shared" si="418"/>
        <v>0</v>
      </c>
      <c r="E877" s="1">
        <f t="shared" si="419"/>
        <v>0</v>
      </c>
      <c r="F877" s="1">
        <f t="shared" si="420"/>
        <v>0</v>
      </c>
      <c r="G877" s="1">
        <f t="shared" si="421"/>
        <v>0</v>
      </c>
      <c r="H877" s="1">
        <f t="shared" si="408"/>
        <v>0</v>
      </c>
      <c r="I877" s="10">
        <f t="shared" si="422"/>
        <v>0</v>
      </c>
      <c r="J877" s="1">
        <f t="shared" si="409"/>
        <v>0</v>
      </c>
      <c r="K877" s="1">
        <f t="shared" si="410"/>
        <v>0</v>
      </c>
      <c r="L877" s="1" t="str">
        <f t="shared" si="411"/>
        <v>0</v>
      </c>
      <c r="M877" s="10">
        <f t="shared" si="412"/>
        <v>0</v>
      </c>
      <c r="N877" s="1">
        <f t="shared" si="423"/>
        <v>0</v>
      </c>
      <c r="O877" s="1">
        <f t="shared" si="415"/>
        <v>0</v>
      </c>
      <c r="P877" s="1">
        <f t="shared" si="413"/>
        <v>0</v>
      </c>
      <c r="Q877" s="3" t="str">
        <f t="shared" si="414"/>
        <v/>
      </c>
      <c r="T877" s="13" t="str">
        <f t="shared" si="424"/>
        <v/>
      </c>
      <c r="U877" s="14" t="str">
        <f t="shared" si="425"/>
        <v/>
      </c>
      <c r="V877" s="13" t="str">
        <f t="shared" si="426"/>
        <v/>
      </c>
      <c r="W877" s="13" t="str">
        <f t="shared" si="427"/>
        <v/>
      </c>
      <c r="X877" s="14" t="str">
        <f t="shared" si="428"/>
        <v/>
      </c>
    </row>
    <row r="878" spans="2:24" x14ac:dyDescent="0.3">
      <c r="B878" s="1">
        <f t="shared" si="416"/>
        <v>0</v>
      </c>
      <c r="C878" s="1">
        <f t="shared" si="417"/>
        <v>0</v>
      </c>
      <c r="D878" s="10">
        <f t="shared" si="418"/>
        <v>0</v>
      </c>
      <c r="E878" s="1">
        <f t="shared" si="419"/>
        <v>0</v>
      </c>
      <c r="F878" s="1">
        <f t="shared" si="420"/>
        <v>0</v>
      </c>
      <c r="G878" s="1">
        <f t="shared" si="421"/>
        <v>0</v>
      </c>
      <c r="H878" s="1">
        <f t="shared" si="408"/>
        <v>0</v>
      </c>
      <c r="I878" s="10">
        <f t="shared" si="422"/>
        <v>0</v>
      </c>
      <c r="J878" s="1">
        <f t="shared" si="409"/>
        <v>0</v>
      </c>
      <c r="K878" s="1">
        <f t="shared" si="410"/>
        <v>0</v>
      </c>
      <c r="L878" s="1" t="str">
        <f t="shared" si="411"/>
        <v>0</v>
      </c>
      <c r="M878" s="10">
        <f t="shared" si="412"/>
        <v>0</v>
      </c>
      <c r="N878" s="1">
        <f t="shared" si="423"/>
        <v>0</v>
      </c>
      <c r="O878" s="1">
        <f t="shared" si="415"/>
        <v>0</v>
      </c>
      <c r="P878" s="1">
        <f t="shared" si="413"/>
        <v>0</v>
      </c>
      <c r="Q878" s="3" t="str">
        <f t="shared" si="414"/>
        <v/>
      </c>
      <c r="T878" s="13" t="str">
        <f t="shared" si="424"/>
        <v/>
      </c>
      <c r="U878" s="14" t="str">
        <f t="shared" si="425"/>
        <v/>
      </c>
      <c r="V878" s="13" t="str">
        <f t="shared" si="426"/>
        <v/>
      </c>
      <c r="W878" s="13" t="str">
        <f t="shared" si="427"/>
        <v/>
      </c>
      <c r="X878" s="14" t="str">
        <f t="shared" si="428"/>
        <v/>
      </c>
    </row>
    <row r="879" spans="2:24" x14ac:dyDescent="0.3">
      <c r="B879" s="1">
        <f t="shared" si="416"/>
        <v>0</v>
      </c>
      <c r="C879" s="1">
        <f t="shared" si="417"/>
        <v>0</v>
      </c>
      <c r="D879" s="10">
        <f t="shared" si="418"/>
        <v>0</v>
      </c>
      <c r="E879" s="1">
        <f t="shared" si="419"/>
        <v>0</v>
      </c>
      <c r="F879" s="1">
        <f t="shared" si="420"/>
        <v>0</v>
      </c>
      <c r="G879" s="1">
        <f t="shared" si="421"/>
        <v>0</v>
      </c>
      <c r="H879" s="1">
        <f t="shared" si="408"/>
        <v>0</v>
      </c>
      <c r="I879" s="10">
        <f t="shared" si="422"/>
        <v>0</v>
      </c>
      <c r="J879" s="1">
        <f t="shared" si="409"/>
        <v>0</v>
      </c>
      <c r="K879" s="1">
        <f t="shared" si="410"/>
        <v>0</v>
      </c>
      <c r="L879" s="1" t="str">
        <f t="shared" si="411"/>
        <v>0</v>
      </c>
      <c r="M879" s="10">
        <f t="shared" si="412"/>
        <v>0</v>
      </c>
      <c r="N879" s="1">
        <f t="shared" si="423"/>
        <v>0</v>
      </c>
      <c r="O879" s="1">
        <f t="shared" si="415"/>
        <v>0</v>
      </c>
      <c r="P879" s="1">
        <f t="shared" si="413"/>
        <v>0</v>
      </c>
      <c r="Q879" s="3" t="str">
        <f t="shared" si="414"/>
        <v/>
      </c>
      <c r="T879" s="13" t="str">
        <f t="shared" si="424"/>
        <v/>
      </c>
      <c r="U879" s="14" t="str">
        <f t="shared" si="425"/>
        <v/>
      </c>
      <c r="V879" s="13" t="str">
        <f t="shared" si="426"/>
        <v/>
      </c>
      <c r="W879" s="13" t="str">
        <f t="shared" si="427"/>
        <v/>
      </c>
      <c r="X879" s="14" t="str">
        <f t="shared" si="428"/>
        <v/>
      </c>
    </row>
    <row r="880" spans="2:24" x14ac:dyDescent="0.3">
      <c r="B880" s="1">
        <f t="shared" si="416"/>
        <v>0</v>
      </c>
      <c r="C880" s="1">
        <f t="shared" si="417"/>
        <v>0</v>
      </c>
      <c r="D880" s="10">
        <f t="shared" si="418"/>
        <v>0</v>
      </c>
      <c r="E880" s="1">
        <f t="shared" si="419"/>
        <v>0</v>
      </c>
      <c r="F880" s="1">
        <f t="shared" si="420"/>
        <v>0</v>
      </c>
      <c r="G880" s="1">
        <f t="shared" si="421"/>
        <v>0</v>
      </c>
      <c r="H880" s="1">
        <f t="shared" si="408"/>
        <v>0</v>
      </c>
      <c r="I880" s="10">
        <f t="shared" si="422"/>
        <v>0</v>
      </c>
      <c r="J880" s="1">
        <f t="shared" si="409"/>
        <v>0</v>
      </c>
      <c r="K880" s="1">
        <f t="shared" si="410"/>
        <v>0</v>
      </c>
      <c r="L880" s="1" t="str">
        <f t="shared" si="411"/>
        <v>0</v>
      </c>
      <c r="M880" s="10">
        <f t="shared" si="412"/>
        <v>0</v>
      </c>
      <c r="N880" s="1">
        <f t="shared" si="423"/>
        <v>0</v>
      </c>
      <c r="O880" s="1">
        <f t="shared" si="415"/>
        <v>0</v>
      </c>
      <c r="P880" s="1">
        <f t="shared" si="413"/>
        <v>0</v>
      </c>
      <c r="Q880" s="3" t="str">
        <f t="shared" si="414"/>
        <v/>
      </c>
      <c r="T880" s="13" t="str">
        <f t="shared" si="424"/>
        <v/>
      </c>
      <c r="U880" s="14" t="str">
        <f t="shared" si="425"/>
        <v/>
      </c>
      <c r="V880" s="13" t="str">
        <f t="shared" si="426"/>
        <v/>
      </c>
      <c r="W880" s="13" t="str">
        <f t="shared" si="427"/>
        <v/>
      </c>
      <c r="X880" s="14" t="str">
        <f t="shared" si="428"/>
        <v/>
      </c>
    </row>
    <row r="881" spans="2:24" x14ac:dyDescent="0.3">
      <c r="B881" s="1">
        <f t="shared" si="416"/>
        <v>0</v>
      </c>
      <c r="C881" s="1">
        <f t="shared" si="417"/>
        <v>0</v>
      </c>
      <c r="D881" s="10">
        <f t="shared" si="418"/>
        <v>0</v>
      </c>
      <c r="E881" s="1">
        <f t="shared" si="419"/>
        <v>0</v>
      </c>
      <c r="F881" s="1">
        <f t="shared" si="420"/>
        <v>0</v>
      </c>
      <c r="G881" s="1">
        <f t="shared" si="421"/>
        <v>0</v>
      </c>
      <c r="H881" s="1">
        <f t="shared" si="408"/>
        <v>0</v>
      </c>
      <c r="I881" s="10">
        <f t="shared" si="422"/>
        <v>0</v>
      </c>
      <c r="J881" s="1">
        <f t="shared" si="409"/>
        <v>0</v>
      </c>
      <c r="K881" s="1">
        <f t="shared" si="410"/>
        <v>0</v>
      </c>
      <c r="L881" s="1" t="str">
        <f t="shared" si="411"/>
        <v>0</v>
      </c>
      <c r="M881" s="10">
        <f t="shared" si="412"/>
        <v>0</v>
      </c>
      <c r="N881" s="1">
        <f t="shared" si="423"/>
        <v>0</v>
      </c>
      <c r="O881" s="1">
        <f t="shared" si="415"/>
        <v>0</v>
      </c>
      <c r="P881" s="1">
        <f t="shared" si="413"/>
        <v>0</v>
      </c>
      <c r="Q881" s="3" t="str">
        <f t="shared" si="414"/>
        <v/>
      </c>
      <c r="T881" s="13" t="str">
        <f t="shared" si="424"/>
        <v/>
      </c>
      <c r="U881" s="14" t="str">
        <f t="shared" si="425"/>
        <v/>
      </c>
      <c r="V881" s="13" t="str">
        <f t="shared" si="426"/>
        <v/>
      </c>
      <c r="W881" s="13" t="str">
        <f t="shared" si="427"/>
        <v/>
      </c>
      <c r="X881" s="14" t="str">
        <f t="shared" si="428"/>
        <v/>
      </c>
    </row>
    <row r="882" spans="2:24" x14ac:dyDescent="0.3">
      <c r="B882" s="1">
        <f t="shared" si="416"/>
        <v>0</v>
      </c>
      <c r="C882" s="1">
        <f t="shared" si="417"/>
        <v>0</v>
      </c>
      <c r="D882" s="10">
        <f t="shared" si="418"/>
        <v>0</v>
      </c>
      <c r="E882" s="1">
        <f t="shared" si="419"/>
        <v>0</v>
      </c>
      <c r="F882" s="1">
        <f t="shared" si="420"/>
        <v>0</v>
      </c>
      <c r="G882" s="1">
        <f t="shared" si="421"/>
        <v>0</v>
      </c>
      <c r="H882" s="1">
        <f t="shared" si="408"/>
        <v>0</v>
      </c>
      <c r="I882" s="10">
        <f t="shared" si="422"/>
        <v>0</v>
      </c>
      <c r="J882" s="1">
        <f t="shared" si="409"/>
        <v>0</v>
      </c>
      <c r="K882" s="1">
        <f t="shared" si="410"/>
        <v>0</v>
      </c>
      <c r="L882" s="1" t="str">
        <f t="shared" si="411"/>
        <v>0</v>
      </c>
      <c r="M882" s="10">
        <f t="shared" si="412"/>
        <v>0</v>
      </c>
      <c r="N882" s="1">
        <f t="shared" si="423"/>
        <v>0</v>
      </c>
      <c r="O882" s="1">
        <f t="shared" si="415"/>
        <v>0</v>
      </c>
      <c r="P882" s="1">
        <f t="shared" si="413"/>
        <v>0</v>
      </c>
      <c r="Q882" s="3" t="str">
        <f t="shared" si="414"/>
        <v/>
      </c>
      <c r="T882" s="13" t="str">
        <f t="shared" si="424"/>
        <v/>
      </c>
      <c r="U882" s="14" t="str">
        <f t="shared" si="425"/>
        <v/>
      </c>
      <c r="V882" s="13" t="str">
        <f t="shared" si="426"/>
        <v/>
      </c>
      <c r="W882" s="13" t="str">
        <f t="shared" si="427"/>
        <v/>
      </c>
      <c r="X882" s="14" t="str">
        <f t="shared" si="428"/>
        <v/>
      </c>
    </row>
    <row r="883" spans="2:24" x14ac:dyDescent="0.3">
      <c r="B883" s="1">
        <f t="shared" si="416"/>
        <v>0</v>
      </c>
      <c r="C883" s="1">
        <f t="shared" si="417"/>
        <v>0</v>
      </c>
      <c r="D883" s="10">
        <f t="shared" si="418"/>
        <v>0</v>
      </c>
      <c r="E883" s="1">
        <f t="shared" si="419"/>
        <v>0</v>
      </c>
      <c r="F883" s="1">
        <f t="shared" si="420"/>
        <v>0</v>
      </c>
      <c r="G883" s="1">
        <f t="shared" si="421"/>
        <v>0</v>
      </c>
      <c r="H883" s="1">
        <f t="shared" si="408"/>
        <v>0</v>
      </c>
      <c r="I883" s="10">
        <f t="shared" si="422"/>
        <v>0</v>
      </c>
      <c r="J883" s="1">
        <f t="shared" si="409"/>
        <v>0</v>
      </c>
      <c r="K883" s="1">
        <f t="shared" si="410"/>
        <v>0</v>
      </c>
      <c r="L883" s="1" t="str">
        <f t="shared" si="411"/>
        <v>0</v>
      </c>
      <c r="M883" s="10">
        <f t="shared" si="412"/>
        <v>0</v>
      </c>
      <c r="N883" s="1">
        <f t="shared" si="423"/>
        <v>0</v>
      </c>
      <c r="O883" s="1">
        <f t="shared" si="415"/>
        <v>0</v>
      </c>
      <c r="P883" s="1">
        <f t="shared" si="413"/>
        <v>0</v>
      </c>
      <c r="Q883" s="3" t="str">
        <f t="shared" si="414"/>
        <v/>
      </c>
      <c r="T883" s="13" t="str">
        <f t="shared" si="424"/>
        <v/>
      </c>
      <c r="U883" s="14" t="str">
        <f t="shared" si="425"/>
        <v/>
      </c>
      <c r="V883" s="13" t="str">
        <f t="shared" si="426"/>
        <v/>
      </c>
      <c r="W883" s="13" t="str">
        <f t="shared" si="427"/>
        <v/>
      </c>
      <c r="X883" s="14" t="str">
        <f t="shared" si="428"/>
        <v/>
      </c>
    </row>
    <row r="884" spans="2:24" x14ac:dyDescent="0.3">
      <c r="B884" s="1">
        <f t="shared" si="416"/>
        <v>0</v>
      </c>
      <c r="C884" s="1">
        <f t="shared" si="417"/>
        <v>0</v>
      </c>
      <c r="D884" s="10">
        <f t="shared" si="418"/>
        <v>0</v>
      </c>
      <c r="E884" s="1">
        <f t="shared" si="419"/>
        <v>0</v>
      </c>
      <c r="F884" s="1">
        <f t="shared" si="420"/>
        <v>0</v>
      </c>
      <c r="G884" s="1">
        <f t="shared" si="421"/>
        <v>0</v>
      </c>
      <c r="H884" s="1">
        <f t="shared" si="408"/>
        <v>0</v>
      </c>
      <c r="I884" s="10">
        <f t="shared" si="422"/>
        <v>0</v>
      </c>
      <c r="J884" s="1">
        <f t="shared" si="409"/>
        <v>0</v>
      </c>
      <c r="K884" s="1">
        <f t="shared" si="410"/>
        <v>0</v>
      </c>
      <c r="L884" s="1" t="str">
        <f t="shared" si="411"/>
        <v>0</v>
      </c>
      <c r="M884" s="10">
        <f t="shared" si="412"/>
        <v>0</v>
      </c>
      <c r="N884" s="1">
        <f t="shared" si="423"/>
        <v>0</v>
      </c>
      <c r="O884" s="1">
        <f t="shared" si="415"/>
        <v>0</v>
      </c>
      <c r="P884" s="1">
        <f t="shared" si="413"/>
        <v>0</v>
      </c>
      <c r="Q884" s="3" t="str">
        <f t="shared" si="414"/>
        <v/>
      </c>
      <c r="T884" s="13" t="str">
        <f t="shared" si="424"/>
        <v/>
      </c>
      <c r="U884" s="14" t="str">
        <f t="shared" si="425"/>
        <v/>
      </c>
      <c r="V884" s="13" t="str">
        <f t="shared" si="426"/>
        <v/>
      </c>
      <c r="W884" s="13" t="str">
        <f t="shared" si="427"/>
        <v/>
      </c>
      <c r="X884" s="14" t="str">
        <f t="shared" si="428"/>
        <v/>
      </c>
    </row>
    <row r="885" spans="2:24" x14ac:dyDescent="0.3">
      <c r="B885" s="1">
        <f t="shared" si="416"/>
        <v>0</v>
      </c>
      <c r="C885" s="1">
        <f t="shared" si="417"/>
        <v>0</v>
      </c>
      <c r="D885" s="10">
        <f t="shared" si="418"/>
        <v>0</v>
      </c>
      <c r="E885" s="1">
        <f t="shared" si="419"/>
        <v>0</v>
      </c>
      <c r="F885" s="1">
        <f t="shared" si="420"/>
        <v>0</v>
      </c>
      <c r="G885" s="1">
        <f t="shared" si="421"/>
        <v>0</v>
      </c>
      <c r="H885" s="1">
        <f t="shared" ref="H885:H948" si="429">IF(AND(F885&gt;0,F885&lt;G885),F885,G885)</f>
        <v>0</v>
      </c>
      <c r="I885" s="10">
        <f t="shared" si="422"/>
        <v>0</v>
      </c>
      <c r="J885" s="1">
        <f t="shared" ref="J885:J948" si="430">IF(AND(F885&gt;0,F885&lt;G885),FIND("=",A885,F885)+1,0)</f>
        <v>0</v>
      </c>
      <c r="K885" s="1">
        <f t="shared" ref="K885:K948" si="431">IF(J885&gt;0,MID(A885,J885,G885-J885),0)</f>
        <v>0</v>
      </c>
      <c r="L885" s="1" t="str">
        <f t="shared" ref="L885:L948" si="432">IFERROR(RIGHT(K885,LEN(K885)-FIND("0x",K885)-1),DEC2HEX(K885))</f>
        <v>0</v>
      </c>
      <c r="M885" s="10">
        <f t="shared" ref="M885:M948" si="433">HEX2DEC(L885)</f>
        <v>0</v>
      </c>
      <c r="N885" s="1">
        <f t="shared" si="423"/>
        <v>0</v>
      </c>
      <c r="O885" s="1">
        <f t="shared" si="415"/>
        <v>0</v>
      </c>
      <c r="P885" s="1">
        <f t="shared" ref="P885:P948" si="434">IFERROR(FIND("*/",$A885,N885+1),0)</f>
        <v>0</v>
      </c>
      <c r="Q885" s="3" t="str">
        <f t="shared" si="414"/>
        <v/>
      </c>
      <c r="T885" s="13" t="str">
        <f t="shared" si="424"/>
        <v/>
      </c>
      <c r="U885" s="14" t="str">
        <f t="shared" si="425"/>
        <v/>
      </c>
      <c r="V885" s="13" t="str">
        <f t="shared" si="426"/>
        <v/>
      </c>
      <c r="W885" s="13" t="str">
        <f t="shared" si="427"/>
        <v/>
      </c>
      <c r="X885" s="14" t="str">
        <f t="shared" si="428"/>
        <v/>
      </c>
    </row>
    <row r="886" spans="2:24" x14ac:dyDescent="0.3">
      <c r="B886" s="1">
        <f t="shared" si="416"/>
        <v>0</v>
      </c>
      <c r="C886" s="1">
        <f t="shared" si="417"/>
        <v>0</v>
      </c>
      <c r="D886" s="10">
        <f t="shared" si="418"/>
        <v>0</v>
      </c>
      <c r="E886" s="1">
        <f t="shared" si="419"/>
        <v>0</v>
      </c>
      <c r="F886" s="1">
        <f t="shared" si="420"/>
        <v>0</v>
      </c>
      <c r="G886" s="1">
        <f t="shared" si="421"/>
        <v>0</v>
      </c>
      <c r="H886" s="1">
        <f t="shared" si="429"/>
        <v>0</v>
      </c>
      <c r="I886" s="10">
        <f t="shared" si="422"/>
        <v>0</v>
      </c>
      <c r="J886" s="1">
        <f t="shared" si="430"/>
        <v>0</v>
      </c>
      <c r="K886" s="1">
        <f t="shared" si="431"/>
        <v>0</v>
      </c>
      <c r="L886" s="1" t="str">
        <f t="shared" si="432"/>
        <v>0</v>
      </c>
      <c r="M886" s="10">
        <f t="shared" si="433"/>
        <v>0</v>
      </c>
      <c r="N886" s="1">
        <f t="shared" si="423"/>
        <v>0</v>
      </c>
      <c r="O886" s="1">
        <f t="shared" si="415"/>
        <v>0</v>
      </c>
      <c r="P886" s="1">
        <f t="shared" si="434"/>
        <v>0</v>
      </c>
      <c r="Q886" s="3" t="str">
        <f t="shared" si="414"/>
        <v/>
      </c>
      <c r="T886" s="13" t="str">
        <f t="shared" si="424"/>
        <v/>
      </c>
      <c r="U886" s="14" t="str">
        <f t="shared" si="425"/>
        <v/>
      </c>
      <c r="V886" s="13" t="str">
        <f t="shared" si="426"/>
        <v/>
      </c>
      <c r="W886" s="13" t="str">
        <f t="shared" si="427"/>
        <v/>
      </c>
      <c r="X886" s="14" t="str">
        <f t="shared" si="428"/>
        <v/>
      </c>
    </row>
    <row r="887" spans="2:24" x14ac:dyDescent="0.3">
      <c r="B887" s="1">
        <f t="shared" si="416"/>
        <v>0</v>
      </c>
      <c r="C887" s="1">
        <f t="shared" si="417"/>
        <v>0</v>
      </c>
      <c r="D887" s="10">
        <f t="shared" si="418"/>
        <v>0</v>
      </c>
      <c r="E887" s="1">
        <f t="shared" si="419"/>
        <v>0</v>
      </c>
      <c r="F887" s="1">
        <f t="shared" si="420"/>
        <v>0</v>
      </c>
      <c r="G887" s="1">
        <f t="shared" si="421"/>
        <v>0</v>
      </c>
      <c r="H887" s="1">
        <f t="shared" si="429"/>
        <v>0</v>
      </c>
      <c r="I887" s="10">
        <f t="shared" si="422"/>
        <v>0</v>
      </c>
      <c r="J887" s="1">
        <f t="shared" si="430"/>
        <v>0</v>
      </c>
      <c r="K887" s="1">
        <f t="shared" si="431"/>
        <v>0</v>
      </c>
      <c r="L887" s="1" t="str">
        <f t="shared" si="432"/>
        <v>0</v>
      </c>
      <c r="M887" s="10">
        <f t="shared" si="433"/>
        <v>0</v>
      </c>
      <c r="N887" s="1">
        <f t="shared" si="423"/>
        <v>0</v>
      </c>
      <c r="O887" s="1">
        <f t="shared" si="415"/>
        <v>0</v>
      </c>
      <c r="P887" s="1">
        <f t="shared" si="434"/>
        <v>0</v>
      </c>
      <c r="Q887" s="3" t="str">
        <f t="shared" si="414"/>
        <v/>
      </c>
      <c r="T887" s="13" t="str">
        <f t="shared" si="424"/>
        <v/>
      </c>
      <c r="U887" s="14" t="str">
        <f t="shared" si="425"/>
        <v/>
      </c>
      <c r="V887" s="13" t="str">
        <f t="shared" si="426"/>
        <v/>
      </c>
      <c r="W887" s="13" t="str">
        <f t="shared" si="427"/>
        <v/>
      </c>
      <c r="X887" s="14" t="str">
        <f t="shared" si="428"/>
        <v/>
      </c>
    </row>
    <row r="888" spans="2:24" x14ac:dyDescent="0.3">
      <c r="B888" s="1">
        <f t="shared" si="416"/>
        <v>0</v>
      </c>
      <c r="C888" s="1">
        <f t="shared" si="417"/>
        <v>0</v>
      </c>
      <c r="D888" s="10">
        <f t="shared" si="418"/>
        <v>0</v>
      </c>
      <c r="E888" s="1">
        <f t="shared" si="419"/>
        <v>0</v>
      </c>
      <c r="F888" s="1">
        <f t="shared" si="420"/>
        <v>0</v>
      </c>
      <c r="G888" s="1">
        <f t="shared" si="421"/>
        <v>0</v>
      </c>
      <c r="H888" s="1">
        <f t="shared" si="429"/>
        <v>0</v>
      </c>
      <c r="I888" s="10">
        <f t="shared" si="422"/>
        <v>0</v>
      </c>
      <c r="J888" s="1">
        <f t="shared" si="430"/>
        <v>0</v>
      </c>
      <c r="K888" s="1">
        <f t="shared" si="431"/>
        <v>0</v>
      </c>
      <c r="L888" s="1" t="str">
        <f t="shared" si="432"/>
        <v>0</v>
      </c>
      <c r="M888" s="10">
        <f t="shared" si="433"/>
        <v>0</v>
      </c>
      <c r="N888" s="1">
        <f t="shared" si="423"/>
        <v>0</v>
      </c>
      <c r="O888" s="1">
        <f t="shared" si="415"/>
        <v>0</v>
      </c>
      <c r="P888" s="1">
        <f t="shared" si="434"/>
        <v>0</v>
      </c>
      <c r="Q888" s="3" t="str">
        <f t="shared" si="414"/>
        <v/>
      </c>
      <c r="T888" s="13" t="str">
        <f t="shared" si="424"/>
        <v/>
      </c>
      <c r="U888" s="14" t="str">
        <f t="shared" si="425"/>
        <v/>
      </c>
      <c r="V888" s="13" t="str">
        <f t="shared" si="426"/>
        <v/>
      </c>
      <c r="W888" s="13" t="str">
        <f t="shared" si="427"/>
        <v/>
      </c>
      <c r="X888" s="14" t="str">
        <f t="shared" si="428"/>
        <v/>
      </c>
    </row>
    <row r="889" spans="2:24" x14ac:dyDescent="0.3">
      <c r="B889" s="1">
        <f t="shared" si="416"/>
        <v>0</v>
      </c>
      <c r="C889" s="1">
        <f t="shared" si="417"/>
        <v>0</v>
      </c>
      <c r="D889" s="10">
        <f t="shared" si="418"/>
        <v>0</v>
      </c>
      <c r="E889" s="1">
        <f t="shared" si="419"/>
        <v>0</v>
      </c>
      <c r="F889" s="1">
        <f t="shared" si="420"/>
        <v>0</v>
      </c>
      <c r="G889" s="1">
        <f t="shared" si="421"/>
        <v>0</v>
      </c>
      <c r="H889" s="1">
        <f t="shared" si="429"/>
        <v>0</v>
      </c>
      <c r="I889" s="10">
        <f t="shared" si="422"/>
        <v>0</v>
      </c>
      <c r="J889" s="1">
        <f t="shared" si="430"/>
        <v>0</v>
      </c>
      <c r="K889" s="1">
        <f t="shared" si="431"/>
        <v>0</v>
      </c>
      <c r="L889" s="1" t="str">
        <f t="shared" si="432"/>
        <v>0</v>
      </c>
      <c r="M889" s="10">
        <f t="shared" si="433"/>
        <v>0</v>
      </c>
      <c r="N889" s="1">
        <f t="shared" si="423"/>
        <v>0</v>
      </c>
      <c r="O889" s="1">
        <f t="shared" si="415"/>
        <v>0</v>
      </c>
      <c r="P889" s="1">
        <f t="shared" si="434"/>
        <v>0</v>
      </c>
      <c r="Q889" s="3" t="str">
        <f t="shared" si="414"/>
        <v/>
      </c>
      <c r="T889" s="13" t="str">
        <f t="shared" si="424"/>
        <v/>
      </c>
      <c r="U889" s="14" t="str">
        <f t="shared" si="425"/>
        <v/>
      </c>
      <c r="V889" s="13" t="str">
        <f t="shared" si="426"/>
        <v/>
      </c>
      <c r="W889" s="13" t="str">
        <f t="shared" si="427"/>
        <v/>
      </c>
      <c r="X889" s="14" t="str">
        <f t="shared" si="428"/>
        <v/>
      </c>
    </row>
    <row r="890" spans="2:24" x14ac:dyDescent="0.3">
      <c r="B890" s="1">
        <f t="shared" si="416"/>
        <v>0</v>
      </c>
      <c r="C890" s="1">
        <f t="shared" si="417"/>
        <v>0</v>
      </c>
      <c r="D890" s="10">
        <f t="shared" si="418"/>
        <v>0</v>
      </c>
      <c r="E890" s="1">
        <f t="shared" si="419"/>
        <v>0</v>
      </c>
      <c r="F890" s="1">
        <f t="shared" si="420"/>
        <v>0</v>
      </c>
      <c r="G890" s="1">
        <f t="shared" si="421"/>
        <v>0</v>
      </c>
      <c r="H890" s="1">
        <f t="shared" si="429"/>
        <v>0</v>
      </c>
      <c r="I890" s="10">
        <f t="shared" si="422"/>
        <v>0</v>
      </c>
      <c r="J890" s="1">
        <f t="shared" si="430"/>
        <v>0</v>
      </c>
      <c r="K890" s="1">
        <f t="shared" si="431"/>
        <v>0</v>
      </c>
      <c r="L890" s="1" t="str">
        <f t="shared" si="432"/>
        <v>0</v>
      </c>
      <c r="M890" s="10">
        <f t="shared" si="433"/>
        <v>0</v>
      </c>
      <c r="N890" s="1">
        <f t="shared" si="423"/>
        <v>0</v>
      </c>
      <c r="O890" s="1">
        <f t="shared" si="415"/>
        <v>0</v>
      </c>
      <c r="P890" s="1">
        <f t="shared" si="434"/>
        <v>0</v>
      </c>
      <c r="Q890" s="3" t="str">
        <f t="shared" si="414"/>
        <v/>
      </c>
      <c r="T890" s="13" t="str">
        <f t="shared" si="424"/>
        <v/>
      </c>
      <c r="U890" s="14" t="str">
        <f t="shared" si="425"/>
        <v/>
      </c>
      <c r="V890" s="13" t="str">
        <f t="shared" si="426"/>
        <v/>
      </c>
      <c r="W890" s="13" t="str">
        <f t="shared" si="427"/>
        <v/>
      </c>
      <c r="X890" s="14" t="str">
        <f t="shared" si="428"/>
        <v/>
      </c>
    </row>
    <row r="891" spans="2:24" x14ac:dyDescent="0.3">
      <c r="B891" s="1">
        <f t="shared" si="416"/>
        <v>0</v>
      </c>
      <c r="C891" s="1">
        <f t="shared" si="417"/>
        <v>0</v>
      </c>
      <c r="D891" s="10">
        <f t="shared" si="418"/>
        <v>0</v>
      </c>
      <c r="E891" s="1">
        <f t="shared" si="419"/>
        <v>0</v>
      </c>
      <c r="F891" s="1">
        <f t="shared" si="420"/>
        <v>0</v>
      </c>
      <c r="G891" s="1">
        <f t="shared" si="421"/>
        <v>0</v>
      </c>
      <c r="H891" s="1">
        <f t="shared" si="429"/>
        <v>0</v>
      </c>
      <c r="I891" s="10">
        <f t="shared" si="422"/>
        <v>0</v>
      </c>
      <c r="J891" s="1">
        <f t="shared" si="430"/>
        <v>0</v>
      </c>
      <c r="K891" s="1">
        <f t="shared" si="431"/>
        <v>0</v>
      </c>
      <c r="L891" s="1" t="str">
        <f t="shared" si="432"/>
        <v>0</v>
      </c>
      <c r="M891" s="10">
        <f t="shared" si="433"/>
        <v>0</v>
      </c>
      <c r="N891" s="1">
        <f t="shared" si="423"/>
        <v>0</v>
      </c>
      <c r="O891" s="1">
        <f t="shared" si="415"/>
        <v>0</v>
      </c>
      <c r="P891" s="1">
        <f t="shared" si="434"/>
        <v>0</v>
      </c>
      <c r="Q891" s="3" t="str">
        <f t="shared" si="414"/>
        <v/>
      </c>
      <c r="T891" s="13" t="str">
        <f t="shared" si="424"/>
        <v/>
      </c>
      <c r="U891" s="14" t="str">
        <f t="shared" si="425"/>
        <v/>
      </c>
      <c r="V891" s="13" t="str">
        <f t="shared" si="426"/>
        <v/>
      </c>
      <c r="W891" s="13" t="str">
        <f t="shared" si="427"/>
        <v/>
      </c>
      <c r="X891" s="14" t="str">
        <f t="shared" si="428"/>
        <v/>
      </c>
    </row>
    <row r="892" spans="2:24" x14ac:dyDescent="0.3">
      <c r="B892" s="1">
        <f t="shared" si="416"/>
        <v>0</v>
      </c>
      <c r="C892" s="1">
        <f t="shared" si="417"/>
        <v>0</v>
      </c>
      <c r="D892" s="10">
        <f t="shared" si="418"/>
        <v>0</v>
      </c>
      <c r="E892" s="1">
        <f t="shared" si="419"/>
        <v>0</v>
      </c>
      <c r="F892" s="1">
        <f t="shared" si="420"/>
        <v>0</v>
      </c>
      <c r="G892" s="1">
        <f t="shared" si="421"/>
        <v>0</v>
      </c>
      <c r="H892" s="1">
        <f t="shared" si="429"/>
        <v>0</v>
      </c>
      <c r="I892" s="10">
        <f t="shared" si="422"/>
        <v>0</v>
      </c>
      <c r="J892" s="1">
        <f t="shared" si="430"/>
        <v>0</v>
      </c>
      <c r="K892" s="1">
        <f t="shared" si="431"/>
        <v>0</v>
      </c>
      <c r="L892" s="1" t="str">
        <f t="shared" si="432"/>
        <v>0</v>
      </c>
      <c r="M892" s="10">
        <f t="shared" si="433"/>
        <v>0</v>
      </c>
      <c r="N892" s="1">
        <f t="shared" si="423"/>
        <v>0</v>
      </c>
      <c r="O892" s="1">
        <f t="shared" si="415"/>
        <v>0</v>
      </c>
      <c r="P892" s="1">
        <f t="shared" si="434"/>
        <v>0</v>
      </c>
      <c r="Q892" s="3" t="str">
        <f t="shared" si="414"/>
        <v/>
      </c>
      <c r="T892" s="13" t="str">
        <f t="shared" si="424"/>
        <v/>
      </c>
      <c r="U892" s="14" t="str">
        <f t="shared" si="425"/>
        <v/>
      </c>
      <c r="V892" s="13" t="str">
        <f t="shared" si="426"/>
        <v/>
      </c>
      <c r="W892" s="13" t="str">
        <f t="shared" si="427"/>
        <v/>
      </c>
      <c r="X892" s="14" t="str">
        <f t="shared" si="428"/>
        <v/>
      </c>
    </row>
    <row r="893" spans="2:24" x14ac:dyDescent="0.3">
      <c r="B893" s="1">
        <f t="shared" si="416"/>
        <v>0</v>
      </c>
      <c r="C893" s="1">
        <f t="shared" si="417"/>
        <v>0</v>
      </c>
      <c r="D893" s="10">
        <f t="shared" si="418"/>
        <v>0</v>
      </c>
      <c r="E893" s="1">
        <f t="shared" si="419"/>
        <v>0</v>
      </c>
      <c r="F893" s="1">
        <f t="shared" si="420"/>
        <v>0</v>
      </c>
      <c r="G893" s="1">
        <f t="shared" si="421"/>
        <v>0</v>
      </c>
      <c r="H893" s="1">
        <f t="shared" si="429"/>
        <v>0</v>
      </c>
      <c r="I893" s="10">
        <f t="shared" si="422"/>
        <v>0</v>
      </c>
      <c r="J893" s="1">
        <f t="shared" si="430"/>
        <v>0</v>
      </c>
      <c r="K893" s="1">
        <f t="shared" si="431"/>
        <v>0</v>
      </c>
      <c r="L893" s="1" t="str">
        <f t="shared" si="432"/>
        <v>0</v>
      </c>
      <c r="M893" s="10">
        <f t="shared" si="433"/>
        <v>0</v>
      </c>
      <c r="N893" s="1">
        <f t="shared" si="423"/>
        <v>0</v>
      </c>
      <c r="O893" s="1">
        <f t="shared" si="415"/>
        <v>0</v>
      </c>
      <c r="P893" s="1">
        <f t="shared" si="434"/>
        <v>0</v>
      </c>
      <c r="Q893" s="3" t="str">
        <f t="shared" si="414"/>
        <v/>
      </c>
      <c r="T893" s="13" t="str">
        <f t="shared" si="424"/>
        <v/>
      </c>
      <c r="U893" s="14" t="str">
        <f t="shared" si="425"/>
        <v/>
      </c>
      <c r="V893" s="13" t="str">
        <f t="shared" si="426"/>
        <v/>
      </c>
      <c r="W893" s="13" t="str">
        <f t="shared" si="427"/>
        <v/>
      </c>
      <c r="X893" s="14" t="str">
        <f t="shared" si="428"/>
        <v/>
      </c>
    </row>
    <row r="894" spans="2:24" x14ac:dyDescent="0.3">
      <c r="B894" s="1">
        <f t="shared" si="416"/>
        <v>0</v>
      </c>
      <c r="C894" s="1">
        <f t="shared" si="417"/>
        <v>0</v>
      </c>
      <c r="D894" s="10">
        <f t="shared" si="418"/>
        <v>0</v>
      </c>
      <c r="E894" s="1">
        <f t="shared" si="419"/>
        <v>0</v>
      </c>
      <c r="F894" s="1">
        <f t="shared" si="420"/>
        <v>0</v>
      </c>
      <c r="G894" s="1">
        <f t="shared" si="421"/>
        <v>0</v>
      </c>
      <c r="H894" s="1">
        <f t="shared" si="429"/>
        <v>0</v>
      </c>
      <c r="I894" s="10">
        <f t="shared" si="422"/>
        <v>0</v>
      </c>
      <c r="J894" s="1">
        <f t="shared" si="430"/>
        <v>0</v>
      </c>
      <c r="K894" s="1">
        <f t="shared" si="431"/>
        <v>0</v>
      </c>
      <c r="L894" s="1" t="str">
        <f t="shared" si="432"/>
        <v>0</v>
      </c>
      <c r="M894" s="10">
        <f t="shared" si="433"/>
        <v>0</v>
      </c>
      <c r="N894" s="1">
        <f t="shared" si="423"/>
        <v>0</v>
      </c>
      <c r="O894" s="1">
        <f t="shared" si="415"/>
        <v>0</v>
      </c>
      <c r="P894" s="1">
        <f t="shared" si="434"/>
        <v>0</v>
      </c>
      <c r="Q894" s="3" t="str">
        <f t="shared" si="414"/>
        <v/>
      </c>
      <c r="T894" s="13" t="str">
        <f t="shared" si="424"/>
        <v/>
      </c>
      <c r="U894" s="14" t="str">
        <f t="shared" si="425"/>
        <v/>
      </c>
      <c r="V894" s="13" t="str">
        <f t="shared" si="426"/>
        <v/>
      </c>
      <c r="W894" s="13" t="str">
        <f t="shared" si="427"/>
        <v/>
      </c>
      <c r="X894" s="14" t="str">
        <f t="shared" si="428"/>
        <v/>
      </c>
    </row>
    <row r="895" spans="2:24" x14ac:dyDescent="0.3">
      <c r="B895" s="1">
        <f t="shared" si="416"/>
        <v>0</v>
      </c>
      <c r="C895" s="1">
        <f t="shared" si="417"/>
        <v>0</v>
      </c>
      <c r="D895" s="10">
        <f t="shared" si="418"/>
        <v>0</v>
      </c>
      <c r="E895" s="1">
        <f t="shared" si="419"/>
        <v>0</v>
      </c>
      <c r="F895" s="1">
        <f t="shared" si="420"/>
        <v>0</v>
      </c>
      <c r="G895" s="1">
        <f t="shared" si="421"/>
        <v>0</v>
      </c>
      <c r="H895" s="1">
        <f t="shared" si="429"/>
        <v>0</v>
      </c>
      <c r="I895" s="10">
        <f t="shared" si="422"/>
        <v>0</v>
      </c>
      <c r="J895" s="1">
        <f t="shared" si="430"/>
        <v>0</v>
      </c>
      <c r="K895" s="1">
        <f t="shared" si="431"/>
        <v>0</v>
      </c>
      <c r="L895" s="1" t="str">
        <f t="shared" si="432"/>
        <v>0</v>
      </c>
      <c r="M895" s="10">
        <f t="shared" si="433"/>
        <v>0</v>
      </c>
      <c r="N895" s="1">
        <f t="shared" si="423"/>
        <v>0</v>
      </c>
      <c r="O895" s="1">
        <f t="shared" si="415"/>
        <v>0</v>
      </c>
      <c r="P895" s="1">
        <f t="shared" si="434"/>
        <v>0</v>
      </c>
      <c r="Q895" s="3" t="str">
        <f t="shared" si="414"/>
        <v/>
      </c>
      <c r="T895" s="13" t="str">
        <f t="shared" si="424"/>
        <v/>
      </c>
      <c r="U895" s="14" t="str">
        <f t="shared" si="425"/>
        <v/>
      </c>
      <c r="V895" s="13" t="str">
        <f t="shared" si="426"/>
        <v/>
      </c>
      <c r="W895" s="13" t="str">
        <f t="shared" si="427"/>
        <v/>
      </c>
      <c r="X895" s="14" t="str">
        <f t="shared" si="428"/>
        <v/>
      </c>
    </row>
    <row r="896" spans="2:24" x14ac:dyDescent="0.3">
      <c r="B896" s="1">
        <f t="shared" si="416"/>
        <v>0</v>
      </c>
      <c r="C896" s="1">
        <f t="shared" si="417"/>
        <v>0</v>
      </c>
      <c r="D896" s="10">
        <f t="shared" si="418"/>
        <v>0</v>
      </c>
      <c r="E896" s="1">
        <f t="shared" si="419"/>
        <v>0</v>
      </c>
      <c r="F896" s="1">
        <f t="shared" si="420"/>
        <v>0</v>
      </c>
      <c r="G896" s="1">
        <f t="shared" si="421"/>
        <v>0</v>
      </c>
      <c r="H896" s="1">
        <f t="shared" si="429"/>
        <v>0</v>
      </c>
      <c r="I896" s="10">
        <f t="shared" si="422"/>
        <v>0</v>
      </c>
      <c r="J896" s="1">
        <f t="shared" si="430"/>
        <v>0</v>
      </c>
      <c r="K896" s="1">
        <f t="shared" si="431"/>
        <v>0</v>
      </c>
      <c r="L896" s="1" t="str">
        <f t="shared" si="432"/>
        <v>0</v>
      </c>
      <c r="M896" s="10">
        <f t="shared" si="433"/>
        <v>0</v>
      </c>
      <c r="N896" s="1">
        <f t="shared" si="423"/>
        <v>0</v>
      </c>
      <c r="O896" s="1">
        <f t="shared" si="415"/>
        <v>0</v>
      </c>
      <c r="P896" s="1">
        <f t="shared" si="434"/>
        <v>0</v>
      </c>
      <c r="Q896" s="3" t="str">
        <f t="shared" si="414"/>
        <v/>
      </c>
      <c r="T896" s="13" t="str">
        <f t="shared" si="424"/>
        <v/>
      </c>
      <c r="U896" s="14" t="str">
        <f t="shared" si="425"/>
        <v/>
      </c>
      <c r="V896" s="13" t="str">
        <f t="shared" si="426"/>
        <v/>
      </c>
      <c r="W896" s="13" t="str">
        <f t="shared" si="427"/>
        <v/>
      </c>
      <c r="X896" s="14" t="str">
        <f t="shared" si="428"/>
        <v/>
      </c>
    </row>
    <row r="897" spans="2:24" x14ac:dyDescent="0.3">
      <c r="B897" s="1">
        <f t="shared" si="416"/>
        <v>0</v>
      </c>
      <c r="C897" s="1">
        <f t="shared" si="417"/>
        <v>0</v>
      </c>
      <c r="D897" s="10">
        <f t="shared" si="418"/>
        <v>0</v>
      </c>
      <c r="E897" s="1">
        <f t="shared" si="419"/>
        <v>0</v>
      </c>
      <c r="F897" s="1">
        <f t="shared" si="420"/>
        <v>0</v>
      </c>
      <c r="G897" s="1">
        <f t="shared" si="421"/>
        <v>0</v>
      </c>
      <c r="H897" s="1">
        <f t="shared" si="429"/>
        <v>0</v>
      </c>
      <c r="I897" s="10">
        <f t="shared" si="422"/>
        <v>0</v>
      </c>
      <c r="J897" s="1">
        <f t="shared" si="430"/>
        <v>0</v>
      </c>
      <c r="K897" s="1">
        <f t="shared" si="431"/>
        <v>0</v>
      </c>
      <c r="L897" s="1" t="str">
        <f t="shared" si="432"/>
        <v>0</v>
      </c>
      <c r="M897" s="10">
        <f t="shared" si="433"/>
        <v>0</v>
      </c>
      <c r="N897" s="1">
        <f t="shared" si="423"/>
        <v>0</v>
      </c>
      <c r="O897" s="1">
        <f t="shared" si="415"/>
        <v>0</v>
      </c>
      <c r="P897" s="1">
        <f t="shared" si="434"/>
        <v>0</v>
      </c>
      <c r="Q897" s="3" t="str">
        <f t="shared" si="414"/>
        <v/>
      </c>
      <c r="T897" s="13" t="str">
        <f t="shared" si="424"/>
        <v/>
      </c>
      <c r="U897" s="14" t="str">
        <f t="shared" si="425"/>
        <v/>
      </c>
      <c r="V897" s="13" t="str">
        <f t="shared" si="426"/>
        <v/>
      </c>
      <c r="W897" s="13" t="str">
        <f t="shared" si="427"/>
        <v/>
      </c>
      <c r="X897" s="14" t="str">
        <f t="shared" si="428"/>
        <v/>
      </c>
    </row>
    <row r="898" spans="2:24" x14ac:dyDescent="0.3">
      <c r="B898" s="1">
        <f t="shared" si="416"/>
        <v>0</v>
      </c>
      <c r="C898" s="1">
        <f t="shared" si="417"/>
        <v>0</v>
      </c>
      <c r="D898" s="10">
        <f t="shared" si="418"/>
        <v>0</v>
      </c>
      <c r="E898" s="1">
        <f t="shared" si="419"/>
        <v>0</v>
      </c>
      <c r="F898" s="1">
        <f t="shared" si="420"/>
        <v>0</v>
      </c>
      <c r="G898" s="1">
        <f t="shared" si="421"/>
        <v>0</v>
      </c>
      <c r="H898" s="1">
        <f t="shared" si="429"/>
        <v>0</v>
      </c>
      <c r="I898" s="10">
        <f t="shared" si="422"/>
        <v>0</v>
      </c>
      <c r="J898" s="1">
        <f t="shared" si="430"/>
        <v>0</v>
      </c>
      <c r="K898" s="1">
        <f t="shared" si="431"/>
        <v>0</v>
      </c>
      <c r="L898" s="1" t="str">
        <f t="shared" si="432"/>
        <v>0</v>
      </c>
      <c r="M898" s="10">
        <f t="shared" si="433"/>
        <v>0</v>
      </c>
      <c r="N898" s="1">
        <f t="shared" si="423"/>
        <v>0</v>
      </c>
      <c r="O898" s="1">
        <f t="shared" si="415"/>
        <v>0</v>
      </c>
      <c r="P898" s="1">
        <f t="shared" si="434"/>
        <v>0</v>
      </c>
      <c r="Q898" s="3" t="str">
        <f t="shared" si="414"/>
        <v/>
      </c>
      <c r="T898" s="13" t="str">
        <f t="shared" si="424"/>
        <v/>
      </c>
      <c r="U898" s="14" t="str">
        <f t="shared" si="425"/>
        <v/>
      </c>
      <c r="V898" s="13" t="str">
        <f t="shared" si="426"/>
        <v/>
      </c>
      <c r="W898" s="13" t="str">
        <f t="shared" si="427"/>
        <v/>
      </c>
      <c r="X898" s="14" t="str">
        <f t="shared" si="428"/>
        <v/>
      </c>
    </row>
    <row r="899" spans="2:24" x14ac:dyDescent="0.3">
      <c r="B899" s="1">
        <f t="shared" si="416"/>
        <v>0</v>
      </c>
      <c r="C899" s="1">
        <f t="shared" si="417"/>
        <v>0</v>
      </c>
      <c r="D899" s="10">
        <f t="shared" si="418"/>
        <v>0</v>
      </c>
      <c r="E899" s="1">
        <f t="shared" si="419"/>
        <v>0</v>
      </c>
      <c r="F899" s="1">
        <f t="shared" si="420"/>
        <v>0</v>
      </c>
      <c r="G899" s="1">
        <f t="shared" si="421"/>
        <v>0</v>
      </c>
      <c r="H899" s="1">
        <f t="shared" si="429"/>
        <v>0</v>
      </c>
      <c r="I899" s="10">
        <f t="shared" si="422"/>
        <v>0</v>
      </c>
      <c r="J899" s="1">
        <f t="shared" si="430"/>
        <v>0</v>
      </c>
      <c r="K899" s="1">
        <f t="shared" si="431"/>
        <v>0</v>
      </c>
      <c r="L899" s="1" t="str">
        <f t="shared" si="432"/>
        <v>0</v>
      </c>
      <c r="M899" s="10">
        <f t="shared" si="433"/>
        <v>0</v>
      </c>
      <c r="N899" s="1">
        <f t="shared" si="423"/>
        <v>0</v>
      </c>
      <c r="O899" s="1">
        <f t="shared" si="415"/>
        <v>0</v>
      </c>
      <c r="P899" s="1">
        <f t="shared" si="434"/>
        <v>0</v>
      </c>
      <c r="Q899" s="3" t="str">
        <f t="shared" si="414"/>
        <v/>
      </c>
      <c r="T899" s="13" t="str">
        <f t="shared" si="424"/>
        <v/>
      </c>
      <c r="U899" s="14" t="str">
        <f t="shared" si="425"/>
        <v/>
      </c>
      <c r="V899" s="13" t="str">
        <f t="shared" si="426"/>
        <v/>
      </c>
      <c r="W899" s="13" t="str">
        <f t="shared" si="427"/>
        <v/>
      </c>
      <c r="X899" s="14" t="str">
        <f t="shared" si="428"/>
        <v/>
      </c>
    </row>
    <row r="900" spans="2:24" x14ac:dyDescent="0.3">
      <c r="B900" s="1">
        <f t="shared" si="416"/>
        <v>0</v>
      </c>
      <c r="C900" s="1">
        <f t="shared" si="417"/>
        <v>0</v>
      </c>
      <c r="D900" s="10">
        <f t="shared" si="418"/>
        <v>0</v>
      </c>
      <c r="E900" s="1">
        <f t="shared" si="419"/>
        <v>0</v>
      </c>
      <c r="F900" s="1">
        <f t="shared" si="420"/>
        <v>0</v>
      </c>
      <c r="G900" s="1">
        <f t="shared" si="421"/>
        <v>0</v>
      </c>
      <c r="H900" s="1">
        <f t="shared" si="429"/>
        <v>0</v>
      </c>
      <c r="I900" s="10">
        <f t="shared" si="422"/>
        <v>0</v>
      </c>
      <c r="J900" s="1">
        <f t="shared" si="430"/>
        <v>0</v>
      </c>
      <c r="K900" s="1">
        <f t="shared" si="431"/>
        <v>0</v>
      </c>
      <c r="L900" s="1" t="str">
        <f t="shared" si="432"/>
        <v>0</v>
      </c>
      <c r="M900" s="10">
        <f t="shared" si="433"/>
        <v>0</v>
      </c>
      <c r="N900" s="1">
        <f t="shared" si="423"/>
        <v>0</v>
      </c>
      <c r="O900" s="1">
        <f t="shared" si="415"/>
        <v>0</v>
      </c>
      <c r="P900" s="1">
        <f t="shared" si="434"/>
        <v>0</v>
      </c>
      <c r="Q900" s="3" t="str">
        <f t="shared" ref="Q900:Q963" si="435">IF($N900&gt;0,MID($A900,($N900+$O900),$P900-($N900+$O900)),"")</f>
        <v/>
      </c>
      <c r="T900" s="13" t="str">
        <f t="shared" si="424"/>
        <v/>
      </c>
      <c r="U900" s="14" t="str">
        <f t="shared" si="425"/>
        <v/>
      </c>
      <c r="V900" s="13" t="str">
        <f t="shared" si="426"/>
        <v/>
      </c>
      <c r="W900" s="13" t="str">
        <f t="shared" si="427"/>
        <v/>
      </c>
      <c r="X900" s="14" t="str">
        <f t="shared" si="428"/>
        <v/>
      </c>
    </row>
    <row r="901" spans="2:24" x14ac:dyDescent="0.3">
      <c r="B901" s="1">
        <f t="shared" si="416"/>
        <v>0</v>
      </c>
      <c r="C901" s="1">
        <f t="shared" si="417"/>
        <v>0</v>
      </c>
      <c r="D901" s="10">
        <f t="shared" si="418"/>
        <v>0</v>
      </c>
      <c r="E901" s="1">
        <f t="shared" si="419"/>
        <v>0</v>
      </c>
      <c r="F901" s="1">
        <f t="shared" si="420"/>
        <v>0</v>
      </c>
      <c r="G901" s="1">
        <f t="shared" si="421"/>
        <v>0</v>
      </c>
      <c r="H901" s="1">
        <f t="shared" si="429"/>
        <v>0</v>
      </c>
      <c r="I901" s="10">
        <f t="shared" si="422"/>
        <v>0</v>
      </c>
      <c r="J901" s="1">
        <f t="shared" si="430"/>
        <v>0</v>
      </c>
      <c r="K901" s="1">
        <f t="shared" si="431"/>
        <v>0</v>
      </c>
      <c r="L901" s="1" t="str">
        <f t="shared" si="432"/>
        <v>0</v>
      </c>
      <c r="M901" s="10">
        <f t="shared" si="433"/>
        <v>0</v>
      </c>
      <c r="N901" s="1">
        <f t="shared" si="423"/>
        <v>0</v>
      </c>
      <c r="O901" s="1">
        <f t="shared" ref="O901:O964" si="436">IFERROR(FIND("#",$A901)+1-N901,0)</f>
        <v>0</v>
      </c>
      <c r="P901" s="1">
        <f t="shared" si="434"/>
        <v>0</v>
      </c>
      <c r="Q901" s="3" t="str">
        <f t="shared" si="435"/>
        <v/>
      </c>
      <c r="T901" s="13" t="str">
        <f t="shared" si="424"/>
        <v/>
      </c>
      <c r="U901" s="14" t="str">
        <f t="shared" si="425"/>
        <v/>
      </c>
      <c r="V901" s="13" t="str">
        <f t="shared" si="426"/>
        <v/>
      </c>
      <c r="W901" s="13" t="str">
        <f t="shared" si="427"/>
        <v/>
      </c>
      <c r="X901" s="14" t="str">
        <f t="shared" si="428"/>
        <v/>
      </c>
    </row>
    <row r="902" spans="2:24" x14ac:dyDescent="0.3">
      <c r="B902" s="1">
        <f t="shared" si="416"/>
        <v>0</v>
      </c>
      <c r="C902" s="1">
        <f t="shared" si="417"/>
        <v>0</v>
      </c>
      <c r="D902" s="10">
        <f t="shared" si="418"/>
        <v>0</v>
      </c>
      <c r="E902" s="1">
        <f t="shared" si="419"/>
        <v>0</v>
      </c>
      <c r="F902" s="1">
        <f t="shared" si="420"/>
        <v>0</v>
      </c>
      <c r="G902" s="1">
        <f t="shared" si="421"/>
        <v>0</v>
      </c>
      <c r="H902" s="1">
        <f t="shared" si="429"/>
        <v>0</v>
      </c>
      <c r="I902" s="10">
        <f t="shared" si="422"/>
        <v>0</v>
      </c>
      <c r="J902" s="1">
        <f t="shared" si="430"/>
        <v>0</v>
      </c>
      <c r="K902" s="1">
        <f t="shared" si="431"/>
        <v>0</v>
      </c>
      <c r="L902" s="1" t="str">
        <f t="shared" si="432"/>
        <v>0</v>
      </c>
      <c r="M902" s="10">
        <f t="shared" si="433"/>
        <v>0</v>
      </c>
      <c r="N902" s="1">
        <f t="shared" si="423"/>
        <v>0</v>
      </c>
      <c r="O902" s="1">
        <f t="shared" si="436"/>
        <v>0</v>
      </c>
      <c r="P902" s="1">
        <f t="shared" si="434"/>
        <v>0</v>
      </c>
      <c r="Q902" s="3" t="str">
        <f t="shared" si="435"/>
        <v/>
      </c>
      <c r="T902" s="13" t="str">
        <f t="shared" si="424"/>
        <v/>
      </c>
      <c r="U902" s="14" t="str">
        <f t="shared" si="425"/>
        <v/>
      </c>
      <c r="V902" s="13" t="str">
        <f t="shared" si="426"/>
        <v/>
      </c>
      <c r="W902" s="13" t="str">
        <f t="shared" si="427"/>
        <v/>
      </c>
      <c r="X902" s="14" t="str">
        <f t="shared" si="428"/>
        <v/>
      </c>
    </row>
    <row r="903" spans="2:24" x14ac:dyDescent="0.3">
      <c r="B903" s="1">
        <f t="shared" ref="B903:B966" si="437">IFERROR(FIND("UP_SET(",$A903)+7,0)</f>
        <v>0</v>
      </c>
      <c r="C903" s="1">
        <f t="shared" ref="C903:C966" si="438">IF($B903&gt;0,FIND(",",$A903,$B903),0)</f>
        <v>0</v>
      </c>
      <c r="D903" s="10">
        <f t="shared" ref="D903:D966" si="439">IF($B903&gt;0,MID($A903,$B903,$C903-$B903),0)</f>
        <v>0</v>
      </c>
      <c r="E903" s="1">
        <f t="shared" ref="E903:E966" si="440">IF($B903&gt;0,FIND("Up",$A903,$C903),0)</f>
        <v>0</v>
      </c>
      <c r="F903" s="1">
        <f t="shared" ref="F903:F966" si="441">IF($B903&gt;0,IFERROR(FIND(",",$A903,$E903),0),0)</f>
        <v>0</v>
      </c>
      <c r="G903" s="1">
        <f t="shared" ref="G903:G966" si="442">IF($B903&gt;0,FIND(")",$A903,$B903),0)</f>
        <v>0</v>
      </c>
      <c r="H903" s="1">
        <f t="shared" si="429"/>
        <v>0</v>
      </c>
      <c r="I903" s="10">
        <f t="shared" ref="I903:I966" si="443">IF($B903&gt;0,MID($A903,$E903,$H903-$E903),0)</f>
        <v>0</v>
      </c>
      <c r="J903" s="1">
        <f t="shared" si="430"/>
        <v>0</v>
      </c>
      <c r="K903" s="1">
        <f t="shared" si="431"/>
        <v>0</v>
      </c>
      <c r="L903" s="1" t="str">
        <f t="shared" si="432"/>
        <v>0</v>
      </c>
      <c r="M903" s="10">
        <f t="shared" si="433"/>
        <v>0</v>
      </c>
      <c r="N903" s="1">
        <f t="shared" ref="N903:N966" si="444">IFERROR(FIND("/*",$A903)+2,0)</f>
        <v>0</v>
      </c>
      <c r="O903" s="1">
        <f t="shared" si="436"/>
        <v>0</v>
      </c>
      <c r="P903" s="1">
        <f t="shared" si="434"/>
        <v>0</v>
      </c>
      <c r="Q903" s="3" t="str">
        <f t="shared" si="435"/>
        <v/>
      </c>
      <c r="T903" s="13" t="str">
        <f t="shared" si="424"/>
        <v/>
      </c>
      <c r="U903" s="14" t="str">
        <f t="shared" si="425"/>
        <v/>
      </c>
      <c r="V903" s="13" t="str">
        <f t="shared" si="426"/>
        <v/>
      </c>
      <c r="W903" s="13" t="str">
        <f t="shared" si="427"/>
        <v/>
      </c>
      <c r="X903" s="14" t="str">
        <f t="shared" si="428"/>
        <v/>
      </c>
    </row>
    <row r="904" spans="2:24" x14ac:dyDescent="0.3">
      <c r="B904" s="1">
        <f t="shared" si="437"/>
        <v>0</v>
      </c>
      <c r="C904" s="1">
        <f t="shared" si="438"/>
        <v>0</v>
      </c>
      <c r="D904" s="10">
        <f t="shared" si="439"/>
        <v>0</v>
      </c>
      <c r="E904" s="1">
        <f t="shared" si="440"/>
        <v>0</v>
      </c>
      <c r="F904" s="1">
        <f t="shared" si="441"/>
        <v>0</v>
      </c>
      <c r="G904" s="1">
        <f t="shared" si="442"/>
        <v>0</v>
      </c>
      <c r="H904" s="1">
        <f t="shared" si="429"/>
        <v>0</v>
      </c>
      <c r="I904" s="10">
        <f t="shared" si="443"/>
        <v>0</v>
      </c>
      <c r="J904" s="1">
        <f t="shared" si="430"/>
        <v>0</v>
      </c>
      <c r="K904" s="1">
        <f t="shared" si="431"/>
        <v>0</v>
      </c>
      <c r="L904" s="1" t="str">
        <f t="shared" si="432"/>
        <v>0</v>
      </c>
      <c r="M904" s="10">
        <f t="shared" si="433"/>
        <v>0</v>
      </c>
      <c r="N904" s="1">
        <f t="shared" si="444"/>
        <v>0</v>
      </c>
      <c r="O904" s="1">
        <f t="shared" si="436"/>
        <v>0</v>
      </c>
      <c r="P904" s="1">
        <f t="shared" si="434"/>
        <v>0</v>
      </c>
      <c r="Q904" s="3" t="str">
        <f t="shared" si="435"/>
        <v/>
      </c>
      <c r="T904" s="13" t="str">
        <f t="shared" si="424"/>
        <v/>
      </c>
      <c r="U904" s="14" t="str">
        <f t="shared" si="425"/>
        <v/>
      </c>
      <c r="V904" s="13" t="str">
        <f t="shared" si="426"/>
        <v/>
      </c>
      <c r="W904" s="13" t="str">
        <f t="shared" si="427"/>
        <v/>
      </c>
      <c r="X904" s="14" t="str">
        <f t="shared" si="428"/>
        <v/>
      </c>
    </row>
    <row r="905" spans="2:24" x14ac:dyDescent="0.3">
      <c r="B905" s="1">
        <f t="shared" si="437"/>
        <v>0</v>
      </c>
      <c r="C905" s="1">
        <f t="shared" si="438"/>
        <v>0</v>
      </c>
      <c r="D905" s="10">
        <f t="shared" si="439"/>
        <v>0</v>
      </c>
      <c r="E905" s="1">
        <f t="shared" si="440"/>
        <v>0</v>
      </c>
      <c r="F905" s="1">
        <f t="shared" si="441"/>
        <v>0</v>
      </c>
      <c r="G905" s="1">
        <f t="shared" si="442"/>
        <v>0</v>
      </c>
      <c r="H905" s="1">
        <f t="shared" si="429"/>
        <v>0</v>
      </c>
      <c r="I905" s="10">
        <f t="shared" si="443"/>
        <v>0</v>
      </c>
      <c r="J905" s="1">
        <f t="shared" si="430"/>
        <v>0</v>
      </c>
      <c r="K905" s="1">
        <f t="shared" si="431"/>
        <v>0</v>
      </c>
      <c r="L905" s="1" t="str">
        <f t="shared" si="432"/>
        <v>0</v>
      </c>
      <c r="M905" s="10">
        <f t="shared" si="433"/>
        <v>0</v>
      </c>
      <c r="N905" s="1">
        <f t="shared" si="444"/>
        <v>0</v>
      </c>
      <c r="O905" s="1">
        <f t="shared" si="436"/>
        <v>0</v>
      </c>
      <c r="P905" s="1">
        <f t="shared" si="434"/>
        <v>0</v>
      </c>
      <c r="Q905" s="3" t="str">
        <f t="shared" si="435"/>
        <v/>
      </c>
      <c r="T905" s="13" t="str">
        <f t="shared" si="424"/>
        <v/>
      </c>
      <c r="U905" s="14" t="str">
        <f t="shared" si="425"/>
        <v/>
      </c>
      <c r="V905" s="13" t="str">
        <f t="shared" si="426"/>
        <v/>
      </c>
      <c r="W905" s="13" t="str">
        <f t="shared" si="427"/>
        <v/>
      </c>
      <c r="X905" s="14" t="str">
        <f t="shared" si="428"/>
        <v/>
      </c>
    </row>
    <row r="906" spans="2:24" x14ac:dyDescent="0.3">
      <c r="B906" s="1">
        <f t="shared" si="437"/>
        <v>0</v>
      </c>
      <c r="C906" s="1">
        <f t="shared" si="438"/>
        <v>0</v>
      </c>
      <c r="D906" s="10">
        <f t="shared" si="439"/>
        <v>0</v>
      </c>
      <c r="E906" s="1">
        <f t="shared" si="440"/>
        <v>0</v>
      </c>
      <c r="F906" s="1">
        <f t="shared" si="441"/>
        <v>0</v>
      </c>
      <c r="G906" s="1">
        <f t="shared" si="442"/>
        <v>0</v>
      </c>
      <c r="H906" s="1">
        <f t="shared" si="429"/>
        <v>0</v>
      </c>
      <c r="I906" s="10">
        <f t="shared" si="443"/>
        <v>0</v>
      </c>
      <c r="J906" s="1">
        <f t="shared" si="430"/>
        <v>0</v>
      </c>
      <c r="K906" s="1">
        <f t="shared" si="431"/>
        <v>0</v>
      </c>
      <c r="L906" s="1" t="str">
        <f t="shared" si="432"/>
        <v>0</v>
      </c>
      <c r="M906" s="10">
        <f t="shared" si="433"/>
        <v>0</v>
      </c>
      <c r="N906" s="1">
        <f t="shared" si="444"/>
        <v>0</v>
      </c>
      <c r="O906" s="1">
        <f t="shared" si="436"/>
        <v>0</v>
      </c>
      <c r="P906" s="1">
        <f t="shared" si="434"/>
        <v>0</v>
      </c>
      <c r="Q906" s="3" t="str">
        <f t="shared" si="435"/>
        <v/>
      </c>
      <c r="T906" s="13" t="str">
        <f t="shared" si="424"/>
        <v/>
      </c>
      <c r="U906" s="14" t="str">
        <f t="shared" si="425"/>
        <v/>
      </c>
      <c r="V906" s="13" t="str">
        <f t="shared" si="426"/>
        <v/>
      </c>
      <c r="W906" s="13" t="str">
        <f t="shared" si="427"/>
        <v/>
      </c>
      <c r="X906" s="14" t="str">
        <f t="shared" si="428"/>
        <v/>
      </c>
    </row>
    <row r="907" spans="2:24" x14ac:dyDescent="0.3">
      <c r="B907" s="1">
        <f t="shared" si="437"/>
        <v>0</v>
      </c>
      <c r="C907" s="1">
        <f t="shared" si="438"/>
        <v>0</v>
      </c>
      <c r="D907" s="10">
        <f t="shared" si="439"/>
        <v>0</v>
      </c>
      <c r="E907" s="1">
        <f t="shared" si="440"/>
        <v>0</v>
      </c>
      <c r="F907" s="1">
        <f t="shared" si="441"/>
        <v>0</v>
      </c>
      <c r="G907" s="1">
        <f t="shared" si="442"/>
        <v>0</v>
      </c>
      <c r="H907" s="1">
        <f t="shared" si="429"/>
        <v>0</v>
      </c>
      <c r="I907" s="10">
        <f t="shared" si="443"/>
        <v>0</v>
      </c>
      <c r="J907" s="1">
        <f t="shared" si="430"/>
        <v>0</v>
      </c>
      <c r="K907" s="1">
        <f t="shared" si="431"/>
        <v>0</v>
      </c>
      <c r="L907" s="1" t="str">
        <f t="shared" si="432"/>
        <v>0</v>
      </c>
      <c r="M907" s="10">
        <f t="shared" si="433"/>
        <v>0</v>
      </c>
      <c r="N907" s="1">
        <f t="shared" si="444"/>
        <v>0</v>
      </c>
      <c r="O907" s="1">
        <f t="shared" si="436"/>
        <v>0</v>
      </c>
      <c r="P907" s="1">
        <f t="shared" si="434"/>
        <v>0</v>
      </c>
      <c r="Q907" s="3" t="str">
        <f t="shared" si="435"/>
        <v/>
      </c>
      <c r="T907" s="13" t="str">
        <f t="shared" si="424"/>
        <v/>
      </c>
      <c r="U907" s="14" t="str">
        <f t="shared" si="425"/>
        <v/>
      </c>
      <c r="V907" s="13" t="str">
        <f t="shared" si="426"/>
        <v/>
      </c>
      <c r="W907" s="13" t="str">
        <f t="shared" si="427"/>
        <v/>
      </c>
      <c r="X907" s="14" t="str">
        <f t="shared" si="428"/>
        <v/>
      </c>
    </row>
    <row r="908" spans="2:24" x14ac:dyDescent="0.3">
      <c r="B908" s="1">
        <f t="shared" si="437"/>
        <v>0</v>
      </c>
      <c r="C908" s="1">
        <f t="shared" si="438"/>
        <v>0</v>
      </c>
      <c r="D908" s="10">
        <f t="shared" si="439"/>
        <v>0</v>
      </c>
      <c r="E908" s="1">
        <f t="shared" si="440"/>
        <v>0</v>
      </c>
      <c r="F908" s="1">
        <f t="shared" si="441"/>
        <v>0</v>
      </c>
      <c r="G908" s="1">
        <f t="shared" si="442"/>
        <v>0</v>
      </c>
      <c r="H908" s="1">
        <f t="shared" si="429"/>
        <v>0</v>
      </c>
      <c r="I908" s="10">
        <f t="shared" si="443"/>
        <v>0</v>
      </c>
      <c r="J908" s="1">
        <f t="shared" si="430"/>
        <v>0</v>
      </c>
      <c r="K908" s="1">
        <f t="shared" si="431"/>
        <v>0</v>
      </c>
      <c r="L908" s="1" t="str">
        <f t="shared" si="432"/>
        <v>0</v>
      </c>
      <c r="M908" s="10">
        <f t="shared" si="433"/>
        <v>0</v>
      </c>
      <c r="N908" s="1">
        <f t="shared" si="444"/>
        <v>0</v>
      </c>
      <c r="O908" s="1">
        <f t="shared" si="436"/>
        <v>0</v>
      </c>
      <c r="P908" s="1">
        <f t="shared" si="434"/>
        <v>0</v>
      </c>
      <c r="Q908" s="3" t="str">
        <f t="shared" si="435"/>
        <v/>
      </c>
      <c r="T908" s="13" t="str">
        <f t="shared" si="424"/>
        <v/>
      </c>
      <c r="U908" s="14" t="str">
        <f t="shared" si="425"/>
        <v/>
      </c>
      <c r="V908" s="13" t="str">
        <f t="shared" si="426"/>
        <v/>
      </c>
      <c r="W908" s="13" t="str">
        <f t="shared" si="427"/>
        <v/>
      </c>
      <c r="X908" s="14" t="str">
        <f t="shared" si="428"/>
        <v/>
      </c>
    </row>
    <row r="909" spans="2:24" x14ac:dyDescent="0.3">
      <c r="B909" s="1">
        <f t="shared" si="437"/>
        <v>0</v>
      </c>
      <c r="C909" s="1">
        <f t="shared" si="438"/>
        <v>0</v>
      </c>
      <c r="D909" s="10">
        <f t="shared" si="439"/>
        <v>0</v>
      </c>
      <c r="E909" s="1">
        <f t="shared" si="440"/>
        <v>0</v>
      </c>
      <c r="F909" s="1">
        <f t="shared" si="441"/>
        <v>0</v>
      </c>
      <c r="G909" s="1">
        <f t="shared" si="442"/>
        <v>0</v>
      </c>
      <c r="H909" s="1">
        <f t="shared" si="429"/>
        <v>0</v>
      </c>
      <c r="I909" s="10">
        <f t="shared" si="443"/>
        <v>0</v>
      </c>
      <c r="J909" s="1">
        <f t="shared" si="430"/>
        <v>0</v>
      </c>
      <c r="K909" s="1">
        <f t="shared" si="431"/>
        <v>0</v>
      </c>
      <c r="L909" s="1" t="str">
        <f t="shared" si="432"/>
        <v>0</v>
      </c>
      <c r="M909" s="10">
        <f t="shared" si="433"/>
        <v>0</v>
      </c>
      <c r="N909" s="1">
        <f t="shared" si="444"/>
        <v>0</v>
      </c>
      <c r="O909" s="1">
        <f t="shared" si="436"/>
        <v>0</v>
      </c>
      <c r="P909" s="1">
        <f t="shared" si="434"/>
        <v>0</v>
      </c>
      <c r="Q909" s="3" t="str">
        <f t="shared" si="435"/>
        <v/>
      </c>
      <c r="T909" s="13" t="str">
        <f t="shared" si="424"/>
        <v/>
      </c>
      <c r="U909" s="14" t="str">
        <f t="shared" si="425"/>
        <v/>
      </c>
      <c r="V909" s="13" t="str">
        <f t="shared" si="426"/>
        <v/>
      </c>
      <c r="W909" s="13" t="str">
        <f t="shared" si="427"/>
        <v/>
      </c>
      <c r="X909" s="14" t="str">
        <f t="shared" si="428"/>
        <v/>
      </c>
    </row>
    <row r="910" spans="2:24" x14ac:dyDescent="0.3">
      <c r="B910" s="1">
        <f t="shared" si="437"/>
        <v>0</v>
      </c>
      <c r="C910" s="1">
        <f t="shared" si="438"/>
        <v>0</v>
      </c>
      <c r="D910" s="10">
        <f t="shared" si="439"/>
        <v>0</v>
      </c>
      <c r="E910" s="1">
        <f t="shared" si="440"/>
        <v>0</v>
      </c>
      <c r="F910" s="1">
        <f t="shared" si="441"/>
        <v>0</v>
      </c>
      <c r="G910" s="1">
        <f t="shared" si="442"/>
        <v>0</v>
      </c>
      <c r="H910" s="1">
        <f t="shared" si="429"/>
        <v>0</v>
      </c>
      <c r="I910" s="10">
        <f t="shared" si="443"/>
        <v>0</v>
      </c>
      <c r="J910" s="1">
        <f t="shared" si="430"/>
        <v>0</v>
      </c>
      <c r="K910" s="1">
        <f t="shared" si="431"/>
        <v>0</v>
      </c>
      <c r="L910" s="1" t="str">
        <f t="shared" si="432"/>
        <v>0</v>
      </c>
      <c r="M910" s="10">
        <f t="shared" si="433"/>
        <v>0</v>
      </c>
      <c r="N910" s="1">
        <f t="shared" si="444"/>
        <v>0</v>
      </c>
      <c r="O910" s="1">
        <f t="shared" si="436"/>
        <v>0</v>
      </c>
      <c r="P910" s="1">
        <f t="shared" si="434"/>
        <v>0</v>
      </c>
      <c r="Q910" s="3" t="str">
        <f t="shared" si="435"/>
        <v/>
      </c>
      <c r="T910" s="13" t="str">
        <f t="shared" si="424"/>
        <v/>
      </c>
      <c r="U910" s="14" t="str">
        <f t="shared" si="425"/>
        <v/>
      </c>
      <c r="V910" s="13" t="str">
        <f t="shared" si="426"/>
        <v/>
      </c>
      <c r="W910" s="13" t="str">
        <f t="shared" si="427"/>
        <v/>
      </c>
      <c r="X910" s="14" t="str">
        <f t="shared" si="428"/>
        <v/>
      </c>
    </row>
    <row r="911" spans="2:24" x14ac:dyDescent="0.3">
      <c r="B911" s="1">
        <f t="shared" si="437"/>
        <v>0</v>
      </c>
      <c r="C911" s="1">
        <f t="shared" si="438"/>
        <v>0</v>
      </c>
      <c r="D911" s="10">
        <f t="shared" si="439"/>
        <v>0</v>
      </c>
      <c r="E911" s="1">
        <f t="shared" si="440"/>
        <v>0</v>
      </c>
      <c r="F911" s="1">
        <f t="shared" si="441"/>
        <v>0</v>
      </c>
      <c r="G911" s="1">
        <f t="shared" si="442"/>
        <v>0</v>
      </c>
      <c r="H911" s="1">
        <f t="shared" si="429"/>
        <v>0</v>
      </c>
      <c r="I911" s="10">
        <f t="shared" si="443"/>
        <v>0</v>
      </c>
      <c r="J911" s="1">
        <f t="shared" si="430"/>
        <v>0</v>
      </c>
      <c r="K911" s="1">
        <f t="shared" si="431"/>
        <v>0</v>
      </c>
      <c r="L911" s="1" t="str">
        <f t="shared" si="432"/>
        <v>0</v>
      </c>
      <c r="M911" s="10">
        <f t="shared" si="433"/>
        <v>0</v>
      </c>
      <c r="N911" s="1">
        <f t="shared" si="444"/>
        <v>0</v>
      </c>
      <c r="O911" s="1">
        <f t="shared" si="436"/>
        <v>0</v>
      </c>
      <c r="P911" s="1">
        <f t="shared" si="434"/>
        <v>0</v>
      </c>
      <c r="Q911" s="3" t="str">
        <f t="shared" si="435"/>
        <v/>
      </c>
      <c r="T911" s="13" t="str">
        <f t="shared" si="424"/>
        <v/>
      </c>
      <c r="U911" s="14" t="str">
        <f t="shared" si="425"/>
        <v/>
      </c>
      <c r="V911" s="13" t="str">
        <f t="shared" si="426"/>
        <v/>
      </c>
      <c r="W911" s="13" t="str">
        <f t="shared" si="427"/>
        <v/>
      </c>
      <c r="X911" s="14" t="str">
        <f t="shared" si="428"/>
        <v/>
      </c>
    </row>
    <row r="912" spans="2:24" x14ac:dyDescent="0.3">
      <c r="B912" s="1">
        <f t="shared" si="437"/>
        <v>0</v>
      </c>
      <c r="C912" s="1">
        <f t="shared" si="438"/>
        <v>0</v>
      </c>
      <c r="D912" s="10">
        <f t="shared" si="439"/>
        <v>0</v>
      </c>
      <c r="E912" s="1">
        <f t="shared" si="440"/>
        <v>0</v>
      </c>
      <c r="F912" s="1">
        <f t="shared" si="441"/>
        <v>0</v>
      </c>
      <c r="G912" s="1">
        <f t="shared" si="442"/>
        <v>0</v>
      </c>
      <c r="H912" s="1">
        <f t="shared" si="429"/>
        <v>0</v>
      </c>
      <c r="I912" s="10">
        <f t="shared" si="443"/>
        <v>0</v>
      </c>
      <c r="J912" s="1">
        <f t="shared" si="430"/>
        <v>0</v>
      </c>
      <c r="K912" s="1">
        <f t="shared" si="431"/>
        <v>0</v>
      </c>
      <c r="L912" s="1" t="str">
        <f t="shared" si="432"/>
        <v>0</v>
      </c>
      <c r="M912" s="10">
        <f t="shared" si="433"/>
        <v>0</v>
      </c>
      <c r="N912" s="1">
        <f t="shared" si="444"/>
        <v>0</v>
      </c>
      <c r="O912" s="1">
        <f t="shared" si="436"/>
        <v>0</v>
      </c>
      <c r="P912" s="1">
        <f t="shared" si="434"/>
        <v>0</v>
      </c>
      <c r="Q912" s="3" t="str">
        <f t="shared" si="435"/>
        <v/>
      </c>
      <c r="T912" s="13" t="str">
        <f t="shared" si="424"/>
        <v/>
      </c>
      <c r="U912" s="14" t="str">
        <f t="shared" si="425"/>
        <v/>
      </c>
      <c r="V912" s="13" t="str">
        <f t="shared" si="426"/>
        <v/>
      </c>
      <c r="W912" s="13" t="str">
        <f t="shared" si="427"/>
        <v/>
      </c>
      <c r="X912" s="14" t="str">
        <f t="shared" si="428"/>
        <v/>
      </c>
    </row>
    <row r="913" spans="2:24" x14ac:dyDescent="0.3">
      <c r="B913" s="1">
        <f t="shared" si="437"/>
        <v>0</v>
      </c>
      <c r="C913" s="1">
        <f t="shared" si="438"/>
        <v>0</v>
      </c>
      <c r="D913" s="10">
        <f t="shared" si="439"/>
        <v>0</v>
      </c>
      <c r="E913" s="1">
        <f t="shared" si="440"/>
        <v>0</v>
      </c>
      <c r="F913" s="1">
        <f t="shared" si="441"/>
        <v>0</v>
      </c>
      <c r="G913" s="1">
        <f t="shared" si="442"/>
        <v>0</v>
      </c>
      <c r="H913" s="1">
        <f t="shared" si="429"/>
        <v>0</v>
      </c>
      <c r="I913" s="10">
        <f t="shared" si="443"/>
        <v>0</v>
      </c>
      <c r="J913" s="1">
        <f t="shared" si="430"/>
        <v>0</v>
      </c>
      <c r="K913" s="1">
        <f t="shared" si="431"/>
        <v>0</v>
      </c>
      <c r="L913" s="1" t="str">
        <f t="shared" si="432"/>
        <v>0</v>
      </c>
      <c r="M913" s="10">
        <f t="shared" si="433"/>
        <v>0</v>
      </c>
      <c r="N913" s="1">
        <f t="shared" si="444"/>
        <v>0</v>
      </c>
      <c r="O913" s="1">
        <f t="shared" si="436"/>
        <v>0</v>
      </c>
      <c r="P913" s="1">
        <f t="shared" si="434"/>
        <v>0</v>
      </c>
      <c r="Q913" s="3" t="str">
        <f t="shared" si="435"/>
        <v/>
      </c>
      <c r="T913" s="13" t="str">
        <f t="shared" si="424"/>
        <v/>
      </c>
      <c r="U913" s="14" t="str">
        <f t="shared" si="425"/>
        <v/>
      </c>
      <c r="V913" s="13" t="str">
        <f t="shared" si="426"/>
        <v/>
      </c>
      <c r="W913" s="13" t="str">
        <f t="shared" si="427"/>
        <v/>
      </c>
      <c r="X913" s="14" t="str">
        <f t="shared" si="428"/>
        <v/>
      </c>
    </row>
    <row r="914" spans="2:24" x14ac:dyDescent="0.3">
      <c r="B914" s="1">
        <f t="shared" si="437"/>
        <v>0</v>
      </c>
      <c r="C914" s="1">
        <f t="shared" si="438"/>
        <v>0</v>
      </c>
      <c r="D914" s="10">
        <f t="shared" si="439"/>
        <v>0</v>
      </c>
      <c r="E914" s="1">
        <f t="shared" si="440"/>
        <v>0</v>
      </c>
      <c r="F914" s="1">
        <f t="shared" si="441"/>
        <v>0</v>
      </c>
      <c r="G914" s="1">
        <f t="shared" si="442"/>
        <v>0</v>
      </c>
      <c r="H914" s="1">
        <f t="shared" si="429"/>
        <v>0</v>
      </c>
      <c r="I914" s="10">
        <f t="shared" si="443"/>
        <v>0</v>
      </c>
      <c r="J914" s="1">
        <f t="shared" si="430"/>
        <v>0</v>
      </c>
      <c r="K914" s="1">
        <f t="shared" si="431"/>
        <v>0</v>
      </c>
      <c r="L914" s="1" t="str">
        <f t="shared" si="432"/>
        <v>0</v>
      </c>
      <c r="M914" s="10">
        <f t="shared" si="433"/>
        <v>0</v>
      </c>
      <c r="N914" s="1">
        <f t="shared" si="444"/>
        <v>0</v>
      </c>
      <c r="O914" s="1">
        <f t="shared" si="436"/>
        <v>0</v>
      </c>
      <c r="P914" s="1">
        <f t="shared" si="434"/>
        <v>0</v>
      </c>
      <c r="Q914" s="3" t="str">
        <f t="shared" si="435"/>
        <v/>
      </c>
      <c r="T914" s="13" t="str">
        <f t="shared" si="424"/>
        <v/>
      </c>
      <c r="U914" s="14" t="str">
        <f t="shared" si="425"/>
        <v/>
      </c>
      <c r="V914" s="13" t="str">
        <f t="shared" si="426"/>
        <v/>
      </c>
      <c r="W914" s="13" t="str">
        <f t="shared" si="427"/>
        <v/>
      </c>
      <c r="X914" s="14" t="str">
        <f t="shared" si="428"/>
        <v/>
      </c>
    </row>
    <row r="915" spans="2:24" x14ac:dyDescent="0.3">
      <c r="B915" s="1">
        <f t="shared" si="437"/>
        <v>0</v>
      </c>
      <c r="C915" s="1">
        <f t="shared" si="438"/>
        <v>0</v>
      </c>
      <c r="D915" s="10">
        <f t="shared" si="439"/>
        <v>0</v>
      </c>
      <c r="E915" s="1">
        <f t="shared" si="440"/>
        <v>0</v>
      </c>
      <c r="F915" s="1">
        <f t="shared" si="441"/>
        <v>0</v>
      </c>
      <c r="G915" s="1">
        <f t="shared" si="442"/>
        <v>0</v>
      </c>
      <c r="H915" s="1">
        <f t="shared" si="429"/>
        <v>0</v>
      </c>
      <c r="I915" s="10">
        <f t="shared" si="443"/>
        <v>0</v>
      </c>
      <c r="J915" s="1">
        <f t="shared" si="430"/>
        <v>0</v>
      </c>
      <c r="K915" s="1">
        <f t="shared" si="431"/>
        <v>0</v>
      </c>
      <c r="L915" s="1" t="str">
        <f t="shared" si="432"/>
        <v>0</v>
      </c>
      <c r="M915" s="10">
        <f t="shared" si="433"/>
        <v>0</v>
      </c>
      <c r="N915" s="1">
        <f t="shared" si="444"/>
        <v>0</v>
      </c>
      <c r="O915" s="1">
        <f t="shared" si="436"/>
        <v>0</v>
      </c>
      <c r="P915" s="1">
        <f t="shared" si="434"/>
        <v>0</v>
      </c>
      <c r="Q915" s="3" t="str">
        <f t="shared" si="435"/>
        <v/>
      </c>
      <c r="T915" s="13" t="str">
        <f t="shared" ref="T915:T978" si="445">IF(A915="",IF(A914="","",$T$1),IF(O915=1,"#",IF(B915=0,"*",DEC2HEX(R915))))</f>
        <v/>
      </c>
      <c r="U915" s="14" t="str">
        <f t="shared" ref="U915:U978" si="446">IF(A915="",IF(A914="","",$U$1),  IF(B915=0,Q915,I915)  )</f>
        <v/>
      </c>
      <c r="V915" s="13" t="str">
        <f t="shared" ref="V915:V978" si="447">IF(U915=$U$1,"",IF(A915="",IF(A914="","",1),  IF(B915=0,1,D915)  ))</f>
        <v/>
      </c>
      <c r="W915" s="13" t="str">
        <f t="shared" ref="W915:W978" si="448">IF(U915=$U$1,"",IF(A915="",IF(A914="","",0),  IF(C915=0,0,0)  ))</f>
        <v/>
      </c>
      <c r="X915" s="14" t="str">
        <f t="shared" ref="X915:X978" si="449">IF(U915=$U$1,"",IF(U915="","",IF(B915&gt;0,IF(Q915&lt;&gt;"",Q915,"No description"),"-")))</f>
        <v/>
      </c>
    </row>
    <row r="916" spans="2:24" x14ac:dyDescent="0.3">
      <c r="B916" s="1">
        <f t="shared" si="437"/>
        <v>0</v>
      </c>
      <c r="C916" s="1">
        <f t="shared" si="438"/>
        <v>0</v>
      </c>
      <c r="D916" s="10">
        <f t="shared" si="439"/>
        <v>0</v>
      </c>
      <c r="E916" s="1">
        <f t="shared" si="440"/>
        <v>0</v>
      </c>
      <c r="F916" s="1">
        <f t="shared" si="441"/>
        <v>0</v>
      </c>
      <c r="G916" s="1">
        <f t="shared" si="442"/>
        <v>0</v>
      </c>
      <c r="H916" s="1">
        <f t="shared" si="429"/>
        <v>0</v>
      </c>
      <c r="I916" s="10">
        <f t="shared" si="443"/>
        <v>0</v>
      </c>
      <c r="J916" s="1">
        <f t="shared" si="430"/>
        <v>0</v>
      </c>
      <c r="K916" s="1">
        <f t="shared" si="431"/>
        <v>0</v>
      </c>
      <c r="L916" s="1" t="str">
        <f t="shared" si="432"/>
        <v>0</v>
      </c>
      <c r="M916" s="10">
        <f t="shared" si="433"/>
        <v>0</v>
      </c>
      <c r="N916" s="1">
        <f t="shared" si="444"/>
        <v>0</v>
      </c>
      <c r="O916" s="1">
        <f t="shared" si="436"/>
        <v>0</v>
      </c>
      <c r="P916" s="1">
        <f t="shared" si="434"/>
        <v>0</v>
      </c>
      <c r="Q916" s="3" t="str">
        <f t="shared" si="435"/>
        <v/>
      </c>
      <c r="T916" s="13" t="str">
        <f t="shared" si="445"/>
        <v/>
      </c>
      <c r="U916" s="14" t="str">
        <f t="shared" si="446"/>
        <v/>
      </c>
      <c r="V916" s="13" t="str">
        <f t="shared" si="447"/>
        <v/>
      </c>
      <c r="W916" s="13" t="str">
        <f t="shared" si="448"/>
        <v/>
      </c>
      <c r="X916" s="14" t="str">
        <f t="shared" si="449"/>
        <v/>
      </c>
    </row>
    <row r="917" spans="2:24" x14ac:dyDescent="0.3">
      <c r="B917" s="1">
        <f t="shared" si="437"/>
        <v>0</v>
      </c>
      <c r="C917" s="1">
        <f t="shared" si="438"/>
        <v>0</v>
      </c>
      <c r="D917" s="10">
        <f t="shared" si="439"/>
        <v>0</v>
      </c>
      <c r="E917" s="1">
        <f t="shared" si="440"/>
        <v>0</v>
      </c>
      <c r="F917" s="1">
        <f t="shared" si="441"/>
        <v>0</v>
      </c>
      <c r="G917" s="1">
        <f t="shared" si="442"/>
        <v>0</v>
      </c>
      <c r="H917" s="1">
        <f t="shared" si="429"/>
        <v>0</v>
      </c>
      <c r="I917" s="10">
        <f t="shared" si="443"/>
        <v>0</v>
      </c>
      <c r="J917" s="1">
        <f t="shared" si="430"/>
        <v>0</v>
      </c>
      <c r="K917" s="1">
        <f t="shared" si="431"/>
        <v>0</v>
      </c>
      <c r="L917" s="1" t="str">
        <f t="shared" si="432"/>
        <v>0</v>
      </c>
      <c r="M917" s="10">
        <f t="shared" si="433"/>
        <v>0</v>
      </c>
      <c r="N917" s="1">
        <f t="shared" si="444"/>
        <v>0</v>
      </c>
      <c r="O917" s="1">
        <f t="shared" si="436"/>
        <v>0</v>
      </c>
      <c r="P917" s="1">
        <f t="shared" si="434"/>
        <v>0</v>
      </c>
      <c r="Q917" s="3" t="str">
        <f t="shared" si="435"/>
        <v/>
      </c>
      <c r="T917" s="13" t="str">
        <f t="shared" si="445"/>
        <v/>
      </c>
      <c r="U917" s="14" t="str">
        <f t="shared" si="446"/>
        <v/>
      </c>
      <c r="V917" s="13" t="str">
        <f t="shared" si="447"/>
        <v/>
      </c>
      <c r="W917" s="13" t="str">
        <f t="shared" si="448"/>
        <v/>
      </c>
      <c r="X917" s="14" t="str">
        <f t="shared" si="449"/>
        <v/>
      </c>
    </row>
    <row r="918" spans="2:24" x14ac:dyDescent="0.3">
      <c r="B918" s="1">
        <f t="shared" si="437"/>
        <v>0</v>
      </c>
      <c r="C918" s="1">
        <f t="shared" si="438"/>
        <v>0</v>
      </c>
      <c r="D918" s="10">
        <f t="shared" si="439"/>
        <v>0</v>
      </c>
      <c r="E918" s="1">
        <f t="shared" si="440"/>
        <v>0</v>
      </c>
      <c r="F918" s="1">
        <f t="shared" si="441"/>
        <v>0</v>
      </c>
      <c r="G918" s="1">
        <f t="shared" si="442"/>
        <v>0</v>
      </c>
      <c r="H918" s="1">
        <f t="shared" si="429"/>
        <v>0</v>
      </c>
      <c r="I918" s="10">
        <f t="shared" si="443"/>
        <v>0</v>
      </c>
      <c r="J918" s="1">
        <f t="shared" si="430"/>
        <v>0</v>
      </c>
      <c r="K918" s="1">
        <f t="shared" si="431"/>
        <v>0</v>
      </c>
      <c r="L918" s="1" t="str">
        <f t="shared" si="432"/>
        <v>0</v>
      </c>
      <c r="M918" s="10">
        <f t="shared" si="433"/>
        <v>0</v>
      </c>
      <c r="N918" s="1">
        <f t="shared" si="444"/>
        <v>0</v>
      </c>
      <c r="O918" s="1">
        <f t="shared" si="436"/>
        <v>0</v>
      </c>
      <c r="P918" s="1">
        <f t="shared" si="434"/>
        <v>0</v>
      </c>
      <c r="Q918" s="3" t="str">
        <f t="shared" si="435"/>
        <v/>
      </c>
      <c r="T918" s="13" t="str">
        <f t="shared" si="445"/>
        <v/>
      </c>
      <c r="U918" s="14" t="str">
        <f t="shared" si="446"/>
        <v/>
      </c>
      <c r="V918" s="13" t="str">
        <f t="shared" si="447"/>
        <v/>
      </c>
      <c r="W918" s="13" t="str">
        <f t="shared" si="448"/>
        <v/>
      </c>
      <c r="X918" s="14" t="str">
        <f t="shared" si="449"/>
        <v/>
      </c>
    </row>
    <row r="919" spans="2:24" x14ac:dyDescent="0.3">
      <c r="B919" s="1">
        <f t="shared" si="437"/>
        <v>0</v>
      </c>
      <c r="C919" s="1">
        <f t="shared" si="438"/>
        <v>0</v>
      </c>
      <c r="D919" s="10">
        <f t="shared" si="439"/>
        <v>0</v>
      </c>
      <c r="E919" s="1">
        <f t="shared" si="440"/>
        <v>0</v>
      </c>
      <c r="F919" s="1">
        <f t="shared" si="441"/>
        <v>0</v>
      </c>
      <c r="G919" s="1">
        <f t="shared" si="442"/>
        <v>0</v>
      </c>
      <c r="H919" s="1">
        <f t="shared" si="429"/>
        <v>0</v>
      </c>
      <c r="I919" s="10">
        <f t="shared" si="443"/>
        <v>0</v>
      </c>
      <c r="J919" s="1">
        <f t="shared" si="430"/>
        <v>0</v>
      </c>
      <c r="K919" s="1">
        <f t="shared" si="431"/>
        <v>0</v>
      </c>
      <c r="L919" s="1" t="str">
        <f t="shared" si="432"/>
        <v>0</v>
      </c>
      <c r="M919" s="10">
        <f t="shared" si="433"/>
        <v>0</v>
      </c>
      <c r="N919" s="1">
        <f t="shared" si="444"/>
        <v>0</v>
      </c>
      <c r="O919" s="1">
        <f t="shared" si="436"/>
        <v>0</v>
      </c>
      <c r="P919" s="1">
        <f t="shared" si="434"/>
        <v>0</v>
      </c>
      <c r="Q919" s="3" t="str">
        <f t="shared" si="435"/>
        <v/>
      </c>
      <c r="T919" s="13" t="str">
        <f t="shared" si="445"/>
        <v/>
      </c>
      <c r="U919" s="14" t="str">
        <f t="shared" si="446"/>
        <v/>
      </c>
      <c r="V919" s="13" t="str">
        <f t="shared" si="447"/>
        <v/>
      </c>
      <c r="W919" s="13" t="str">
        <f t="shared" si="448"/>
        <v/>
      </c>
      <c r="X919" s="14" t="str">
        <f t="shared" si="449"/>
        <v/>
      </c>
    </row>
    <row r="920" spans="2:24" x14ac:dyDescent="0.3">
      <c r="B920" s="1">
        <f t="shared" si="437"/>
        <v>0</v>
      </c>
      <c r="C920" s="1">
        <f t="shared" si="438"/>
        <v>0</v>
      </c>
      <c r="D920" s="10">
        <f t="shared" si="439"/>
        <v>0</v>
      </c>
      <c r="E920" s="1">
        <f t="shared" si="440"/>
        <v>0</v>
      </c>
      <c r="F920" s="1">
        <f t="shared" si="441"/>
        <v>0</v>
      </c>
      <c r="G920" s="1">
        <f t="shared" si="442"/>
        <v>0</v>
      </c>
      <c r="H920" s="1">
        <f t="shared" si="429"/>
        <v>0</v>
      </c>
      <c r="I920" s="10">
        <f t="shared" si="443"/>
        <v>0</v>
      </c>
      <c r="J920" s="1">
        <f t="shared" si="430"/>
        <v>0</v>
      </c>
      <c r="K920" s="1">
        <f t="shared" si="431"/>
        <v>0</v>
      </c>
      <c r="L920" s="1" t="str">
        <f t="shared" si="432"/>
        <v>0</v>
      </c>
      <c r="M920" s="10">
        <f t="shared" si="433"/>
        <v>0</v>
      </c>
      <c r="N920" s="1">
        <f t="shared" si="444"/>
        <v>0</v>
      </c>
      <c r="O920" s="1">
        <f t="shared" si="436"/>
        <v>0</v>
      </c>
      <c r="P920" s="1">
        <f t="shared" si="434"/>
        <v>0</v>
      </c>
      <c r="Q920" s="3" t="str">
        <f t="shared" si="435"/>
        <v/>
      </c>
      <c r="T920" s="13" t="str">
        <f t="shared" si="445"/>
        <v/>
      </c>
      <c r="U920" s="14" t="str">
        <f t="shared" si="446"/>
        <v/>
      </c>
      <c r="V920" s="13" t="str">
        <f t="shared" si="447"/>
        <v/>
      </c>
      <c r="W920" s="13" t="str">
        <f t="shared" si="448"/>
        <v/>
      </c>
      <c r="X920" s="14" t="str">
        <f t="shared" si="449"/>
        <v/>
      </c>
    </row>
    <row r="921" spans="2:24" x14ac:dyDescent="0.3">
      <c r="B921" s="1">
        <f t="shared" si="437"/>
        <v>0</v>
      </c>
      <c r="C921" s="1">
        <f t="shared" si="438"/>
        <v>0</v>
      </c>
      <c r="D921" s="10">
        <f t="shared" si="439"/>
        <v>0</v>
      </c>
      <c r="E921" s="1">
        <f t="shared" si="440"/>
        <v>0</v>
      </c>
      <c r="F921" s="1">
        <f t="shared" si="441"/>
        <v>0</v>
      </c>
      <c r="G921" s="1">
        <f t="shared" si="442"/>
        <v>0</v>
      </c>
      <c r="H921" s="1">
        <f t="shared" si="429"/>
        <v>0</v>
      </c>
      <c r="I921" s="10">
        <f t="shared" si="443"/>
        <v>0</v>
      </c>
      <c r="J921" s="1">
        <f t="shared" si="430"/>
        <v>0</v>
      </c>
      <c r="K921" s="1">
        <f t="shared" si="431"/>
        <v>0</v>
      </c>
      <c r="L921" s="1" t="str">
        <f t="shared" si="432"/>
        <v>0</v>
      </c>
      <c r="M921" s="10">
        <f t="shared" si="433"/>
        <v>0</v>
      </c>
      <c r="N921" s="1">
        <f t="shared" si="444"/>
        <v>0</v>
      </c>
      <c r="O921" s="1">
        <f t="shared" si="436"/>
        <v>0</v>
      </c>
      <c r="P921" s="1">
        <f t="shared" si="434"/>
        <v>0</v>
      </c>
      <c r="Q921" s="3" t="str">
        <f t="shared" si="435"/>
        <v/>
      </c>
      <c r="T921" s="13" t="str">
        <f t="shared" si="445"/>
        <v/>
      </c>
      <c r="U921" s="14" t="str">
        <f t="shared" si="446"/>
        <v/>
      </c>
      <c r="V921" s="13" t="str">
        <f t="shared" si="447"/>
        <v/>
      </c>
      <c r="W921" s="13" t="str">
        <f t="shared" si="448"/>
        <v/>
      </c>
      <c r="X921" s="14" t="str">
        <f t="shared" si="449"/>
        <v/>
      </c>
    </row>
    <row r="922" spans="2:24" x14ac:dyDescent="0.3">
      <c r="B922" s="1">
        <f t="shared" si="437"/>
        <v>0</v>
      </c>
      <c r="C922" s="1">
        <f t="shared" si="438"/>
        <v>0</v>
      </c>
      <c r="D922" s="10">
        <f t="shared" si="439"/>
        <v>0</v>
      </c>
      <c r="E922" s="1">
        <f t="shared" si="440"/>
        <v>0</v>
      </c>
      <c r="F922" s="1">
        <f t="shared" si="441"/>
        <v>0</v>
      </c>
      <c r="G922" s="1">
        <f t="shared" si="442"/>
        <v>0</v>
      </c>
      <c r="H922" s="1">
        <f t="shared" si="429"/>
        <v>0</v>
      </c>
      <c r="I922" s="10">
        <f t="shared" si="443"/>
        <v>0</v>
      </c>
      <c r="J922" s="1">
        <f t="shared" si="430"/>
        <v>0</v>
      </c>
      <c r="K922" s="1">
        <f t="shared" si="431"/>
        <v>0</v>
      </c>
      <c r="L922" s="1" t="str">
        <f t="shared" si="432"/>
        <v>0</v>
      </c>
      <c r="M922" s="10">
        <f t="shared" si="433"/>
        <v>0</v>
      </c>
      <c r="N922" s="1">
        <f t="shared" si="444"/>
        <v>0</v>
      </c>
      <c r="O922" s="1">
        <f t="shared" si="436"/>
        <v>0</v>
      </c>
      <c r="P922" s="1">
        <f t="shared" si="434"/>
        <v>0</v>
      </c>
      <c r="Q922" s="3" t="str">
        <f t="shared" si="435"/>
        <v/>
      </c>
      <c r="T922" s="13" t="str">
        <f t="shared" si="445"/>
        <v/>
      </c>
      <c r="U922" s="14" t="str">
        <f t="shared" si="446"/>
        <v/>
      </c>
      <c r="V922" s="13" t="str">
        <f t="shared" si="447"/>
        <v/>
      </c>
      <c r="W922" s="13" t="str">
        <f t="shared" si="448"/>
        <v/>
      </c>
      <c r="X922" s="14" t="str">
        <f t="shared" si="449"/>
        <v/>
      </c>
    </row>
    <row r="923" spans="2:24" x14ac:dyDescent="0.3">
      <c r="B923" s="1">
        <f t="shared" si="437"/>
        <v>0</v>
      </c>
      <c r="C923" s="1">
        <f t="shared" si="438"/>
        <v>0</v>
      </c>
      <c r="D923" s="10">
        <f t="shared" si="439"/>
        <v>0</v>
      </c>
      <c r="E923" s="1">
        <f t="shared" si="440"/>
        <v>0</v>
      </c>
      <c r="F923" s="1">
        <f t="shared" si="441"/>
        <v>0</v>
      </c>
      <c r="G923" s="1">
        <f t="shared" si="442"/>
        <v>0</v>
      </c>
      <c r="H923" s="1">
        <f t="shared" si="429"/>
        <v>0</v>
      </c>
      <c r="I923" s="10">
        <f t="shared" si="443"/>
        <v>0</v>
      </c>
      <c r="J923" s="1">
        <f t="shared" si="430"/>
        <v>0</v>
      </c>
      <c r="K923" s="1">
        <f t="shared" si="431"/>
        <v>0</v>
      </c>
      <c r="L923" s="1" t="str">
        <f t="shared" si="432"/>
        <v>0</v>
      </c>
      <c r="M923" s="10">
        <f t="shared" si="433"/>
        <v>0</v>
      </c>
      <c r="N923" s="1">
        <f t="shared" si="444"/>
        <v>0</v>
      </c>
      <c r="O923" s="1">
        <f t="shared" si="436"/>
        <v>0</v>
      </c>
      <c r="P923" s="1">
        <f t="shared" si="434"/>
        <v>0</v>
      </c>
      <c r="Q923" s="3" t="str">
        <f t="shared" si="435"/>
        <v/>
      </c>
      <c r="T923" s="13" t="str">
        <f t="shared" si="445"/>
        <v/>
      </c>
      <c r="U923" s="14" t="str">
        <f t="shared" si="446"/>
        <v/>
      </c>
      <c r="V923" s="13" t="str">
        <f t="shared" si="447"/>
        <v/>
      </c>
      <c r="W923" s="13" t="str">
        <f t="shared" si="448"/>
        <v/>
      </c>
      <c r="X923" s="14" t="str">
        <f t="shared" si="449"/>
        <v/>
      </c>
    </row>
    <row r="924" spans="2:24" x14ac:dyDescent="0.3">
      <c r="B924" s="1">
        <f t="shared" si="437"/>
        <v>0</v>
      </c>
      <c r="C924" s="1">
        <f t="shared" si="438"/>
        <v>0</v>
      </c>
      <c r="D924" s="10">
        <f t="shared" si="439"/>
        <v>0</v>
      </c>
      <c r="E924" s="1">
        <f t="shared" si="440"/>
        <v>0</v>
      </c>
      <c r="F924" s="1">
        <f t="shared" si="441"/>
        <v>0</v>
      </c>
      <c r="G924" s="1">
        <f t="shared" si="442"/>
        <v>0</v>
      </c>
      <c r="H924" s="1">
        <f t="shared" si="429"/>
        <v>0</v>
      </c>
      <c r="I924" s="10">
        <f t="shared" si="443"/>
        <v>0</v>
      </c>
      <c r="J924" s="1">
        <f t="shared" si="430"/>
        <v>0</v>
      </c>
      <c r="K924" s="1">
        <f t="shared" si="431"/>
        <v>0</v>
      </c>
      <c r="L924" s="1" t="str">
        <f t="shared" si="432"/>
        <v>0</v>
      </c>
      <c r="M924" s="10">
        <f t="shared" si="433"/>
        <v>0</v>
      </c>
      <c r="N924" s="1">
        <f t="shared" si="444"/>
        <v>0</v>
      </c>
      <c r="O924" s="1">
        <f t="shared" si="436"/>
        <v>0</v>
      </c>
      <c r="P924" s="1">
        <f t="shared" si="434"/>
        <v>0</v>
      </c>
      <c r="Q924" s="3" t="str">
        <f t="shared" si="435"/>
        <v/>
      </c>
      <c r="T924" s="13" t="str">
        <f t="shared" si="445"/>
        <v/>
      </c>
      <c r="U924" s="14" t="str">
        <f t="shared" si="446"/>
        <v/>
      </c>
      <c r="V924" s="13" t="str">
        <f t="shared" si="447"/>
        <v/>
      </c>
      <c r="W924" s="13" t="str">
        <f t="shared" si="448"/>
        <v/>
      </c>
      <c r="X924" s="14" t="str">
        <f t="shared" si="449"/>
        <v/>
      </c>
    </row>
    <row r="925" spans="2:24" x14ac:dyDescent="0.3">
      <c r="B925" s="1">
        <f t="shared" si="437"/>
        <v>0</v>
      </c>
      <c r="C925" s="1">
        <f t="shared" si="438"/>
        <v>0</v>
      </c>
      <c r="D925" s="10">
        <f t="shared" si="439"/>
        <v>0</v>
      </c>
      <c r="E925" s="1">
        <f t="shared" si="440"/>
        <v>0</v>
      </c>
      <c r="F925" s="1">
        <f t="shared" si="441"/>
        <v>0</v>
      </c>
      <c r="G925" s="1">
        <f t="shared" si="442"/>
        <v>0</v>
      </c>
      <c r="H925" s="1">
        <f t="shared" si="429"/>
        <v>0</v>
      </c>
      <c r="I925" s="10">
        <f t="shared" si="443"/>
        <v>0</v>
      </c>
      <c r="J925" s="1">
        <f t="shared" si="430"/>
        <v>0</v>
      </c>
      <c r="K925" s="1">
        <f t="shared" si="431"/>
        <v>0</v>
      </c>
      <c r="L925" s="1" t="str">
        <f t="shared" si="432"/>
        <v>0</v>
      </c>
      <c r="M925" s="10">
        <f t="shared" si="433"/>
        <v>0</v>
      </c>
      <c r="N925" s="1">
        <f t="shared" si="444"/>
        <v>0</v>
      </c>
      <c r="O925" s="1">
        <f t="shared" si="436"/>
        <v>0</v>
      </c>
      <c r="P925" s="1">
        <f t="shared" si="434"/>
        <v>0</v>
      </c>
      <c r="Q925" s="3" t="str">
        <f t="shared" si="435"/>
        <v/>
      </c>
      <c r="T925" s="13" t="str">
        <f t="shared" si="445"/>
        <v/>
      </c>
      <c r="U925" s="14" t="str">
        <f t="shared" si="446"/>
        <v/>
      </c>
      <c r="V925" s="13" t="str">
        <f t="shared" si="447"/>
        <v/>
      </c>
      <c r="W925" s="13" t="str">
        <f t="shared" si="448"/>
        <v/>
      </c>
      <c r="X925" s="14" t="str">
        <f t="shared" si="449"/>
        <v/>
      </c>
    </row>
    <row r="926" spans="2:24" x14ac:dyDescent="0.3">
      <c r="B926" s="1">
        <f t="shared" si="437"/>
        <v>0</v>
      </c>
      <c r="C926" s="1">
        <f t="shared" si="438"/>
        <v>0</v>
      </c>
      <c r="D926" s="10">
        <f t="shared" si="439"/>
        <v>0</v>
      </c>
      <c r="E926" s="1">
        <f t="shared" si="440"/>
        <v>0</v>
      </c>
      <c r="F926" s="1">
        <f t="shared" si="441"/>
        <v>0</v>
      </c>
      <c r="G926" s="1">
        <f t="shared" si="442"/>
        <v>0</v>
      </c>
      <c r="H926" s="1">
        <f t="shared" si="429"/>
        <v>0</v>
      </c>
      <c r="I926" s="10">
        <f t="shared" si="443"/>
        <v>0</v>
      </c>
      <c r="J926" s="1">
        <f t="shared" si="430"/>
        <v>0</v>
      </c>
      <c r="K926" s="1">
        <f t="shared" si="431"/>
        <v>0</v>
      </c>
      <c r="L926" s="1" t="str">
        <f t="shared" si="432"/>
        <v>0</v>
      </c>
      <c r="M926" s="10">
        <f t="shared" si="433"/>
        <v>0</v>
      </c>
      <c r="N926" s="1">
        <f t="shared" si="444"/>
        <v>0</v>
      </c>
      <c r="O926" s="1">
        <f t="shared" si="436"/>
        <v>0</v>
      </c>
      <c r="P926" s="1">
        <f t="shared" si="434"/>
        <v>0</v>
      </c>
      <c r="Q926" s="3" t="str">
        <f t="shared" si="435"/>
        <v/>
      </c>
      <c r="T926" s="13" t="str">
        <f t="shared" si="445"/>
        <v/>
      </c>
      <c r="U926" s="14" t="str">
        <f t="shared" si="446"/>
        <v/>
      </c>
      <c r="V926" s="13" t="str">
        <f t="shared" si="447"/>
        <v/>
      </c>
      <c r="W926" s="13" t="str">
        <f t="shared" si="448"/>
        <v/>
      </c>
      <c r="X926" s="14" t="str">
        <f t="shared" si="449"/>
        <v/>
      </c>
    </row>
    <row r="927" spans="2:24" x14ac:dyDescent="0.3">
      <c r="B927" s="1">
        <f t="shared" si="437"/>
        <v>0</v>
      </c>
      <c r="C927" s="1">
        <f t="shared" si="438"/>
        <v>0</v>
      </c>
      <c r="D927" s="10">
        <f t="shared" si="439"/>
        <v>0</v>
      </c>
      <c r="E927" s="1">
        <f t="shared" si="440"/>
        <v>0</v>
      </c>
      <c r="F927" s="1">
        <f t="shared" si="441"/>
        <v>0</v>
      </c>
      <c r="G927" s="1">
        <f t="shared" si="442"/>
        <v>0</v>
      </c>
      <c r="H927" s="1">
        <f t="shared" si="429"/>
        <v>0</v>
      </c>
      <c r="I927" s="10">
        <f t="shared" si="443"/>
        <v>0</v>
      </c>
      <c r="J927" s="1">
        <f t="shared" si="430"/>
        <v>0</v>
      </c>
      <c r="K927" s="1">
        <f t="shared" si="431"/>
        <v>0</v>
      </c>
      <c r="L927" s="1" t="str">
        <f t="shared" si="432"/>
        <v>0</v>
      </c>
      <c r="M927" s="10">
        <f t="shared" si="433"/>
        <v>0</v>
      </c>
      <c r="N927" s="1">
        <f t="shared" si="444"/>
        <v>0</v>
      </c>
      <c r="O927" s="1">
        <f t="shared" si="436"/>
        <v>0</v>
      </c>
      <c r="P927" s="1">
        <f t="shared" si="434"/>
        <v>0</v>
      </c>
      <c r="Q927" s="3" t="str">
        <f t="shared" si="435"/>
        <v/>
      </c>
      <c r="T927" s="13" t="str">
        <f t="shared" si="445"/>
        <v/>
      </c>
      <c r="U927" s="14" t="str">
        <f t="shared" si="446"/>
        <v/>
      </c>
      <c r="V927" s="13" t="str">
        <f t="shared" si="447"/>
        <v/>
      </c>
      <c r="W927" s="13" t="str">
        <f t="shared" si="448"/>
        <v/>
      </c>
      <c r="X927" s="14" t="str">
        <f t="shared" si="449"/>
        <v/>
      </c>
    </row>
    <row r="928" spans="2:24" x14ac:dyDescent="0.3">
      <c r="B928" s="1">
        <f t="shared" si="437"/>
        <v>0</v>
      </c>
      <c r="C928" s="1">
        <f t="shared" si="438"/>
        <v>0</v>
      </c>
      <c r="D928" s="10">
        <f t="shared" si="439"/>
        <v>0</v>
      </c>
      <c r="E928" s="1">
        <f t="shared" si="440"/>
        <v>0</v>
      </c>
      <c r="F928" s="1">
        <f t="shared" si="441"/>
        <v>0</v>
      </c>
      <c r="G928" s="1">
        <f t="shared" si="442"/>
        <v>0</v>
      </c>
      <c r="H928" s="1">
        <f t="shared" si="429"/>
        <v>0</v>
      </c>
      <c r="I928" s="10">
        <f t="shared" si="443"/>
        <v>0</v>
      </c>
      <c r="J928" s="1">
        <f t="shared" si="430"/>
        <v>0</v>
      </c>
      <c r="K928" s="1">
        <f t="shared" si="431"/>
        <v>0</v>
      </c>
      <c r="L928" s="1" t="str">
        <f t="shared" si="432"/>
        <v>0</v>
      </c>
      <c r="M928" s="10">
        <f t="shared" si="433"/>
        <v>0</v>
      </c>
      <c r="N928" s="1">
        <f t="shared" si="444"/>
        <v>0</v>
      </c>
      <c r="O928" s="1">
        <f t="shared" si="436"/>
        <v>0</v>
      </c>
      <c r="P928" s="1">
        <f t="shared" si="434"/>
        <v>0</v>
      </c>
      <c r="Q928" s="3" t="str">
        <f t="shared" si="435"/>
        <v/>
      </c>
      <c r="T928" s="13" t="str">
        <f t="shared" si="445"/>
        <v/>
      </c>
      <c r="U928" s="14" t="str">
        <f t="shared" si="446"/>
        <v/>
      </c>
      <c r="V928" s="13" t="str">
        <f t="shared" si="447"/>
        <v/>
      </c>
      <c r="W928" s="13" t="str">
        <f t="shared" si="448"/>
        <v/>
      </c>
      <c r="X928" s="14" t="str">
        <f t="shared" si="449"/>
        <v/>
      </c>
    </row>
    <row r="929" spans="2:24" x14ac:dyDescent="0.3">
      <c r="B929" s="1">
        <f t="shared" si="437"/>
        <v>0</v>
      </c>
      <c r="C929" s="1">
        <f t="shared" si="438"/>
        <v>0</v>
      </c>
      <c r="D929" s="10">
        <f t="shared" si="439"/>
        <v>0</v>
      </c>
      <c r="E929" s="1">
        <f t="shared" si="440"/>
        <v>0</v>
      </c>
      <c r="F929" s="1">
        <f t="shared" si="441"/>
        <v>0</v>
      </c>
      <c r="G929" s="1">
        <f t="shared" si="442"/>
        <v>0</v>
      </c>
      <c r="H929" s="1">
        <f t="shared" si="429"/>
        <v>0</v>
      </c>
      <c r="I929" s="10">
        <f t="shared" si="443"/>
        <v>0</v>
      </c>
      <c r="J929" s="1">
        <f t="shared" si="430"/>
        <v>0</v>
      </c>
      <c r="K929" s="1">
        <f t="shared" si="431"/>
        <v>0</v>
      </c>
      <c r="L929" s="1" t="str">
        <f t="shared" si="432"/>
        <v>0</v>
      </c>
      <c r="M929" s="10">
        <f t="shared" si="433"/>
        <v>0</v>
      </c>
      <c r="N929" s="1">
        <f t="shared" si="444"/>
        <v>0</v>
      </c>
      <c r="O929" s="1">
        <f t="shared" si="436"/>
        <v>0</v>
      </c>
      <c r="P929" s="1">
        <f t="shared" si="434"/>
        <v>0</v>
      </c>
      <c r="Q929" s="3" t="str">
        <f t="shared" si="435"/>
        <v/>
      </c>
      <c r="T929" s="13" t="str">
        <f t="shared" si="445"/>
        <v/>
      </c>
      <c r="U929" s="14" t="str">
        <f t="shared" si="446"/>
        <v/>
      </c>
      <c r="V929" s="13" t="str">
        <f t="shared" si="447"/>
        <v/>
      </c>
      <c r="W929" s="13" t="str">
        <f t="shared" si="448"/>
        <v/>
      </c>
      <c r="X929" s="14" t="str">
        <f t="shared" si="449"/>
        <v/>
      </c>
    </row>
    <row r="930" spans="2:24" x14ac:dyDescent="0.3">
      <c r="B930" s="1">
        <f t="shared" si="437"/>
        <v>0</v>
      </c>
      <c r="C930" s="1">
        <f t="shared" si="438"/>
        <v>0</v>
      </c>
      <c r="D930" s="10">
        <f t="shared" si="439"/>
        <v>0</v>
      </c>
      <c r="E930" s="1">
        <f t="shared" si="440"/>
        <v>0</v>
      </c>
      <c r="F930" s="1">
        <f t="shared" si="441"/>
        <v>0</v>
      </c>
      <c r="G930" s="1">
        <f t="shared" si="442"/>
        <v>0</v>
      </c>
      <c r="H930" s="1">
        <f t="shared" si="429"/>
        <v>0</v>
      </c>
      <c r="I930" s="10">
        <f t="shared" si="443"/>
        <v>0</v>
      </c>
      <c r="J930" s="1">
        <f t="shared" si="430"/>
        <v>0</v>
      </c>
      <c r="K930" s="1">
        <f t="shared" si="431"/>
        <v>0</v>
      </c>
      <c r="L930" s="1" t="str">
        <f t="shared" si="432"/>
        <v>0</v>
      </c>
      <c r="M930" s="10">
        <f t="shared" si="433"/>
        <v>0</v>
      </c>
      <c r="N930" s="1">
        <f t="shared" si="444"/>
        <v>0</v>
      </c>
      <c r="O930" s="1">
        <f t="shared" si="436"/>
        <v>0</v>
      </c>
      <c r="P930" s="1">
        <f t="shared" si="434"/>
        <v>0</v>
      </c>
      <c r="Q930" s="3" t="str">
        <f t="shared" si="435"/>
        <v/>
      </c>
      <c r="T930" s="13" t="str">
        <f t="shared" si="445"/>
        <v/>
      </c>
      <c r="U930" s="14" t="str">
        <f t="shared" si="446"/>
        <v/>
      </c>
      <c r="V930" s="13" t="str">
        <f t="shared" si="447"/>
        <v/>
      </c>
      <c r="W930" s="13" t="str">
        <f t="shared" si="448"/>
        <v/>
      </c>
      <c r="X930" s="14" t="str">
        <f t="shared" si="449"/>
        <v/>
      </c>
    </row>
    <row r="931" spans="2:24" x14ac:dyDescent="0.3">
      <c r="B931" s="1">
        <f t="shared" si="437"/>
        <v>0</v>
      </c>
      <c r="C931" s="1">
        <f t="shared" si="438"/>
        <v>0</v>
      </c>
      <c r="D931" s="10">
        <f t="shared" si="439"/>
        <v>0</v>
      </c>
      <c r="E931" s="1">
        <f t="shared" si="440"/>
        <v>0</v>
      </c>
      <c r="F931" s="1">
        <f t="shared" si="441"/>
        <v>0</v>
      </c>
      <c r="G931" s="1">
        <f t="shared" si="442"/>
        <v>0</v>
      </c>
      <c r="H931" s="1">
        <f t="shared" si="429"/>
        <v>0</v>
      </c>
      <c r="I931" s="10">
        <f t="shared" si="443"/>
        <v>0</v>
      </c>
      <c r="J931" s="1">
        <f t="shared" si="430"/>
        <v>0</v>
      </c>
      <c r="K931" s="1">
        <f t="shared" si="431"/>
        <v>0</v>
      </c>
      <c r="L931" s="1" t="str">
        <f t="shared" si="432"/>
        <v>0</v>
      </c>
      <c r="M931" s="10">
        <f t="shared" si="433"/>
        <v>0</v>
      </c>
      <c r="N931" s="1">
        <f t="shared" si="444"/>
        <v>0</v>
      </c>
      <c r="O931" s="1">
        <f t="shared" si="436"/>
        <v>0</v>
      </c>
      <c r="P931" s="1">
        <f t="shared" si="434"/>
        <v>0</v>
      </c>
      <c r="Q931" s="3" t="str">
        <f t="shared" si="435"/>
        <v/>
      </c>
      <c r="T931" s="13" t="str">
        <f t="shared" si="445"/>
        <v/>
      </c>
      <c r="U931" s="14" t="str">
        <f t="shared" si="446"/>
        <v/>
      </c>
      <c r="V931" s="13" t="str">
        <f t="shared" si="447"/>
        <v/>
      </c>
      <c r="W931" s="13" t="str">
        <f t="shared" si="448"/>
        <v/>
      </c>
      <c r="X931" s="14" t="str">
        <f t="shared" si="449"/>
        <v/>
      </c>
    </row>
    <row r="932" spans="2:24" x14ac:dyDescent="0.3">
      <c r="B932" s="1">
        <f t="shared" si="437"/>
        <v>0</v>
      </c>
      <c r="C932" s="1">
        <f t="shared" si="438"/>
        <v>0</v>
      </c>
      <c r="D932" s="10">
        <f t="shared" si="439"/>
        <v>0</v>
      </c>
      <c r="E932" s="1">
        <f t="shared" si="440"/>
        <v>0</v>
      </c>
      <c r="F932" s="1">
        <f t="shared" si="441"/>
        <v>0</v>
      </c>
      <c r="G932" s="1">
        <f t="shared" si="442"/>
        <v>0</v>
      </c>
      <c r="H932" s="1">
        <f t="shared" si="429"/>
        <v>0</v>
      </c>
      <c r="I932" s="10">
        <f t="shared" si="443"/>
        <v>0</v>
      </c>
      <c r="J932" s="1">
        <f t="shared" si="430"/>
        <v>0</v>
      </c>
      <c r="K932" s="1">
        <f t="shared" si="431"/>
        <v>0</v>
      </c>
      <c r="L932" s="1" t="str">
        <f t="shared" si="432"/>
        <v>0</v>
      </c>
      <c r="M932" s="10">
        <f t="shared" si="433"/>
        <v>0</v>
      </c>
      <c r="N932" s="1">
        <f t="shared" si="444"/>
        <v>0</v>
      </c>
      <c r="O932" s="1">
        <f t="shared" si="436"/>
        <v>0</v>
      </c>
      <c r="P932" s="1">
        <f t="shared" si="434"/>
        <v>0</v>
      </c>
      <c r="Q932" s="3" t="str">
        <f t="shared" si="435"/>
        <v/>
      </c>
      <c r="T932" s="13" t="str">
        <f t="shared" si="445"/>
        <v/>
      </c>
      <c r="U932" s="14" t="str">
        <f t="shared" si="446"/>
        <v/>
      </c>
      <c r="V932" s="13" t="str">
        <f t="shared" si="447"/>
        <v/>
      </c>
      <c r="W932" s="13" t="str">
        <f t="shared" si="448"/>
        <v/>
      </c>
      <c r="X932" s="14" t="str">
        <f t="shared" si="449"/>
        <v/>
      </c>
    </row>
    <row r="933" spans="2:24" x14ac:dyDescent="0.3">
      <c r="B933" s="1">
        <f t="shared" si="437"/>
        <v>0</v>
      </c>
      <c r="C933" s="1">
        <f t="shared" si="438"/>
        <v>0</v>
      </c>
      <c r="D933" s="10">
        <f t="shared" si="439"/>
        <v>0</v>
      </c>
      <c r="E933" s="1">
        <f t="shared" si="440"/>
        <v>0</v>
      </c>
      <c r="F933" s="1">
        <f t="shared" si="441"/>
        <v>0</v>
      </c>
      <c r="G933" s="1">
        <f t="shared" si="442"/>
        <v>0</v>
      </c>
      <c r="H933" s="1">
        <f t="shared" si="429"/>
        <v>0</v>
      </c>
      <c r="I933" s="10">
        <f t="shared" si="443"/>
        <v>0</v>
      </c>
      <c r="J933" s="1">
        <f t="shared" si="430"/>
        <v>0</v>
      </c>
      <c r="K933" s="1">
        <f t="shared" si="431"/>
        <v>0</v>
      </c>
      <c r="L933" s="1" t="str">
        <f t="shared" si="432"/>
        <v>0</v>
      </c>
      <c r="M933" s="10">
        <f t="shared" si="433"/>
        <v>0</v>
      </c>
      <c r="N933" s="1">
        <f t="shared" si="444"/>
        <v>0</v>
      </c>
      <c r="O933" s="1">
        <f t="shared" si="436"/>
        <v>0</v>
      </c>
      <c r="P933" s="1">
        <f t="shared" si="434"/>
        <v>0</v>
      </c>
      <c r="Q933" s="3" t="str">
        <f t="shared" si="435"/>
        <v/>
      </c>
      <c r="T933" s="13" t="str">
        <f t="shared" si="445"/>
        <v/>
      </c>
      <c r="U933" s="14" t="str">
        <f t="shared" si="446"/>
        <v/>
      </c>
      <c r="V933" s="13" t="str">
        <f t="shared" si="447"/>
        <v/>
      </c>
      <c r="W933" s="13" t="str">
        <f t="shared" si="448"/>
        <v/>
      </c>
      <c r="X933" s="14" t="str">
        <f t="shared" si="449"/>
        <v/>
      </c>
    </row>
    <row r="934" spans="2:24" x14ac:dyDescent="0.3">
      <c r="B934" s="1">
        <f t="shared" si="437"/>
        <v>0</v>
      </c>
      <c r="C934" s="1">
        <f t="shared" si="438"/>
        <v>0</v>
      </c>
      <c r="D934" s="10">
        <f t="shared" si="439"/>
        <v>0</v>
      </c>
      <c r="E934" s="1">
        <f t="shared" si="440"/>
        <v>0</v>
      </c>
      <c r="F934" s="1">
        <f t="shared" si="441"/>
        <v>0</v>
      </c>
      <c r="G934" s="1">
        <f t="shared" si="442"/>
        <v>0</v>
      </c>
      <c r="H934" s="1">
        <f t="shared" si="429"/>
        <v>0</v>
      </c>
      <c r="I934" s="10">
        <f t="shared" si="443"/>
        <v>0</v>
      </c>
      <c r="J934" s="1">
        <f t="shared" si="430"/>
        <v>0</v>
      </c>
      <c r="K934" s="1">
        <f t="shared" si="431"/>
        <v>0</v>
      </c>
      <c r="L934" s="1" t="str">
        <f t="shared" si="432"/>
        <v>0</v>
      </c>
      <c r="M934" s="10">
        <f t="shared" si="433"/>
        <v>0</v>
      </c>
      <c r="N934" s="1">
        <f t="shared" si="444"/>
        <v>0</v>
      </c>
      <c r="O934" s="1">
        <f t="shared" si="436"/>
        <v>0</v>
      </c>
      <c r="P934" s="1">
        <f t="shared" si="434"/>
        <v>0</v>
      </c>
      <c r="Q934" s="3" t="str">
        <f t="shared" si="435"/>
        <v/>
      </c>
      <c r="T934" s="13" t="str">
        <f t="shared" si="445"/>
        <v/>
      </c>
      <c r="U934" s="14" t="str">
        <f t="shared" si="446"/>
        <v/>
      </c>
      <c r="V934" s="13" t="str">
        <f t="shared" si="447"/>
        <v/>
      </c>
      <c r="W934" s="13" t="str">
        <f t="shared" si="448"/>
        <v/>
      </c>
      <c r="X934" s="14" t="str">
        <f t="shared" si="449"/>
        <v/>
      </c>
    </row>
    <row r="935" spans="2:24" x14ac:dyDescent="0.3">
      <c r="B935" s="1">
        <f t="shared" si="437"/>
        <v>0</v>
      </c>
      <c r="C935" s="1">
        <f t="shared" si="438"/>
        <v>0</v>
      </c>
      <c r="D935" s="10">
        <f t="shared" si="439"/>
        <v>0</v>
      </c>
      <c r="E935" s="1">
        <f t="shared" si="440"/>
        <v>0</v>
      </c>
      <c r="F935" s="1">
        <f t="shared" si="441"/>
        <v>0</v>
      </c>
      <c r="G935" s="1">
        <f t="shared" si="442"/>
        <v>0</v>
      </c>
      <c r="H935" s="1">
        <f t="shared" si="429"/>
        <v>0</v>
      </c>
      <c r="I935" s="10">
        <f t="shared" si="443"/>
        <v>0</v>
      </c>
      <c r="J935" s="1">
        <f t="shared" si="430"/>
        <v>0</v>
      </c>
      <c r="K935" s="1">
        <f t="shared" si="431"/>
        <v>0</v>
      </c>
      <c r="L935" s="1" t="str">
        <f t="shared" si="432"/>
        <v>0</v>
      </c>
      <c r="M935" s="10">
        <f t="shared" si="433"/>
        <v>0</v>
      </c>
      <c r="N935" s="1">
        <f t="shared" si="444"/>
        <v>0</v>
      </c>
      <c r="O935" s="1">
        <f t="shared" si="436"/>
        <v>0</v>
      </c>
      <c r="P935" s="1">
        <f t="shared" si="434"/>
        <v>0</v>
      </c>
      <c r="Q935" s="3" t="str">
        <f t="shared" si="435"/>
        <v/>
      </c>
      <c r="T935" s="13" t="str">
        <f t="shared" si="445"/>
        <v/>
      </c>
      <c r="U935" s="14" t="str">
        <f t="shared" si="446"/>
        <v/>
      </c>
      <c r="V935" s="13" t="str">
        <f t="shared" si="447"/>
        <v/>
      </c>
      <c r="W935" s="13" t="str">
        <f t="shared" si="448"/>
        <v/>
      </c>
      <c r="X935" s="14" t="str">
        <f t="shared" si="449"/>
        <v/>
      </c>
    </row>
    <row r="936" spans="2:24" x14ac:dyDescent="0.3">
      <c r="B936" s="1">
        <f t="shared" si="437"/>
        <v>0</v>
      </c>
      <c r="C936" s="1">
        <f t="shared" si="438"/>
        <v>0</v>
      </c>
      <c r="D936" s="10">
        <f t="shared" si="439"/>
        <v>0</v>
      </c>
      <c r="E936" s="1">
        <f t="shared" si="440"/>
        <v>0</v>
      </c>
      <c r="F936" s="1">
        <f t="shared" si="441"/>
        <v>0</v>
      </c>
      <c r="G936" s="1">
        <f t="shared" si="442"/>
        <v>0</v>
      </c>
      <c r="H936" s="1">
        <f t="shared" si="429"/>
        <v>0</v>
      </c>
      <c r="I936" s="10">
        <f t="shared" si="443"/>
        <v>0</v>
      </c>
      <c r="J936" s="1">
        <f t="shared" si="430"/>
        <v>0</v>
      </c>
      <c r="K936" s="1">
        <f t="shared" si="431"/>
        <v>0</v>
      </c>
      <c r="L936" s="1" t="str">
        <f t="shared" si="432"/>
        <v>0</v>
      </c>
      <c r="M936" s="10">
        <f t="shared" si="433"/>
        <v>0</v>
      </c>
      <c r="N936" s="1">
        <f t="shared" si="444"/>
        <v>0</v>
      </c>
      <c r="O936" s="1">
        <f t="shared" si="436"/>
        <v>0</v>
      </c>
      <c r="P936" s="1">
        <f t="shared" si="434"/>
        <v>0</v>
      </c>
      <c r="Q936" s="3" t="str">
        <f t="shared" si="435"/>
        <v/>
      </c>
      <c r="T936" s="13" t="str">
        <f t="shared" si="445"/>
        <v/>
      </c>
      <c r="U936" s="14" t="str">
        <f t="shared" si="446"/>
        <v/>
      </c>
      <c r="V936" s="13" t="str">
        <f t="shared" si="447"/>
        <v/>
      </c>
      <c r="W936" s="13" t="str">
        <f t="shared" si="448"/>
        <v/>
      </c>
      <c r="X936" s="14" t="str">
        <f t="shared" si="449"/>
        <v/>
      </c>
    </row>
    <row r="937" spans="2:24" x14ac:dyDescent="0.3">
      <c r="B937" s="1">
        <f t="shared" si="437"/>
        <v>0</v>
      </c>
      <c r="C937" s="1">
        <f t="shared" si="438"/>
        <v>0</v>
      </c>
      <c r="D937" s="10">
        <f t="shared" si="439"/>
        <v>0</v>
      </c>
      <c r="E937" s="1">
        <f t="shared" si="440"/>
        <v>0</v>
      </c>
      <c r="F937" s="1">
        <f t="shared" si="441"/>
        <v>0</v>
      </c>
      <c r="G937" s="1">
        <f t="shared" si="442"/>
        <v>0</v>
      </c>
      <c r="H937" s="1">
        <f t="shared" si="429"/>
        <v>0</v>
      </c>
      <c r="I937" s="10">
        <f t="shared" si="443"/>
        <v>0</v>
      </c>
      <c r="J937" s="1">
        <f t="shared" si="430"/>
        <v>0</v>
      </c>
      <c r="K937" s="1">
        <f t="shared" si="431"/>
        <v>0</v>
      </c>
      <c r="L937" s="1" t="str">
        <f t="shared" si="432"/>
        <v>0</v>
      </c>
      <c r="M937" s="10">
        <f t="shared" si="433"/>
        <v>0</v>
      </c>
      <c r="N937" s="1">
        <f t="shared" si="444"/>
        <v>0</v>
      </c>
      <c r="O937" s="1">
        <f t="shared" si="436"/>
        <v>0</v>
      </c>
      <c r="P937" s="1">
        <f t="shared" si="434"/>
        <v>0</v>
      </c>
      <c r="Q937" s="3" t="str">
        <f t="shared" si="435"/>
        <v/>
      </c>
      <c r="T937" s="13" t="str">
        <f t="shared" si="445"/>
        <v/>
      </c>
      <c r="U937" s="14" t="str">
        <f t="shared" si="446"/>
        <v/>
      </c>
      <c r="V937" s="13" t="str">
        <f t="shared" si="447"/>
        <v/>
      </c>
      <c r="W937" s="13" t="str">
        <f t="shared" si="448"/>
        <v/>
      </c>
      <c r="X937" s="14" t="str">
        <f t="shared" si="449"/>
        <v/>
      </c>
    </row>
    <row r="938" spans="2:24" x14ac:dyDescent="0.3">
      <c r="B938" s="1">
        <f t="shared" si="437"/>
        <v>0</v>
      </c>
      <c r="C938" s="1">
        <f t="shared" si="438"/>
        <v>0</v>
      </c>
      <c r="D938" s="10">
        <f t="shared" si="439"/>
        <v>0</v>
      </c>
      <c r="E938" s="1">
        <f t="shared" si="440"/>
        <v>0</v>
      </c>
      <c r="F938" s="1">
        <f t="shared" si="441"/>
        <v>0</v>
      </c>
      <c r="G938" s="1">
        <f t="shared" si="442"/>
        <v>0</v>
      </c>
      <c r="H938" s="1">
        <f t="shared" si="429"/>
        <v>0</v>
      </c>
      <c r="I938" s="10">
        <f t="shared" si="443"/>
        <v>0</v>
      </c>
      <c r="J938" s="1">
        <f t="shared" si="430"/>
        <v>0</v>
      </c>
      <c r="K938" s="1">
        <f t="shared" si="431"/>
        <v>0</v>
      </c>
      <c r="L938" s="1" t="str">
        <f t="shared" si="432"/>
        <v>0</v>
      </c>
      <c r="M938" s="10">
        <f t="shared" si="433"/>
        <v>0</v>
      </c>
      <c r="N938" s="1">
        <f t="shared" si="444"/>
        <v>0</v>
      </c>
      <c r="O938" s="1">
        <f t="shared" si="436"/>
        <v>0</v>
      </c>
      <c r="P938" s="1">
        <f t="shared" si="434"/>
        <v>0</v>
      </c>
      <c r="Q938" s="3" t="str">
        <f t="shared" si="435"/>
        <v/>
      </c>
      <c r="T938" s="13" t="str">
        <f t="shared" si="445"/>
        <v/>
      </c>
      <c r="U938" s="14" t="str">
        <f t="shared" si="446"/>
        <v/>
      </c>
      <c r="V938" s="13" t="str">
        <f t="shared" si="447"/>
        <v/>
      </c>
      <c r="W938" s="13" t="str">
        <f t="shared" si="448"/>
        <v/>
      </c>
      <c r="X938" s="14" t="str">
        <f t="shared" si="449"/>
        <v/>
      </c>
    </row>
    <row r="939" spans="2:24" x14ac:dyDescent="0.3">
      <c r="B939" s="1">
        <f t="shared" si="437"/>
        <v>0</v>
      </c>
      <c r="C939" s="1">
        <f t="shared" si="438"/>
        <v>0</v>
      </c>
      <c r="D939" s="10">
        <f t="shared" si="439"/>
        <v>0</v>
      </c>
      <c r="E939" s="1">
        <f t="shared" si="440"/>
        <v>0</v>
      </c>
      <c r="F939" s="1">
        <f t="shared" si="441"/>
        <v>0</v>
      </c>
      <c r="G939" s="1">
        <f t="shared" si="442"/>
        <v>0</v>
      </c>
      <c r="H939" s="1">
        <f t="shared" si="429"/>
        <v>0</v>
      </c>
      <c r="I939" s="10">
        <f t="shared" si="443"/>
        <v>0</v>
      </c>
      <c r="J939" s="1">
        <f t="shared" si="430"/>
        <v>0</v>
      </c>
      <c r="K939" s="1">
        <f t="shared" si="431"/>
        <v>0</v>
      </c>
      <c r="L939" s="1" t="str">
        <f t="shared" si="432"/>
        <v>0</v>
      </c>
      <c r="M939" s="10">
        <f t="shared" si="433"/>
        <v>0</v>
      </c>
      <c r="N939" s="1">
        <f t="shared" si="444"/>
        <v>0</v>
      </c>
      <c r="O939" s="1">
        <f t="shared" si="436"/>
        <v>0</v>
      </c>
      <c r="P939" s="1">
        <f t="shared" si="434"/>
        <v>0</v>
      </c>
      <c r="Q939" s="3" t="str">
        <f t="shared" si="435"/>
        <v/>
      </c>
      <c r="T939" s="13" t="str">
        <f t="shared" si="445"/>
        <v/>
      </c>
      <c r="U939" s="14" t="str">
        <f t="shared" si="446"/>
        <v/>
      </c>
      <c r="V939" s="13" t="str">
        <f t="shared" si="447"/>
        <v/>
      </c>
      <c r="W939" s="13" t="str">
        <f t="shared" si="448"/>
        <v/>
      </c>
      <c r="X939" s="14" t="str">
        <f t="shared" si="449"/>
        <v/>
      </c>
    </row>
    <row r="940" spans="2:24" x14ac:dyDescent="0.3">
      <c r="B940" s="1">
        <f t="shared" si="437"/>
        <v>0</v>
      </c>
      <c r="C940" s="1">
        <f t="shared" si="438"/>
        <v>0</v>
      </c>
      <c r="D940" s="10">
        <f t="shared" si="439"/>
        <v>0</v>
      </c>
      <c r="E940" s="1">
        <f t="shared" si="440"/>
        <v>0</v>
      </c>
      <c r="F940" s="1">
        <f t="shared" si="441"/>
        <v>0</v>
      </c>
      <c r="G940" s="1">
        <f t="shared" si="442"/>
        <v>0</v>
      </c>
      <c r="H940" s="1">
        <f t="shared" si="429"/>
        <v>0</v>
      </c>
      <c r="I940" s="10">
        <f t="shared" si="443"/>
        <v>0</v>
      </c>
      <c r="J940" s="1">
        <f t="shared" si="430"/>
        <v>0</v>
      </c>
      <c r="K940" s="1">
        <f t="shared" si="431"/>
        <v>0</v>
      </c>
      <c r="L940" s="1" t="str">
        <f t="shared" si="432"/>
        <v>0</v>
      </c>
      <c r="M940" s="10">
        <f t="shared" si="433"/>
        <v>0</v>
      </c>
      <c r="N940" s="1">
        <f t="shared" si="444"/>
        <v>0</v>
      </c>
      <c r="O940" s="1">
        <f t="shared" si="436"/>
        <v>0</v>
      </c>
      <c r="P940" s="1">
        <f t="shared" si="434"/>
        <v>0</v>
      </c>
      <c r="Q940" s="3" t="str">
        <f t="shared" si="435"/>
        <v/>
      </c>
      <c r="T940" s="13" t="str">
        <f t="shared" si="445"/>
        <v/>
      </c>
      <c r="U940" s="14" t="str">
        <f t="shared" si="446"/>
        <v/>
      </c>
      <c r="V940" s="13" t="str">
        <f t="shared" si="447"/>
        <v/>
      </c>
      <c r="W940" s="13" t="str">
        <f t="shared" si="448"/>
        <v/>
      </c>
      <c r="X940" s="14" t="str">
        <f t="shared" si="449"/>
        <v/>
      </c>
    </row>
    <row r="941" spans="2:24" x14ac:dyDescent="0.3">
      <c r="B941" s="1">
        <f t="shared" si="437"/>
        <v>0</v>
      </c>
      <c r="C941" s="1">
        <f t="shared" si="438"/>
        <v>0</v>
      </c>
      <c r="D941" s="10">
        <f t="shared" si="439"/>
        <v>0</v>
      </c>
      <c r="E941" s="1">
        <f t="shared" si="440"/>
        <v>0</v>
      </c>
      <c r="F941" s="1">
        <f t="shared" si="441"/>
        <v>0</v>
      </c>
      <c r="G941" s="1">
        <f t="shared" si="442"/>
        <v>0</v>
      </c>
      <c r="H941" s="1">
        <f t="shared" si="429"/>
        <v>0</v>
      </c>
      <c r="I941" s="10">
        <f t="shared" si="443"/>
        <v>0</v>
      </c>
      <c r="J941" s="1">
        <f t="shared" si="430"/>
        <v>0</v>
      </c>
      <c r="K941" s="1">
        <f t="shared" si="431"/>
        <v>0</v>
      </c>
      <c r="L941" s="1" t="str">
        <f t="shared" si="432"/>
        <v>0</v>
      </c>
      <c r="M941" s="10">
        <f t="shared" si="433"/>
        <v>0</v>
      </c>
      <c r="N941" s="1">
        <f t="shared" si="444"/>
        <v>0</v>
      </c>
      <c r="O941" s="1">
        <f t="shared" si="436"/>
        <v>0</v>
      </c>
      <c r="P941" s="1">
        <f t="shared" si="434"/>
        <v>0</v>
      </c>
      <c r="Q941" s="3" t="str">
        <f t="shared" si="435"/>
        <v/>
      </c>
      <c r="T941" s="13" t="str">
        <f t="shared" si="445"/>
        <v/>
      </c>
      <c r="U941" s="14" t="str">
        <f t="shared" si="446"/>
        <v/>
      </c>
      <c r="V941" s="13" t="str">
        <f t="shared" si="447"/>
        <v/>
      </c>
      <c r="W941" s="13" t="str">
        <f t="shared" si="448"/>
        <v/>
      </c>
      <c r="X941" s="14" t="str">
        <f t="shared" si="449"/>
        <v/>
      </c>
    </row>
    <row r="942" spans="2:24" x14ac:dyDescent="0.3">
      <c r="B942" s="1">
        <f t="shared" si="437"/>
        <v>0</v>
      </c>
      <c r="C942" s="1">
        <f t="shared" si="438"/>
        <v>0</v>
      </c>
      <c r="D942" s="10">
        <f t="shared" si="439"/>
        <v>0</v>
      </c>
      <c r="E942" s="1">
        <f t="shared" si="440"/>
        <v>0</v>
      </c>
      <c r="F942" s="1">
        <f t="shared" si="441"/>
        <v>0</v>
      </c>
      <c r="G942" s="1">
        <f t="shared" si="442"/>
        <v>0</v>
      </c>
      <c r="H942" s="1">
        <f t="shared" si="429"/>
        <v>0</v>
      </c>
      <c r="I942" s="10">
        <f t="shared" si="443"/>
        <v>0</v>
      </c>
      <c r="J942" s="1">
        <f t="shared" si="430"/>
        <v>0</v>
      </c>
      <c r="K942" s="1">
        <f t="shared" si="431"/>
        <v>0</v>
      </c>
      <c r="L942" s="1" t="str">
        <f t="shared" si="432"/>
        <v>0</v>
      </c>
      <c r="M942" s="10">
        <f t="shared" si="433"/>
        <v>0</v>
      </c>
      <c r="N942" s="1">
        <f t="shared" si="444"/>
        <v>0</v>
      </c>
      <c r="O942" s="1">
        <f t="shared" si="436"/>
        <v>0</v>
      </c>
      <c r="P942" s="1">
        <f t="shared" si="434"/>
        <v>0</v>
      </c>
      <c r="Q942" s="3" t="str">
        <f t="shared" si="435"/>
        <v/>
      </c>
      <c r="T942" s="13" t="str">
        <f t="shared" si="445"/>
        <v/>
      </c>
      <c r="U942" s="14" t="str">
        <f t="shared" si="446"/>
        <v/>
      </c>
      <c r="V942" s="13" t="str">
        <f t="shared" si="447"/>
        <v/>
      </c>
      <c r="W942" s="13" t="str">
        <f t="shared" si="448"/>
        <v/>
      </c>
      <c r="X942" s="14" t="str">
        <f t="shared" si="449"/>
        <v/>
      </c>
    </row>
    <row r="943" spans="2:24" x14ac:dyDescent="0.3">
      <c r="B943" s="1">
        <f t="shared" si="437"/>
        <v>0</v>
      </c>
      <c r="C943" s="1">
        <f t="shared" si="438"/>
        <v>0</v>
      </c>
      <c r="D943" s="10">
        <f t="shared" si="439"/>
        <v>0</v>
      </c>
      <c r="E943" s="1">
        <f t="shared" si="440"/>
        <v>0</v>
      </c>
      <c r="F943" s="1">
        <f t="shared" si="441"/>
        <v>0</v>
      </c>
      <c r="G943" s="1">
        <f t="shared" si="442"/>
        <v>0</v>
      </c>
      <c r="H943" s="1">
        <f t="shared" si="429"/>
        <v>0</v>
      </c>
      <c r="I943" s="10">
        <f t="shared" si="443"/>
        <v>0</v>
      </c>
      <c r="J943" s="1">
        <f t="shared" si="430"/>
        <v>0</v>
      </c>
      <c r="K943" s="1">
        <f t="shared" si="431"/>
        <v>0</v>
      </c>
      <c r="L943" s="1" t="str">
        <f t="shared" si="432"/>
        <v>0</v>
      </c>
      <c r="M943" s="10">
        <f t="shared" si="433"/>
        <v>0</v>
      </c>
      <c r="N943" s="1">
        <f t="shared" si="444"/>
        <v>0</v>
      </c>
      <c r="O943" s="1">
        <f t="shared" si="436"/>
        <v>0</v>
      </c>
      <c r="P943" s="1">
        <f t="shared" si="434"/>
        <v>0</v>
      </c>
      <c r="Q943" s="3" t="str">
        <f t="shared" si="435"/>
        <v/>
      </c>
      <c r="T943" s="13" t="str">
        <f t="shared" si="445"/>
        <v/>
      </c>
      <c r="U943" s="14" t="str">
        <f t="shared" si="446"/>
        <v/>
      </c>
      <c r="V943" s="13" t="str">
        <f t="shared" si="447"/>
        <v/>
      </c>
      <c r="W943" s="13" t="str">
        <f t="shared" si="448"/>
        <v/>
      </c>
      <c r="X943" s="14" t="str">
        <f t="shared" si="449"/>
        <v/>
      </c>
    </row>
    <row r="944" spans="2:24" x14ac:dyDescent="0.3">
      <c r="B944" s="1">
        <f t="shared" si="437"/>
        <v>0</v>
      </c>
      <c r="C944" s="1">
        <f t="shared" si="438"/>
        <v>0</v>
      </c>
      <c r="D944" s="10">
        <f t="shared" si="439"/>
        <v>0</v>
      </c>
      <c r="E944" s="1">
        <f t="shared" si="440"/>
        <v>0</v>
      </c>
      <c r="F944" s="1">
        <f t="shared" si="441"/>
        <v>0</v>
      </c>
      <c r="G944" s="1">
        <f t="shared" si="442"/>
        <v>0</v>
      </c>
      <c r="H944" s="1">
        <f t="shared" si="429"/>
        <v>0</v>
      </c>
      <c r="I944" s="10">
        <f t="shared" si="443"/>
        <v>0</v>
      </c>
      <c r="J944" s="1">
        <f t="shared" si="430"/>
        <v>0</v>
      </c>
      <c r="K944" s="1">
        <f t="shared" si="431"/>
        <v>0</v>
      </c>
      <c r="L944" s="1" t="str">
        <f t="shared" si="432"/>
        <v>0</v>
      </c>
      <c r="M944" s="10">
        <f t="shared" si="433"/>
        <v>0</v>
      </c>
      <c r="N944" s="1">
        <f t="shared" si="444"/>
        <v>0</v>
      </c>
      <c r="O944" s="1">
        <f t="shared" si="436"/>
        <v>0</v>
      </c>
      <c r="P944" s="1">
        <f t="shared" si="434"/>
        <v>0</v>
      </c>
      <c r="Q944" s="3" t="str">
        <f t="shared" si="435"/>
        <v/>
      </c>
      <c r="T944" s="13" t="str">
        <f t="shared" si="445"/>
        <v/>
      </c>
      <c r="U944" s="14" t="str">
        <f t="shared" si="446"/>
        <v/>
      </c>
      <c r="V944" s="13" t="str">
        <f t="shared" si="447"/>
        <v/>
      </c>
      <c r="W944" s="13" t="str">
        <f t="shared" si="448"/>
        <v/>
      </c>
      <c r="X944" s="14" t="str">
        <f t="shared" si="449"/>
        <v/>
      </c>
    </row>
    <row r="945" spans="2:24" x14ac:dyDescent="0.3">
      <c r="B945" s="1">
        <f t="shared" si="437"/>
        <v>0</v>
      </c>
      <c r="C945" s="1">
        <f t="shared" si="438"/>
        <v>0</v>
      </c>
      <c r="D945" s="10">
        <f t="shared" si="439"/>
        <v>0</v>
      </c>
      <c r="E945" s="1">
        <f t="shared" si="440"/>
        <v>0</v>
      </c>
      <c r="F945" s="1">
        <f t="shared" si="441"/>
        <v>0</v>
      </c>
      <c r="G945" s="1">
        <f t="shared" si="442"/>
        <v>0</v>
      </c>
      <c r="H945" s="1">
        <f t="shared" si="429"/>
        <v>0</v>
      </c>
      <c r="I945" s="10">
        <f t="shared" si="443"/>
        <v>0</v>
      </c>
      <c r="J945" s="1">
        <f t="shared" si="430"/>
        <v>0</v>
      </c>
      <c r="K945" s="1">
        <f t="shared" si="431"/>
        <v>0</v>
      </c>
      <c r="L945" s="1" t="str">
        <f t="shared" si="432"/>
        <v>0</v>
      </c>
      <c r="M945" s="10">
        <f t="shared" si="433"/>
        <v>0</v>
      </c>
      <c r="N945" s="1">
        <f t="shared" si="444"/>
        <v>0</v>
      </c>
      <c r="O945" s="1">
        <f t="shared" si="436"/>
        <v>0</v>
      </c>
      <c r="P945" s="1">
        <f t="shared" si="434"/>
        <v>0</v>
      </c>
      <c r="Q945" s="3" t="str">
        <f t="shared" si="435"/>
        <v/>
      </c>
      <c r="T945" s="13" t="str">
        <f t="shared" si="445"/>
        <v/>
      </c>
      <c r="U945" s="14" t="str">
        <f t="shared" si="446"/>
        <v/>
      </c>
      <c r="V945" s="13" t="str">
        <f t="shared" si="447"/>
        <v/>
      </c>
      <c r="W945" s="13" t="str">
        <f t="shared" si="448"/>
        <v/>
      </c>
      <c r="X945" s="14" t="str">
        <f t="shared" si="449"/>
        <v/>
      </c>
    </row>
    <row r="946" spans="2:24" x14ac:dyDescent="0.3">
      <c r="B946" s="1">
        <f t="shared" si="437"/>
        <v>0</v>
      </c>
      <c r="C946" s="1">
        <f t="shared" si="438"/>
        <v>0</v>
      </c>
      <c r="D946" s="10">
        <f t="shared" si="439"/>
        <v>0</v>
      </c>
      <c r="E946" s="1">
        <f t="shared" si="440"/>
        <v>0</v>
      </c>
      <c r="F946" s="1">
        <f t="shared" si="441"/>
        <v>0</v>
      </c>
      <c r="G946" s="1">
        <f t="shared" si="442"/>
        <v>0</v>
      </c>
      <c r="H946" s="1">
        <f t="shared" si="429"/>
        <v>0</v>
      </c>
      <c r="I946" s="10">
        <f t="shared" si="443"/>
        <v>0</v>
      </c>
      <c r="J946" s="1">
        <f t="shared" si="430"/>
        <v>0</v>
      </c>
      <c r="K946" s="1">
        <f t="shared" si="431"/>
        <v>0</v>
      </c>
      <c r="L946" s="1" t="str">
        <f t="shared" si="432"/>
        <v>0</v>
      </c>
      <c r="M946" s="10">
        <f t="shared" si="433"/>
        <v>0</v>
      </c>
      <c r="N946" s="1">
        <f t="shared" si="444"/>
        <v>0</v>
      </c>
      <c r="O946" s="1">
        <f t="shared" si="436"/>
        <v>0</v>
      </c>
      <c r="P946" s="1">
        <f t="shared" si="434"/>
        <v>0</v>
      </c>
      <c r="Q946" s="3" t="str">
        <f t="shared" si="435"/>
        <v/>
      </c>
      <c r="T946" s="13" t="str">
        <f t="shared" si="445"/>
        <v/>
      </c>
      <c r="U946" s="14" t="str">
        <f t="shared" si="446"/>
        <v/>
      </c>
      <c r="V946" s="13" t="str">
        <f t="shared" si="447"/>
        <v/>
      </c>
      <c r="W946" s="13" t="str">
        <f t="shared" si="448"/>
        <v/>
      </c>
      <c r="X946" s="14" t="str">
        <f t="shared" si="449"/>
        <v/>
      </c>
    </row>
    <row r="947" spans="2:24" x14ac:dyDescent="0.3">
      <c r="B947" s="1">
        <f t="shared" si="437"/>
        <v>0</v>
      </c>
      <c r="C947" s="1">
        <f t="shared" si="438"/>
        <v>0</v>
      </c>
      <c r="D947" s="10">
        <f t="shared" si="439"/>
        <v>0</v>
      </c>
      <c r="E947" s="1">
        <f t="shared" si="440"/>
        <v>0</v>
      </c>
      <c r="F947" s="1">
        <f t="shared" si="441"/>
        <v>0</v>
      </c>
      <c r="G947" s="1">
        <f t="shared" si="442"/>
        <v>0</v>
      </c>
      <c r="H947" s="1">
        <f t="shared" si="429"/>
        <v>0</v>
      </c>
      <c r="I947" s="10">
        <f t="shared" si="443"/>
        <v>0</v>
      </c>
      <c r="J947" s="1">
        <f t="shared" si="430"/>
        <v>0</v>
      </c>
      <c r="K947" s="1">
        <f t="shared" si="431"/>
        <v>0</v>
      </c>
      <c r="L947" s="1" t="str">
        <f t="shared" si="432"/>
        <v>0</v>
      </c>
      <c r="M947" s="10">
        <f t="shared" si="433"/>
        <v>0</v>
      </c>
      <c r="N947" s="1">
        <f t="shared" si="444"/>
        <v>0</v>
      </c>
      <c r="O947" s="1">
        <f t="shared" si="436"/>
        <v>0</v>
      </c>
      <c r="P947" s="1">
        <f t="shared" si="434"/>
        <v>0</v>
      </c>
      <c r="Q947" s="3" t="str">
        <f t="shared" si="435"/>
        <v/>
      </c>
      <c r="T947" s="13" t="str">
        <f t="shared" si="445"/>
        <v/>
      </c>
      <c r="U947" s="14" t="str">
        <f t="shared" si="446"/>
        <v/>
      </c>
      <c r="V947" s="13" t="str">
        <f t="shared" si="447"/>
        <v/>
      </c>
      <c r="W947" s="13" t="str">
        <f t="shared" si="448"/>
        <v/>
      </c>
      <c r="X947" s="14" t="str">
        <f t="shared" si="449"/>
        <v/>
      </c>
    </row>
    <row r="948" spans="2:24" x14ac:dyDescent="0.3">
      <c r="B948" s="1">
        <f t="shared" si="437"/>
        <v>0</v>
      </c>
      <c r="C948" s="1">
        <f t="shared" si="438"/>
        <v>0</v>
      </c>
      <c r="D948" s="10">
        <f t="shared" si="439"/>
        <v>0</v>
      </c>
      <c r="E948" s="1">
        <f t="shared" si="440"/>
        <v>0</v>
      </c>
      <c r="F948" s="1">
        <f t="shared" si="441"/>
        <v>0</v>
      </c>
      <c r="G948" s="1">
        <f t="shared" si="442"/>
        <v>0</v>
      </c>
      <c r="H948" s="1">
        <f t="shared" si="429"/>
        <v>0</v>
      </c>
      <c r="I948" s="10">
        <f t="shared" si="443"/>
        <v>0</v>
      </c>
      <c r="J948" s="1">
        <f t="shared" si="430"/>
        <v>0</v>
      </c>
      <c r="K948" s="1">
        <f t="shared" si="431"/>
        <v>0</v>
      </c>
      <c r="L948" s="1" t="str">
        <f t="shared" si="432"/>
        <v>0</v>
      </c>
      <c r="M948" s="10">
        <f t="shared" si="433"/>
        <v>0</v>
      </c>
      <c r="N948" s="1">
        <f t="shared" si="444"/>
        <v>0</v>
      </c>
      <c r="O948" s="1">
        <f t="shared" si="436"/>
        <v>0</v>
      </c>
      <c r="P948" s="1">
        <f t="shared" si="434"/>
        <v>0</v>
      </c>
      <c r="Q948" s="3" t="str">
        <f t="shared" si="435"/>
        <v/>
      </c>
      <c r="T948" s="13" t="str">
        <f t="shared" si="445"/>
        <v/>
      </c>
      <c r="U948" s="14" t="str">
        <f t="shared" si="446"/>
        <v/>
      </c>
      <c r="V948" s="13" t="str">
        <f t="shared" si="447"/>
        <v/>
      </c>
      <c r="W948" s="13" t="str">
        <f t="shared" si="448"/>
        <v/>
      </c>
      <c r="X948" s="14" t="str">
        <f t="shared" si="449"/>
        <v/>
      </c>
    </row>
    <row r="949" spans="2:24" x14ac:dyDescent="0.3">
      <c r="B949" s="1">
        <f t="shared" si="437"/>
        <v>0</v>
      </c>
      <c r="C949" s="1">
        <f t="shared" si="438"/>
        <v>0</v>
      </c>
      <c r="D949" s="10">
        <f t="shared" si="439"/>
        <v>0</v>
      </c>
      <c r="E949" s="1">
        <f t="shared" si="440"/>
        <v>0</v>
      </c>
      <c r="F949" s="1">
        <f t="shared" si="441"/>
        <v>0</v>
      </c>
      <c r="G949" s="1">
        <f t="shared" si="442"/>
        <v>0</v>
      </c>
      <c r="H949" s="1">
        <f t="shared" ref="H949:H1012" si="450">IF(AND(F949&gt;0,F949&lt;G949),F949,G949)</f>
        <v>0</v>
      </c>
      <c r="I949" s="10">
        <f t="shared" si="443"/>
        <v>0</v>
      </c>
      <c r="J949" s="1">
        <f t="shared" ref="J949:J1012" si="451">IF(AND(F949&gt;0,F949&lt;G949),FIND("=",A949,F949)+1,0)</f>
        <v>0</v>
      </c>
      <c r="K949" s="1">
        <f t="shared" ref="K949:K1012" si="452">IF(J949&gt;0,MID(A949,J949,G949-J949),0)</f>
        <v>0</v>
      </c>
      <c r="L949" s="1" t="str">
        <f t="shared" ref="L949:L1012" si="453">IFERROR(RIGHT(K949,LEN(K949)-FIND("0x",K949)-1),DEC2HEX(K949))</f>
        <v>0</v>
      </c>
      <c r="M949" s="10">
        <f t="shared" ref="M949:M1012" si="454">HEX2DEC(L949)</f>
        <v>0</v>
      </c>
      <c r="N949" s="1">
        <f t="shared" si="444"/>
        <v>0</v>
      </c>
      <c r="O949" s="1">
        <f t="shared" si="436"/>
        <v>0</v>
      </c>
      <c r="P949" s="1">
        <f t="shared" ref="P949:P1012" si="455">IFERROR(FIND("*/",$A949,N949+1),0)</f>
        <v>0</v>
      </c>
      <c r="Q949" s="3" t="str">
        <f t="shared" si="435"/>
        <v/>
      </c>
      <c r="T949" s="13" t="str">
        <f t="shared" si="445"/>
        <v/>
      </c>
      <c r="U949" s="14" t="str">
        <f t="shared" si="446"/>
        <v/>
      </c>
      <c r="V949" s="13" t="str">
        <f t="shared" si="447"/>
        <v/>
      </c>
      <c r="W949" s="13" t="str">
        <f t="shared" si="448"/>
        <v/>
      </c>
      <c r="X949" s="14" t="str">
        <f t="shared" si="449"/>
        <v/>
      </c>
    </row>
    <row r="950" spans="2:24" x14ac:dyDescent="0.3">
      <c r="B950" s="1">
        <f t="shared" si="437"/>
        <v>0</v>
      </c>
      <c r="C950" s="1">
        <f t="shared" si="438"/>
        <v>0</v>
      </c>
      <c r="D950" s="10">
        <f t="shared" si="439"/>
        <v>0</v>
      </c>
      <c r="E950" s="1">
        <f t="shared" si="440"/>
        <v>0</v>
      </c>
      <c r="F950" s="1">
        <f t="shared" si="441"/>
        <v>0</v>
      </c>
      <c r="G950" s="1">
        <f t="shared" si="442"/>
        <v>0</v>
      </c>
      <c r="H950" s="1">
        <f t="shared" si="450"/>
        <v>0</v>
      </c>
      <c r="I950" s="10">
        <f t="shared" si="443"/>
        <v>0</v>
      </c>
      <c r="J950" s="1">
        <f t="shared" si="451"/>
        <v>0</v>
      </c>
      <c r="K950" s="1">
        <f t="shared" si="452"/>
        <v>0</v>
      </c>
      <c r="L950" s="1" t="str">
        <f t="shared" si="453"/>
        <v>0</v>
      </c>
      <c r="M950" s="10">
        <f t="shared" si="454"/>
        <v>0</v>
      </c>
      <c r="N950" s="1">
        <f t="shared" si="444"/>
        <v>0</v>
      </c>
      <c r="O950" s="1">
        <f t="shared" si="436"/>
        <v>0</v>
      </c>
      <c r="P950" s="1">
        <f t="shared" si="455"/>
        <v>0</v>
      </c>
      <c r="Q950" s="3" t="str">
        <f t="shared" si="435"/>
        <v/>
      </c>
      <c r="T950" s="13" t="str">
        <f t="shared" si="445"/>
        <v/>
      </c>
      <c r="U950" s="14" t="str">
        <f t="shared" si="446"/>
        <v/>
      </c>
      <c r="V950" s="13" t="str">
        <f t="shared" si="447"/>
        <v/>
      </c>
      <c r="W950" s="13" t="str">
        <f t="shared" si="448"/>
        <v/>
      </c>
      <c r="X950" s="14" t="str">
        <f t="shared" si="449"/>
        <v/>
      </c>
    </row>
    <row r="951" spans="2:24" x14ac:dyDescent="0.3">
      <c r="B951" s="1">
        <f t="shared" si="437"/>
        <v>0</v>
      </c>
      <c r="C951" s="1">
        <f t="shared" si="438"/>
        <v>0</v>
      </c>
      <c r="D951" s="10">
        <f t="shared" si="439"/>
        <v>0</v>
      </c>
      <c r="E951" s="1">
        <f t="shared" si="440"/>
        <v>0</v>
      </c>
      <c r="F951" s="1">
        <f t="shared" si="441"/>
        <v>0</v>
      </c>
      <c r="G951" s="1">
        <f t="shared" si="442"/>
        <v>0</v>
      </c>
      <c r="H951" s="1">
        <f t="shared" si="450"/>
        <v>0</v>
      </c>
      <c r="I951" s="10">
        <f t="shared" si="443"/>
        <v>0</v>
      </c>
      <c r="J951" s="1">
        <f t="shared" si="451"/>
        <v>0</v>
      </c>
      <c r="K951" s="1">
        <f t="shared" si="452"/>
        <v>0</v>
      </c>
      <c r="L951" s="1" t="str">
        <f t="shared" si="453"/>
        <v>0</v>
      </c>
      <c r="M951" s="10">
        <f t="shared" si="454"/>
        <v>0</v>
      </c>
      <c r="N951" s="1">
        <f t="shared" si="444"/>
        <v>0</v>
      </c>
      <c r="O951" s="1">
        <f t="shared" si="436"/>
        <v>0</v>
      </c>
      <c r="P951" s="1">
        <f t="shared" si="455"/>
        <v>0</v>
      </c>
      <c r="Q951" s="3" t="str">
        <f t="shared" si="435"/>
        <v/>
      </c>
      <c r="T951" s="13" t="str">
        <f t="shared" si="445"/>
        <v/>
      </c>
      <c r="U951" s="14" t="str">
        <f t="shared" si="446"/>
        <v/>
      </c>
      <c r="V951" s="13" t="str">
        <f t="shared" si="447"/>
        <v/>
      </c>
      <c r="W951" s="13" t="str">
        <f t="shared" si="448"/>
        <v/>
      </c>
      <c r="X951" s="14" t="str">
        <f t="shared" si="449"/>
        <v/>
      </c>
    </row>
    <row r="952" spans="2:24" x14ac:dyDescent="0.3">
      <c r="B952" s="1">
        <f t="shared" si="437"/>
        <v>0</v>
      </c>
      <c r="C952" s="1">
        <f t="shared" si="438"/>
        <v>0</v>
      </c>
      <c r="D952" s="10">
        <f t="shared" si="439"/>
        <v>0</v>
      </c>
      <c r="E952" s="1">
        <f t="shared" si="440"/>
        <v>0</v>
      </c>
      <c r="F952" s="1">
        <f t="shared" si="441"/>
        <v>0</v>
      </c>
      <c r="G952" s="1">
        <f t="shared" si="442"/>
        <v>0</v>
      </c>
      <c r="H952" s="1">
        <f t="shared" si="450"/>
        <v>0</v>
      </c>
      <c r="I952" s="10">
        <f t="shared" si="443"/>
        <v>0</v>
      </c>
      <c r="J952" s="1">
        <f t="shared" si="451"/>
        <v>0</v>
      </c>
      <c r="K952" s="1">
        <f t="shared" si="452"/>
        <v>0</v>
      </c>
      <c r="L952" s="1" t="str">
        <f t="shared" si="453"/>
        <v>0</v>
      </c>
      <c r="M952" s="10">
        <f t="shared" si="454"/>
        <v>0</v>
      </c>
      <c r="N952" s="1">
        <f t="shared" si="444"/>
        <v>0</v>
      </c>
      <c r="O952" s="1">
        <f t="shared" si="436"/>
        <v>0</v>
      </c>
      <c r="P952" s="1">
        <f t="shared" si="455"/>
        <v>0</v>
      </c>
      <c r="Q952" s="3" t="str">
        <f t="shared" si="435"/>
        <v/>
      </c>
      <c r="T952" s="13" t="str">
        <f t="shared" si="445"/>
        <v/>
      </c>
      <c r="U952" s="14" t="str">
        <f t="shared" si="446"/>
        <v/>
      </c>
      <c r="V952" s="13" t="str">
        <f t="shared" si="447"/>
        <v/>
      </c>
      <c r="W952" s="13" t="str">
        <f t="shared" si="448"/>
        <v/>
      </c>
      <c r="X952" s="14" t="str">
        <f t="shared" si="449"/>
        <v/>
      </c>
    </row>
    <row r="953" spans="2:24" x14ac:dyDescent="0.3">
      <c r="B953" s="1">
        <f t="shared" si="437"/>
        <v>0</v>
      </c>
      <c r="C953" s="1">
        <f t="shared" si="438"/>
        <v>0</v>
      </c>
      <c r="D953" s="10">
        <f t="shared" si="439"/>
        <v>0</v>
      </c>
      <c r="E953" s="1">
        <f t="shared" si="440"/>
        <v>0</v>
      </c>
      <c r="F953" s="1">
        <f t="shared" si="441"/>
        <v>0</v>
      </c>
      <c r="G953" s="1">
        <f t="shared" si="442"/>
        <v>0</v>
      </c>
      <c r="H953" s="1">
        <f t="shared" si="450"/>
        <v>0</v>
      </c>
      <c r="I953" s="10">
        <f t="shared" si="443"/>
        <v>0</v>
      </c>
      <c r="J953" s="1">
        <f t="shared" si="451"/>
        <v>0</v>
      </c>
      <c r="K953" s="1">
        <f t="shared" si="452"/>
        <v>0</v>
      </c>
      <c r="L953" s="1" t="str">
        <f t="shared" si="453"/>
        <v>0</v>
      </c>
      <c r="M953" s="10">
        <f t="shared" si="454"/>
        <v>0</v>
      </c>
      <c r="N953" s="1">
        <f t="shared" si="444"/>
        <v>0</v>
      </c>
      <c r="O953" s="1">
        <f t="shared" si="436"/>
        <v>0</v>
      </c>
      <c r="P953" s="1">
        <f t="shared" si="455"/>
        <v>0</v>
      </c>
      <c r="Q953" s="3" t="str">
        <f t="shared" si="435"/>
        <v/>
      </c>
      <c r="T953" s="13" t="str">
        <f t="shared" si="445"/>
        <v/>
      </c>
      <c r="U953" s="14" t="str">
        <f t="shared" si="446"/>
        <v/>
      </c>
      <c r="V953" s="13" t="str">
        <f t="shared" si="447"/>
        <v/>
      </c>
      <c r="W953" s="13" t="str">
        <f t="shared" si="448"/>
        <v/>
      </c>
      <c r="X953" s="14" t="str">
        <f t="shared" si="449"/>
        <v/>
      </c>
    </row>
    <row r="954" spans="2:24" x14ac:dyDescent="0.3">
      <c r="B954" s="1">
        <f t="shared" si="437"/>
        <v>0</v>
      </c>
      <c r="C954" s="1">
        <f t="shared" si="438"/>
        <v>0</v>
      </c>
      <c r="D954" s="10">
        <f t="shared" si="439"/>
        <v>0</v>
      </c>
      <c r="E954" s="1">
        <f t="shared" si="440"/>
        <v>0</v>
      </c>
      <c r="F954" s="1">
        <f t="shared" si="441"/>
        <v>0</v>
      </c>
      <c r="G954" s="1">
        <f t="shared" si="442"/>
        <v>0</v>
      </c>
      <c r="H954" s="1">
        <f t="shared" si="450"/>
        <v>0</v>
      </c>
      <c r="I954" s="10">
        <f t="shared" si="443"/>
        <v>0</v>
      </c>
      <c r="J954" s="1">
        <f t="shared" si="451"/>
        <v>0</v>
      </c>
      <c r="K954" s="1">
        <f t="shared" si="452"/>
        <v>0</v>
      </c>
      <c r="L954" s="1" t="str">
        <f t="shared" si="453"/>
        <v>0</v>
      </c>
      <c r="M954" s="10">
        <f t="shared" si="454"/>
        <v>0</v>
      </c>
      <c r="N954" s="1">
        <f t="shared" si="444"/>
        <v>0</v>
      </c>
      <c r="O954" s="1">
        <f t="shared" si="436"/>
        <v>0</v>
      </c>
      <c r="P954" s="1">
        <f t="shared" si="455"/>
        <v>0</v>
      </c>
      <c r="Q954" s="3" t="str">
        <f t="shared" si="435"/>
        <v/>
      </c>
      <c r="T954" s="13" t="str">
        <f t="shared" si="445"/>
        <v/>
      </c>
      <c r="U954" s="14" t="str">
        <f t="shared" si="446"/>
        <v/>
      </c>
      <c r="V954" s="13" t="str">
        <f t="shared" si="447"/>
        <v/>
      </c>
      <c r="W954" s="13" t="str">
        <f t="shared" si="448"/>
        <v/>
      </c>
      <c r="X954" s="14" t="str">
        <f t="shared" si="449"/>
        <v/>
      </c>
    </row>
    <row r="955" spans="2:24" x14ac:dyDescent="0.3">
      <c r="B955" s="1">
        <f t="shared" si="437"/>
        <v>0</v>
      </c>
      <c r="C955" s="1">
        <f t="shared" si="438"/>
        <v>0</v>
      </c>
      <c r="D955" s="10">
        <f t="shared" si="439"/>
        <v>0</v>
      </c>
      <c r="E955" s="1">
        <f t="shared" si="440"/>
        <v>0</v>
      </c>
      <c r="F955" s="1">
        <f t="shared" si="441"/>
        <v>0</v>
      </c>
      <c r="G955" s="1">
        <f t="shared" si="442"/>
        <v>0</v>
      </c>
      <c r="H955" s="1">
        <f t="shared" si="450"/>
        <v>0</v>
      </c>
      <c r="I955" s="10">
        <f t="shared" si="443"/>
        <v>0</v>
      </c>
      <c r="J955" s="1">
        <f t="shared" si="451"/>
        <v>0</v>
      </c>
      <c r="K955" s="1">
        <f t="shared" si="452"/>
        <v>0</v>
      </c>
      <c r="L955" s="1" t="str">
        <f t="shared" si="453"/>
        <v>0</v>
      </c>
      <c r="M955" s="10">
        <f t="shared" si="454"/>
        <v>0</v>
      </c>
      <c r="N955" s="1">
        <f t="shared" si="444"/>
        <v>0</v>
      </c>
      <c r="O955" s="1">
        <f t="shared" si="436"/>
        <v>0</v>
      </c>
      <c r="P955" s="1">
        <f t="shared" si="455"/>
        <v>0</v>
      </c>
      <c r="Q955" s="3" t="str">
        <f t="shared" si="435"/>
        <v/>
      </c>
      <c r="T955" s="13" t="str">
        <f t="shared" si="445"/>
        <v/>
      </c>
      <c r="U955" s="14" t="str">
        <f t="shared" si="446"/>
        <v/>
      </c>
      <c r="V955" s="13" t="str">
        <f t="shared" si="447"/>
        <v/>
      </c>
      <c r="W955" s="13" t="str">
        <f t="shared" si="448"/>
        <v/>
      </c>
      <c r="X955" s="14" t="str">
        <f t="shared" si="449"/>
        <v/>
      </c>
    </row>
    <row r="956" spans="2:24" x14ac:dyDescent="0.3">
      <c r="B956" s="1">
        <f t="shared" si="437"/>
        <v>0</v>
      </c>
      <c r="C956" s="1">
        <f t="shared" si="438"/>
        <v>0</v>
      </c>
      <c r="D956" s="10">
        <f t="shared" si="439"/>
        <v>0</v>
      </c>
      <c r="E956" s="1">
        <f t="shared" si="440"/>
        <v>0</v>
      </c>
      <c r="F956" s="1">
        <f t="shared" si="441"/>
        <v>0</v>
      </c>
      <c r="G956" s="1">
        <f t="shared" si="442"/>
        <v>0</v>
      </c>
      <c r="H956" s="1">
        <f t="shared" si="450"/>
        <v>0</v>
      </c>
      <c r="I956" s="10">
        <f t="shared" si="443"/>
        <v>0</v>
      </c>
      <c r="J956" s="1">
        <f t="shared" si="451"/>
        <v>0</v>
      </c>
      <c r="K956" s="1">
        <f t="shared" si="452"/>
        <v>0</v>
      </c>
      <c r="L956" s="1" t="str">
        <f t="shared" si="453"/>
        <v>0</v>
      </c>
      <c r="M956" s="10">
        <f t="shared" si="454"/>
        <v>0</v>
      </c>
      <c r="N956" s="1">
        <f t="shared" si="444"/>
        <v>0</v>
      </c>
      <c r="O956" s="1">
        <f t="shared" si="436"/>
        <v>0</v>
      </c>
      <c r="P956" s="1">
        <f t="shared" si="455"/>
        <v>0</v>
      </c>
      <c r="Q956" s="3" t="str">
        <f t="shared" si="435"/>
        <v/>
      </c>
      <c r="T956" s="13" t="str">
        <f t="shared" si="445"/>
        <v/>
      </c>
      <c r="U956" s="14" t="str">
        <f t="shared" si="446"/>
        <v/>
      </c>
      <c r="V956" s="13" t="str">
        <f t="shared" si="447"/>
        <v/>
      </c>
      <c r="W956" s="13" t="str">
        <f t="shared" si="448"/>
        <v/>
      </c>
      <c r="X956" s="14" t="str">
        <f t="shared" si="449"/>
        <v/>
      </c>
    </row>
    <row r="957" spans="2:24" x14ac:dyDescent="0.3">
      <c r="B957" s="1">
        <f t="shared" si="437"/>
        <v>0</v>
      </c>
      <c r="C957" s="1">
        <f t="shared" si="438"/>
        <v>0</v>
      </c>
      <c r="D957" s="10">
        <f t="shared" si="439"/>
        <v>0</v>
      </c>
      <c r="E957" s="1">
        <f t="shared" si="440"/>
        <v>0</v>
      </c>
      <c r="F957" s="1">
        <f t="shared" si="441"/>
        <v>0</v>
      </c>
      <c r="G957" s="1">
        <f t="shared" si="442"/>
        <v>0</v>
      </c>
      <c r="H957" s="1">
        <f t="shared" si="450"/>
        <v>0</v>
      </c>
      <c r="I957" s="10">
        <f t="shared" si="443"/>
        <v>0</v>
      </c>
      <c r="J957" s="1">
        <f t="shared" si="451"/>
        <v>0</v>
      </c>
      <c r="K957" s="1">
        <f t="shared" si="452"/>
        <v>0</v>
      </c>
      <c r="L957" s="1" t="str">
        <f t="shared" si="453"/>
        <v>0</v>
      </c>
      <c r="M957" s="10">
        <f t="shared" si="454"/>
        <v>0</v>
      </c>
      <c r="N957" s="1">
        <f t="shared" si="444"/>
        <v>0</v>
      </c>
      <c r="O957" s="1">
        <f t="shared" si="436"/>
        <v>0</v>
      </c>
      <c r="P957" s="1">
        <f t="shared" si="455"/>
        <v>0</v>
      </c>
      <c r="Q957" s="3" t="str">
        <f t="shared" si="435"/>
        <v/>
      </c>
      <c r="T957" s="13" t="str">
        <f t="shared" si="445"/>
        <v/>
      </c>
      <c r="U957" s="14" t="str">
        <f t="shared" si="446"/>
        <v/>
      </c>
      <c r="V957" s="13" t="str">
        <f t="shared" si="447"/>
        <v/>
      </c>
      <c r="W957" s="13" t="str">
        <f t="shared" si="448"/>
        <v/>
      </c>
      <c r="X957" s="14" t="str">
        <f t="shared" si="449"/>
        <v/>
      </c>
    </row>
    <row r="958" spans="2:24" x14ac:dyDescent="0.3">
      <c r="B958" s="1">
        <f t="shared" si="437"/>
        <v>0</v>
      </c>
      <c r="C958" s="1">
        <f t="shared" si="438"/>
        <v>0</v>
      </c>
      <c r="D958" s="10">
        <f t="shared" si="439"/>
        <v>0</v>
      </c>
      <c r="E958" s="1">
        <f t="shared" si="440"/>
        <v>0</v>
      </c>
      <c r="F958" s="1">
        <f t="shared" si="441"/>
        <v>0</v>
      </c>
      <c r="G958" s="1">
        <f t="shared" si="442"/>
        <v>0</v>
      </c>
      <c r="H958" s="1">
        <f t="shared" si="450"/>
        <v>0</v>
      </c>
      <c r="I958" s="10">
        <f t="shared" si="443"/>
        <v>0</v>
      </c>
      <c r="J958" s="1">
        <f t="shared" si="451"/>
        <v>0</v>
      </c>
      <c r="K958" s="1">
        <f t="shared" si="452"/>
        <v>0</v>
      </c>
      <c r="L958" s="1" t="str">
        <f t="shared" si="453"/>
        <v>0</v>
      </c>
      <c r="M958" s="10">
        <f t="shared" si="454"/>
        <v>0</v>
      </c>
      <c r="N958" s="1">
        <f t="shared" si="444"/>
        <v>0</v>
      </c>
      <c r="O958" s="1">
        <f t="shared" si="436"/>
        <v>0</v>
      </c>
      <c r="P958" s="1">
        <f t="shared" si="455"/>
        <v>0</v>
      </c>
      <c r="Q958" s="3" t="str">
        <f t="shared" si="435"/>
        <v/>
      </c>
      <c r="T958" s="13" t="str">
        <f t="shared" si="445"/>
        <v/>
      </c>
      <c r="U958" s="14" t="str">
        <f t="shared" si="446"/>
        <v/>
      </c>
      <c r="V958" s="13" t="str">
        <f t="shared" si="447"/>
        <v/>
      </c>
      <c r="W958" s="13" t="str">
        <f t="shared" si="448"/>
        <v/>
      </c>
      <c r="X958" s="14" t="str">
        <f t="shared" si="449"/>
        <v/>
      </c>
    </row>
    <row r="959" spans="2:24" x14ac:dyDescent="0.3">
      <c r="B959" s="1">
        <f t="shared" si="437"/>
        <v>0</v>
      </c>
      <c r="C959" s="1">
        <f t="shared" si="438"/>
        <v>0</v>
      </c>
      <c r="D959" s="10">
        <f t="shared" si="439"/>
        <v>0</v>
      </c>
      <c r="E959" s="1">
        <f t="shared" si="440"/>
        <v>0</v>
      </c>
      <c r="F959" s="1">
        <f t="shared" si="441"/>
        <v>0</v>
      </c>
      <c r="G959" s="1">
        <f t="shared" si="442"/>
        <v>0</v>
      </c>
      <c r="H959" s="1">
        <f t="shared" si="450"/>
        <v>0</v>
      </c>
      <c r="I959" s="10">
        <f t="shared" si="443"/>
        <v>0</v>
      </c>
      <c r="J959" s="1">
        <f t="shared" si="451"/>
        <v>0</v>
      </c>
      <c r="K959" s="1">
        <f t="shared" si="452"/>
        <v>0</v>
      </c>
      <c r="L959" s="1" t="str">
        <f t="shared" si="453"/>
        <v>0</v>
      </c>
      <c r="M959" s="10">
        <f t="shared" si="454"/>
        <v>0</v>
      </c>
      <c r="N959" s="1">
        <f t="shared" si="444"/>
        <v>0</v>
      </c>
      <c r="O959" s="1">
        <f t="shared" si="436"/>
        <v>0</v>
      </c>
      <c r="P959" s="1">
        <f t="shared" si="455"/>
        <v>0</v>
      </c>
      <c r="Q959" s="3" t="str">
        <f t="shared" si="435"/>
        <v/>
      </c>
      <c r="T959" s="13" t="str">
        <f t="shared" si="445"/>
        <v/>
      </c>
      <c r="U959" s="14" t="str">
        <f t="shared" si="446"/>
        <v/>
      </c>
      <c r="V959" s="13" t="str">
        <f t="shared" si="447"/>
        <v/>
      </c>
      <c r="W959" s="13" t="str">
        <f t="shared" si="448"/>
        <v/>
      </c>
      <c r="X959" s="14" t="str">
        <f t="shared" si="449"/>
        <v/>
      </c>
    </row>
    <row r="960" spans="2:24" x14ac:dyDescent="0.3">
      <c r="B960" s="1">
        <f t="shared" si="437"/>
        <v>0</v>
      </c>
      <c r="C960" s="1">
        <f t="shared" si="438"/>
        <v>0</v>
      </c>
      <c r="D960" s="10">
        <f t="shared" si="439"/>
        <v>0</v>
      </c>
      <c r="E960" s="1">
        <f t="shared" si="440"/>
        <v>0</v>
      </c>
      <c r="F960" s="1">
        <f t="shared" si="441"/>
        <v>0</v>
      </c>
      <c r="G960" s="1">
        <f t="shared" si="442"/>
        <v>0</v>
      </c>
      <c r="H960" s="1">
        <f t="shared" si="450"/>
        <v>0</v>
      </c>
      <c r="I960" s="10">
        <f t="shared" si="443"/>
        <v>0</v>
      </c>
      <c r="J960" s="1">
        <f t="shared" si="451"/>
        <v>0</v>
      </c>
      <c r="K960" s="1">
        <f t="shared" si="452"/>
        <v>0</v>
      </c>
      <c r="L960" s="1" t="str">
        <f t="shared" si="453"/>
        <v>0</v>
      </c>
      <c r="M960" s="10">
        <f t="shared" si="454"/>
        <v>0</v>
      </c>
      <c r="N960" s="1">
        <f t="shared" si="444"/>
        <v>0</v>
      </c>
      <c r="O960" s="1">
        <f t="shared" si="436"/>
        <v>0</v>
      </c>
      <c r="P960" s="1">
        <f t="shared" si="455"/>
        <v>0</v>
      </c>
      <c r="Q960" s="3" t="str">
        <f t="shared" si="435"/>
        <v/>
      </c>
      <c r="T960" s="13" t="str">
        <f t="shared" si="445"/>
        <v/>
      </c>
      <c r="U960" s="14" t="str">
        <f t="shared" si="446"/>
        <v/>
      </c>
      <c r="V960" s="13" t="str">
        <f t="shared" si="447"/>
        <v/>
      </c>
      <c r="W960" s="13" t="str">
        <f t="shared" si="448"/>
        <v/>
      </c>
      <c r="X960" s="14" t="str">
        <f t="shared" si="449"/>
        <v/>
      </c>
    </row>
    <row r="961" spans="2:24" x14ac:dyDescent="0.3">
      <c r="B961" s="1">
        <f t="shared" si="437"/>
        <v>0</v>
      </c>
      <c r="C961" s="1">
        <f t="shared" si="438"/>
        <v>0</v>
      </c>
      <c r="D961" s="10">
        <f t="shared" si="439"/>
        <v>0</v>
      </c>
      <c r="E961" s="1">
        <f t="shared" si="440"/>
        <v>0</v>
      </c>
      <c r="F961" s="1">
        <f t="shared" si="441"/>
        <v>0</v>
      </c>
      <c r="G961" s="1">
        <f t="shared" si="442"/>
        <v>0</v>
      </c>
      <c r="H961" s="1">
        <f t="shared" si="450"/>
        <v>0</v>
      </c>
      <c r="I961" s="10">
        <f t="shared" si="443"/>
        <v>0</v>
      </c>
      <c r="J961" s="1">
        <f t="shared" si="451"/>
        <v>0</v>
      </c>
      <c r="K961" s="1">
        <f t="shared" si="452"/>
        <v>0</v>
      </c>
      <c r="L961" s="1" t="str">
        <f t="shared" si="453"/>
        <v>0</v>
      </c>
      <c r="M961" s="10">
        <f t="shared" si="454"/>
        <v>0</v>
      </c>
      <c r="N961" s="1">
        <f t="shared" si="444"/>
        <v>0</v>
      </c>
      <c r="O961" s="1">
        <f t="shared" si="436"/>
        <v>0</v>
      </c>
      <c r="P961" s="1">
        <f t="shared" si="455"/>
        <v>0</v>
      </c>
      <c r="Q961" s="3" t="str">
        <f t="shared" si="435"/>
        <v/>
      </c>
      <c r="T961" s="13" t="str">
        <f t="shared" si="445"/>
        <v/>
      </c>
      <c r="U961" s="14" t="str">
        <f t="shared" si="446"/>
        <v/>
      </c>
      <c r="V961" s="13" t="str">
        <f t="shared" si="447"/>
        <v/>
      </c>
      <c r="W961" s="13" t="str">
        <f t="shared" si="448"/>
        <v/>
      </c>
      <c r="X961" s="14" t="str">
        <f t="shared" si="449"/>
        <v/>
      </c>
    </row>
    <row r="962" spans="2:24" x14ac:dyDescent="0.3">
      <c r="B962" s="1">
        <f t="shared" si="437"/>
        <v>0</v>
      </c>
      <c r="C962" s="1">
        <f t="shared" si="438"/>
        <v>0</v>
      </c>
      <c r="D962" s="10">
        <f t="shared" si="439"/>
        <v>0</v>
      </c>
      <c r="E962" s="1">
        <f t="shared" si="440"/>
        <v>0</v>
      </c>
      <c r="F962" s="1">
        <f t="shared" si="441"/>
        <v>0</v>
      </c>
      <c r="G962" s="1">
        <f t="shared" si="442"/>
        <v>0</v>
      </c>
      <c r="H962" s="1">
        <f t="shared" si="450"/>
        <v>0</v>
      </c>
      <c r="I962" s="10">
        <f t="shared" si="443"/>
        <v>0</v>
      </c>
      <c r="J962" s="1">
        <f t="shared" si="451"/>
        <v>0</v>
      </c>
      <c r="K962" s="1">
        <f t="shared" si="452"/>
        <v>0</v>
      </c>
      <c r="L962" s="1" t="str">
        <f t="shared" si="453"/>
        <v>0</v>
      </c>
      <c r="M962" s="10">
        <f t="shared" si="454"/>
        <v>0</v>
      </c>
      <c r="N962" s="1">
        <f t="shared" si="444"/>
        <v>0</v>
      </c>
      <c r="O962" s="1">
        <f t="shared" si="436"/>
        <v>0</v>
      </c>
      <c r="P962" s="1">
        <f t="shared" si="455"/>
        <v>0</v>
      </c>
      <c r="Q962" s="3" t="str">
        <f t="shared" si="435"/>
        <v/>
      </c>
      <c r="T962" s="13" t="str">
        <f t="shared" si="445"/>
        <v/>
      </c>
      <c r="U962" s="14" t="str">
        <f t="shared" si="446"/>
        <v/>
      </c>
      <c r="V962" s="13" t="str">
        <f t="shared" si="447"/>
        <v/>
      </c>
      <c r="W962" s="13" t="str">
        <f t="shared" si="448"/>
        <v/>
      </c>
      <c r="X962" s="14" t="str">
        <f t="shared" si="449"/>
        <v/>
      </c>
    </row>
    <row r="963" spans="2:24" x14ac:dyDescent="0.3">
      <c r="B963" s="1">
        <f t="shared" si="437"/>
        <v>0</v>
      </c>
      <c r="C963" s="1">
        <f t="shared" si="438"/>
        <v>0</v>
      </c>
      <c r="D963" s="10">
        <f t="shared" si="439"/>
        <v>0</v>
      </c>
      <c r="E963" s="1">
        <f t="shared" si="440"/>
        <v>0</v>
      </c>
      <c r="F963" s="1">
        <f t="shared" si="441"/>
        <v>0</v>
      </c>
      <c r="G963" s="1">
        <f t="shared" si="442"/>
        <v>0</v>
      </c>
      <c r="H963" s="1">
        <f t="shared" si="450"/>
        <v>0</v>
      </c>
      <c r="I963" s="10">
        <f t="shared" si="443"/>
        <v>0</v>
      </c>
      <c r="J963" s="1">
        <f t="shared" si="451"/>
        <v>0</v>
      </c>
      <c r="K963" s="1">
        <f t="shared" si="452"/>
        <v>0</v>
      </c>
      <c r="L963" s="1" t="str">
        <f t="shared" si="453"/>
        <v>0</v>
      </c>
      <c r="M963" s="10">
        <f t="shared" si="454"/>
        <v>0</v>
      </c>
      <c r="N963" s="1">
        <f t="shared" si="444"/>
        <v>0</v>
      </c>
      <c r="O963" s="1">
        <f t="shared" si="436"/>
        <v>0</v>
      </c>
      <c r="P963" s="1">
        <f t="shared" si="455"/>
        <v>0</v>
      </c>
      <c r="Q963" s="3" t="str">
        <f t="shared" si="435"/>
        <v/>
      </c>
      <c r="T963" s="13" t="str">
        <f t="shared" si="445"/>
        <v/>
      </c>
      <c r="U963" s="14" t="str">
        <f t="shared" si="446"/>
        <v/>
      </c>
      <c r="V963" s="13" t="str">
        <f t="shared" si="447"/>
        <v/>
      </c>
      <c r="W963" s="13" t="str">
        <f t="shared" si="448"/>
        <v/>
      </c>
      <c r="X963" s="14" t="str">
        <f t="shared" si="449"/>
        <v/>
      </c>
    </row>
    <row r="964" spans="2:24" x14ac:dyDescent="0.3">
      <c r="B964" s="1">
        <f t="shared" si="437"/>
        <v>0</v>
      </c>
      <c r="C964" s="1">
        <f t="shared" si="438"/>
        <v>0</v>
      </c>
      <c r="D964" s="10">
        <f t="shared" si="439"/>
        <v>0</v>
      </c>
      <c r="E964" s="1">
        <f t="shared" si="440"/>
        <v>0</v>
      </c>
      <c r="F964" s="1">
        <f t="shared" si="441"/>
        <v>0</v>
      </c>
      <c r="G964" s="1">
        <f t="shared" si="442"/>
        <v>0</v>
      </c>
      <c r="H964" s="1">
        <f t="shared" si="450"/>
        <v>0</v>
      </c>
      <c r="I964" s="10">
        <f t="shared" si="443"/>
        <v>0</v>
      </c>
      <c r="J964" s="1">
        <f t="shared" si="451"/>
        <v>0</v>
      </c>
      <c r="K964" s="1">
        <f t="shared" si="452"/>
        <v>0</v>
      </c>
      <c r="L964" s="1" t="str">
        <f t="shared" si="453"/>
        <v>0</v>
      </c>
      <c r="M964" s="10">
        <f t="shared" si="454"/>
        <v>0</v>
      </c>
      <c r="N964" s="1">
        <f t="shared" si="444"/>
        <v>0</v>
      </c>
      <c r="O964" s="1">
        <f t="shared" si="436"/>
        <v>0</v>
      </c>
      <c r="P964" s="1">
        <f t="shared" si="455"/>
        <v>0</v>
      </c>
      <c r="Q964" s="3" t="str">
        <f t="shared" ref="Q964:Q1027" si="456">IF($N964&gt;0,MID($A964,($N964+$O964),$P964-($N964+$O964)),"")</f>
        <v/>
      </c>
      <c r="T964" s="13" t="str">
        <f t="shared" si="445"/>
        <v/>
      </c>
      <c r="U964" s="14" t="str">
        <f t="shared" si="446"/>
        <v/>
      </c>
      <c r="V964" s="13" t="str">
        <f t="shared" si="447"/>
        <v/>
      </c>
      <c r="W964" s="13" t="str">
        <f t="shared" si="448"/>
        <v/>
      </c>
      <c r="X964" s="14" t="str">
        <f t="shared" si="449"/>
        <v/>
      </c>
    </row>
    <row r="965" spans="2:24" x14ac:dyDescent="0.3">
      <c r="B965" s="1">
        <f t="shared" si="437"/>
        <v>0</v>
      </c>
      <c r="C965" s="1">
        <f t="shared" si="438"/>
        <v>0</v>
      </c>
      <c r="D965" s="10">
        <f t="shared" si="439"/>
        <v>0</v>
      </c>
      <c r="E965" s="1">
        <f t="shared" si="440"/>
        <v>0</v>
      </c>
      <c r="F965" s="1">
        <f t="shared" si="441"/>
        <v>0</v>
      </c>
      <c r="G965" s="1">
        <f t="shared" si="442"/>
        <v>0</v>
      </c>
      <c r="H965" s="1">
        <f t="shared" si="450"/>
        <v>0</v>
      </c>
      <c r="I965" s="10">
        <f t="shared" si="443"/>
        <v>0</v>
      </c>
      <c r="J965" s="1">
        <f t="shared" si="451"/>
        <v>0</v>
      </c>
      <c r="K965" s="1">
        <f t="shared" si="452"/>
        <v>0</v>
      </c>
      <c r="L965" s="1" t="str">
        <f t="shared" si="453"/>
        <v>0</v>
      </c>
      <c r="M965" s="10">
        <f t="shared" si="454"/>
        <v>0</v>
      </c>
      <c r="N965" s="1">
        <f t="shared" si="444"/>
        <v>0</v>
      </c>
      <c r="O965" s="1">
        <f t="shared" ref="O965:O1028" si="457">IFERROR(FIND("#",$A965)+1-N965,0)</f>
        <v>0</v>
      </c>
      <c r="P965" s="1">
        <f t="shared" si="455"/>
        <v>0</v>
      </c>
      <c r="Q965" s="3" t="str">
        <f t="shared" si="456"/>
        <v/>
      </c>
      <c r="T965" s="13" t="str">
        <f t="shared" si="445"/>
        <v/>
      </c>
      <c r="U965" s="14" t="str">
        <f t="shared" si="446"/>
        <v/>
      </c>
      <c r="V965" s="13" t="str">
        <f t="shared" si="447"/>
        <v/>
      </c>
      <c r="W965" s="13" t="str">
        <f t="shared" si="448"/>
        <v/>
      </c>
      <c r="X965" s="14" t="str">
        <f t="shared" si="449"/>
        <v/>
      </c>
    </row>
    <row r="966" spans="2:24" x14ac:dyDescent="0.3">
      <c r="B966" s="1">
        <f t="shared" si="437"/>
        <v>0</v>
      </c>
      <c r="C966" s="1">
        <f t="shared" si="438"/>
        <v>0</v>
      </c>
      <c r="D966" s="10">
        <f t="shared" si="439"/>
        <v>0</v>
      </c>
      <c r="E966" s="1">
        <f t="shared" si="440"/>
        <v>0</v>
      </c>
      <c r="F966" s="1">
        <f t="shared" si="441"/>
        <v>0</v>
      </c>
      <c r="G966" s="1">
        <f t="shared" si="442"/>
        <v>0</v>
      </c>
      <c r="H966" s="1">
        <f t="shared" si="450"/>
        <v>0</v>
      </c>
      <c r="I966" s="10">
        <f t="shared" si="443"/>
        <v>0</v>
      </c>
      <c r="J966" s="1">
        <f t="shared" si="451"/>
        <v>0</v>
      </c>
      <c r="K966" s="1">
        <f t="shared" si="452"/>
        <v>0</v>
      </c>
      <c r="L966" s="1" t="str">
        <f t="shared" si="453"/>
        <v>0</v>
      </c>
      <c r="M966" s="10">
        <f t="shared" si="454"/>
        <v>0</v>
      </c>
      <c r="N966" s="1">
        <f t="shared" si="444"/>
        <v>0</v>
      </c>
      <c r="O966" s="1">
        <f t="shared" si="457"/>
        <v>0</v>
      </c>
      <c r="P966" s="1">
        <f t="shared" si="455"/>
        <v>0</v>
      </c>
      <c r="Q966" s="3" t="str">
        <f t="shared" si="456"/>
        <v/>
      </c>
      <c r="T966" s="13" t="str">
        <f t="shared" si="445"/>
        <v/>
      </c>
      <c r="U966" s="14" t="str">
        <f t="shared" si="446"/>
        <v/>
      </c>
      <c r="V966" s="13" t="str">
        <f t="shared" si="447"/>
        <v/>
      </c>
      <c r="W966" s="13" t="str">
        <f t="shared" si="448"/>
        <v/>
      </c>
      <c r="X966" s="14" t="str">
        <f t="shared" si="449"/>
        <v/>
      </c>
    </row>
    <row r="967" spans="2:24" x14ac:dyDescent="0.3">
      <c r="B967" s="1">
        <f t="shared" ref="B967:B1030" si="458">IFERROR(FIND("UP_SET(",$A967)+7,0)</f>
        <v>0</v>
      </c>
      <c r="C967" s="1">
        <f t="shared" ref="C967:C1030" si="459">IF($B967&gt;0,FIND(",",$A967,$B967),0)</f>
        <v>0</v>
      </c>
      <c r="D967" s="10">
        <f t="shared" ref="D967:D1030" si="460">IF($B967&gt;0,MID($A967,$B967,$C967-$B967),0)</f>
        <v>0</v>
      </c>
      <c r="E967" s="1">
        <f t="shared" ref="E967:E1030" si="461">IF($B967&gt;0,FIND("Up",$A967,$C967),0)</f>
        <v>0</v>
      </c>
      <c r="F967" s="1">
        <f t="shared" ref="F967:F1030" si="462">IF($B967&gt;0,IFERROR(FIND(",",$A967,$E967),0),0)</f>
        <v>0</v>
      </c>
      <c r="G967" s="1">
        <f t="shared" ref="G967:G1030" si="463">IF($B967&gt;0,FIND(")",$A967,$B967),0)</f>
        <v>0</v>
      </c>
      <c r="H967" s="1">
        <f t="shared" si="450"/>
        <v>0</v>
      </c>
      <c r="I967" s="10">
        <f t="shared" ref="I967:I1030" si="464">IF($B967&gt;0,MID($A967,$E967,$H967-$E967),0)</f>
        <v>0</v>
      </c>
      <c r="J967" s="1">
        <f t="shared" si="451"/>
        <v>0</v>
      </c>
      <c r="K967" s="1">
        <f t="shared" si="452"/>
        <v>0</v>
      </c>
      <c r="L967" s="1" t="str">
        <f t="shared" si="453"/>
        <v>0</v>
      </c>
      <c r="M967" s="10">
        <f t="shared" si="454"/>
        <v>0</v>
      </c>
      <c r="N967" s="1">
        <f t="shared" ref="N967:N1030" si="465">IFERROR(FIND("/*",$A967)+2,0)</f>
        <v>0</v>
      </c>
      <c r="O967" s="1">
        <f t="shared" si="457"/>
        <v>0</v>
      </c>
      <c r="P967" s="1">
        <f t="shared" si="455"/>
        <v>0</v>
      </c>
      <c r="Q967" s="3" t="str">
        <f t="shared" si="456"/>
        <v/>
      </c>
      <c r="T967" s="13" t="str">
        <f t="shared" si="445"/>
        <v/>
      </c>
      <c r="U967" s="14" t="str">
        <f t="shared" si="446"/>
        <v/>
      </c>
      <c r="V967" s="13" t="str">
        <f t="shared" si="447"/>
        <v/>
      </c>
      <c r="W967" s="13" t="str">
        <f t="shared" si="448"/>
        <v/>
      </c>
      <c r="X967" s="14" t="str">
        <f t="shared" si="449"/>
        <v/>
      </c>
    </row>
    <row r="968" spans="2:24" x14ac:dyDescent="0.3">
      <c r="B968" s="1">
        <f t="shared" si="458"/>
        <v>0</v>
      </c>
      <c r="C968" s="1">
        <f t="shared" si="459"/>
        <v>0</v>
      </c>
      <c r="D968" s="10">
        <f t="shared" si="460"/>
        <v>0</v>
      </c>
      <c r="E968" s="1">
        <f t="shared" si="461"/>
        <v>0</v>
      </c>
      <c r="F968" s="1">
        <f t="shared" si="462"/>
        <v>0</v>
      </c>
      <c r="G968" s="1">
        <f t="shared" si="463"/>
        <v>0</v>
      </c>
      <c r="H968" s="1">
        <f t="shared" si="450"/>
        <v>0</v>
      </c>
      <c r="I968" s="10">
        <f t="shared" si="464"/>
        <v>0</v>
      </c>
      <c r="J968" s="1">
        <f t="shared" si="451"/>
        <v>0</v>
      </c>
      <c r="K968" s="1">
        <f t="shared" si="452"/>
        <v>0</v>
      </c>
      <c r="L968" s="1" t="str">
        <f t="shared" si="453"/>
        <v>0</v>
      </c>
      <c r="M968" s="10">
        <f t="shared" si="454"/>
        <v>0</v>
      </c>
      <c r="N968" s="1">
        <f t="shared" si="465"/>
        <v>0</v>
      </c>
      <c r="O968" s="1">
        <f t="shared" si="457"/>
        <v>0</v>
      </c>
      <c r="P968" s="1">
        <f t="shared" si="455"/>
        <v>0</v>
      </c>
      <c r="Q968" s="3" t="str">
        <f t="shared" si="456"/>
        <v/>
      </c>
      <c r="T968" s="13" t="str">
        <f t="shared" si="445"/>
        <v/>
      </c>
      <c r="U968" s="14" t="str">
        <f t="shared" si="446"/>
        <v/>
      </c>
      <c r="V968" s="13" t="str">
        <f t="shared" si="447"/>
        <v/>
      </c>
      <c r="W968" s="13" t="str">
        <f t="shared" si="448"/>
        <v/>
      </c>
      <c r="X968" s="14" t="str">
        <f t="shared" si="449"/>
        <v/>
      </c>
    </row>
    <row r="969" spans="2:24" x14ac:dyDescent="0.3">
      <c r="B969" s="1">
        <f t="shared" si="458"/>
        <v>0</v>
      </c>
      <c r="C969" s="1">
        <f t="shared" si="459"/>
        <v>0</v>
      </c>
      <c r="D969" s="10">
        <f t="shared" si="460"/>
        <v>0</v>
      </c>
      <c r="E969" s="1">
        <f t="shared" si="461"/>
        <v>0</v>
      </c>
      <c r="F969" s="1">
        <f t="shared" si="462"/>
        <v>0</v>
      </c>
      <c r="G969" s="1">
        <f t="shared" si="463"/>
        <v>0</v>
      </c>
      <c r="H969" s="1">
        <f t="shared" si="450"/>
        <v>0</v>
      </c>
      <c r="I969" s="10">
        <f t="shared" si="464"/>
        <v>0</v>
      </c>
      <c r="J969" s="1">
        <f t="shared" si="451"/>
        <v>0</v>
      </c>
      <c r="K969" s="1">
        <f t="shared" si="452"/>
        <v>0</v>
      </c>
      <c r="L969" s="1" t="str">
        <f t="shared" si="453"/>
        <v>0</v>
      </c>
      <c r="M969" s="10">
        <f t="shared" si="454"/>
        <v>0</v>
      </c>
      <c r="N969" s="1">
        <f t="shared" si="465"/>
        <v>0</v>
      </c>
      <c r="O969" s="1">
        <f t="shared" si="457"/>
        <v>0</v>
      </c>
      <c r="P969" s="1">
        <f t="shared" si="455"/>
        <v>0</v>
      </c>
      <c r="Q969" s="3" t="str">
        <f t="shared" si="456"/>
        <v/>
      </c>
      <c r="T969" s="13" t="str">
        <f t="shared" si="445"/>
        <v/>
      </c>
      <c r="U969" s="14" t="str">
        <f t="shared" si="446"/>
        <v/>
      </c>
      <c r="V969" s="13" t="str">
        <f t="shared" si="447"/>
        <v/>
      </c>
      <c r="W969" s="13" t="str">
        <f t="shared" si="448"/>
        <v/>
      </c>
      <c r="X969" s="14" t="str">
        <f t="shared" si="449"/>
        <v/>
      </c>
    </row>
    <row r="970" spans="2:24" x14ac:dyDescent="0.3">
      <c r="B970" s="1">
        <f t="shared" si="458"/>
        <v>0</v>
      </c>
      <c r="C970" s="1">
        <f t="shared" si="459"/>
        <v>0</v>
      </c>
      <c r="D970" s="10">
        <f t="shared" si="460"/>
        <v>0</v>
      </c>
      <c r="E970" s="1">
        <f t="shared" si="461"/>
        <v>0</v>
      </c>
      <c r="F970" s="1">
        <f t="shared" si="462"/>
        <v>0</v>
      </c>
      <c r="G970" s="1">
        <f t="shared" si="463"/>
        <v>0</v>
      </c>
      <c r="H970" s="1">
        <f t="shared" si="450"/>
        <v>0</v>
      </c>
      <c r="I970" s="10">
        <f t="shared" si="464"/>
        <v>0</v>
      </c>
      <c r="J970" s="1">
        <f t="shared" si="451"/>
        <v>0</v>
      </c>
      <c r="K970" s="1">
        <f t="shared" si="452"/>
        <v>0</v>
      </c>
      <c r="L970" s="1" t="str">
        <f t="shared" si="453"/>
        <v>0</v>
      </c>
      <c r="M970" s="10">
        <f t="shared" si="454"/>
        <v>0</v>
      </c>
      <c r="N970" s="1">
        <f t="shared" si="465"/>
        <v>0</v>
      </c>
      <c r="O970" s="1">
        <f t="shared" si="457"/>
        <v>0</v>
      </c>
      <c r="P970" s="1">
        <f t="shared" si="455"/>
        <v>0</v>
      </c>
      <c r="Q970" s="3" t="str">
        <f t="shared" si="456"/>
        <v/>
      </c>
      <c r="T970" s="13" t="str">
        <f t="shared" si="445"/>
        <v/>
      </c>
      <c r="U970" s="14" t="str">
        <f t="shared" si="446"/>
        <v/>
      </c>
      <c r="V970" s="13" t="str">
        <f t="shared" si="447"/>
        <v/>
      </c>
      <c r="W970" s="13" t="str">
        <f t="shared" si="448"/>
        <v/>
      </c>
      <c r="X970" s="14" t="str">
        <f t="shared" si="449"/>
        <v/>
      </c>
    </row>
    <row r="971" spans="2:24" x14ac:dyDescent="0.3">
      <c r="B971" s="1">
        <f t="shared" si="458"/>
        <v>0</v>
      </c>
      <c r="C971" s="1">
        <f t="shared" si="459"/>
        <v>0</v>
      </c>
      <c r="D971" s="10">
        <f t="shared" si="460"/>
        <v>0</v>
      </c>
      <c r="E971" s="1">
        <f t="shared" si="461"/>
        <v>0</v>
      </c>
      <c r="F971" s="1">
        <f t="shared" si="462"/>
        <v>0</v>
      </c>
      <c r="G971" s="1">
        <f t="shared" si="463"/>
        <v>0</v>
      </c>
      <c r="H971" s="1">
        <f t="shared" si="450"/>
        <v>0</v>
      </c>
      <c r="I971" s="10">
        <f t="shared" si="464"/>
        <v>0</v>
      </c>
      <c r="J971" s="1">
        <f t="shared" si="451"/>
        <v>0</v>
      </c>
      <c r="K971" s="1">
        <f t="shared" si="452"/>
        <v>0</v>
      </c>
      <c r="L971" s="1" t="str">
        <f t="shared" si="453"/>
        <v>0</v>
      </c>
      <c r="M971" s="10">
        <f t="shared" si="454"/>
        <v>0</v>
      </c>
      <c r="N971" s="1">
        <f t="shared" si="465"/>
        <v>0</v>
      </c>
      <c r="O971" s="1">
        <f t="shared" si="457"/>
        <v>0</v>
      </c>
      <c r="P971" s="1">
        <f t="shared" si="455"/>
        <v>0</v>
      </c>
      <c r="Q971" s="3" t="str">
        <f t="shared" si="456"/>
        <v/>
      </c>
      <c r="T971" s="13" t="str">
        <f t="shared" si="445"/>
        <v/>
      </c>
      <c r="U971" s="14" t="str">
        <f t="shared" si="446"/>
        <v/>
      </c>
      <c r="V971" s="13" t="str">
        <f t="shared" si="447"/>
        <v/>
      </c>
      <c r="W971" s="13" t="str">
        <f t="shared" si="448"/>
        <v/>
      </c>
      <c r="X971" s="14" t="str">
        <f t="shared" si="449"/>
        <v/>
      </c>
    </row>
    <row r="972" spans="2:24" x14ac:dyDescent="0.3">
      <c r="B972" s="1">
        <f t="shared" si="458"/>
        <v>0</v>
      </c>
      <c r="C972" s="1">
        <f t="shared" si="459"/>
        <v>0</v>
      </c>
      <c r="D972" s="10">
        <f t="shared" si="460"/>
        <v>0</v>
      </c>
      <c r="E972" s="1">
        <f t="shared" si="461"/>
        <v>0</v>
      </c>
      <c r="F972" s="1">
        <f t="shared" si="462"/>
        <v>0</v>
      </c>
      <c r="G972" s="1">
        <f t="shared" si="463"/>
        <v>0</v>
      </c>
      <c r="H972" s="1">
        <f t="shared" si="450"/>
        <v>0</v>
      </c>
      <c r="I972" s="10">
        <f t="shared" si="464"/>
        <v>0</v>
      </c>
      <c r="J972" s="1">
        <f t="shared" si="451"/>
        <v>0</v>
      </c>
      <c r="K972" s="1">
        <f t="shared" si="452"/>
        <v>0</v>
      </c>
      <c r="L972" s="1" t="str">
        <f t="shared" si="453"/>
        <v>0</v>
      </c>
      <c r="M972" s="10">
        <f t="shared" si="454"/>
        <v>0</v>
      </c>
      <c r="N972" s="1">
        <f t="shared" si="465"/>
        <v>0</v>
      </c>
      <c r="O972" s="1">
        <f t="shared" si="457"/>
        <v>0</v>
      </c>
      <c r="P972" s="1">
        <f t="shared" si="455"/>
        <v>0</v>
      </c>
      <c r="Q972" s="3" t="str">
        <f t="shared" si="456"/>
        <v/>
      </c>
      <c r="T972" s="13" t="str">
        <f t="shared" si="445"/>
        <v/>
      </c>
      <c r="U972" s="14" t="str">
        <f t="shared" si="446"/>
        <v/>
      </c>
      <c r="V972" s="13" t="str">
        <f t="shared" si="447"/>
        <v/>
      </c>
      <c r="W972" s="13" t="str">
        <f t="shared" si="448"/>
        <v/>
      </c>
      <c r="X972" s="14" t="str">
        <f t="shared" si="449"/>
        <v/>
      </c>
    </row>
    <row r="973" spans="2:24" x14ac:dyDescent="0.3">
      <c r="B973" s="1">
        <f t="shared" si="458"/>
        <v>0</v>
      </c>
      <c r="C973" s="1">
        <f t="shared" si="459"/>
        <v>0</v>
      </c>
      <c r="D973" s="10">
        <f t="shared" si="460"/>
        <v>0</v>
      </c>
      <c r="E973" s="1">
        <f t="shared" si="461"/>
        <v>0</v>
      </c>
      <c r="F973" s="1">
        <f t="shared" si="462"/>
        <v>0</v>
      </c>
      <c r="G973" s="1">
        <f t="shared" si="463"/>
        <v>0</v>
      </c>
      <c r="H973" s="1">
        <f t="shared" si="450"/>
        <v>0</v>
      </c>
      <c r="I973" s="10">
        <f t="shared" si="464"/>
        <v>0</v>
      </c>
      <c r="J973" s="1">
        <f t="shared" si="451"/>
        <v>0</v>
      </c>
      <c r="K973" s="1">
        <f t="shared" si="452"/>
        <v>0</v>
      </c>
      <c r="L973" s="1" t="str">
        <f t="shared" si="453"/>
        <v>0</v>
      </c>
      <c r="M973" s="10">
        <f t="shared" si="454"/>
        <v>0</v>
      </c>
      <c r="N973" s="1">
        <f t="shared" si="465"/>
        <v>0</v>
      </c>
      <c r="O973" s="1">
        <f t="shared" si="457"/>
        <v>0</v>
      </c>
      <c r="P973" s="1">
        <f t="shared" si="455"/>
        <v>0</v>
      </c>
      <c r="Q973" s="3" t="str">
        <f t="shared" si="456"/>
        <v/>
      </c>
      <c r="T973" s="13" t="str">
        <f t="shared" si="445"/>
        <v/>
      </c>
      <c r="U973" s="14" t="str">
        <f t="shared" si="446"/>
        <v/>
      </c>
      <c r="V973" s="13" t="str">
        <f t="shared" si="447"/>
        <v/>
      </c>
      <c r="W973" s="13" t="str">
        <f t="shared" si="448"/>
        <v/>
      </c>
      <c r="X973" s="14" t="str">
        <f t="shared" si="449"/>
        <v/>
      </c>
    </row>
    <row r="974" spans="2:24" x14ac:dyDescent="0.3">
      <c r="B974" s="1">
        <f t="shared" si="458"/>
        <v>0</v>
      </c>
      <c r="C974" s="1">
        <f t="shared" si="459"/>
        <v>0</v>
      </c>
      <c r="D974" s="10">
        <f t="shared" si="460"/>
        <v>0</v>
      </c>
      <c r="E974" s="1">
        <f t="shared" si="461"/>
        <v>0</v>
      </c>
      <c r="F974" s="1">
        <f t="shared" si="462"/>
        <v>0</v>
      </c>
      <c r="G974" s="1">
        <f t="shared" si="463"/>
        <v>0</v>
      </c>
      <c r="H974" s="1">
        <f t="shared" si="450"/>
        <v>0</v>
      </c>
      <c r="I974" s="10">
        <f t="shared" si="464"/>
        <v>0</v>
      </c>
      <c r="J974" s="1">
        <f t="shared" si="451"/>
        <v>0</v>
      </c>
      <c r="K974" s="1">
        <f t="shared" si="452"/>
        <v>0</v>
      </c>
      <c r="L974" s="1" t="str">
        <f t="shared" si="453"/>
        <v>0</v>
      </c>
      <c r="M974" s="10">
        <f t="shared" si="454"/>
        <v>0</v>
      </c>
      <c r="N974" s="1">
        <f t="shared" si="465"/>
        <v>0</v>
      </c>
      <c r="O974" s="1">
        <f t="shared" si="457"/>
        <v>0</v>
      </c>
      <c r="P974" s="1">
        <f t="shared" si="455"/>
        <v>0</v>
      </c>
      <c r="Q974" s="3" t="str">
        <f t="shared" si="456"/>
        <v/>
      </c>
      <c r="T974" s="13" t="str">
        <f t="shared" si="445"/>
        <v/>
      </c>
      <c r="U974" s="14" t="str">
        <f t="shared" si="446"/>
        <v/>
      </c>
      <c r="V974" s="13" t="str">
        <f t="shared" si="447"/>
        <v/>
      </c>
      <c r="W974" s="13" t="str">
        <f t="shared" si="448"/>
        <v/>
      </c>
      <c r="X974" s="14" t="str">
        <f t="shared" si="449"/>
        <v/>
      </c>
    </row>
    <row r="975" spans="2:24" x14ac:dyDescent="0.3">
      <c r="B975" s="1">
        <f t="shared" si="458"/>
        <v>0</v>
      </c>
      <c r="C975" s="1">
        <f t="shared" si="459"/>
        <v>0</v>
      </c>
      <c r="D975" s="10">
        <f t="shared" si="460"/>
        <v>0</v>
      </c>
      <c r="E975" s="1">
        <f t="shared" si="461"/>
        <v>0</v>
      </c>
      <c r="F975" s="1">
        <f t="shared" si="462"/>
        <v>0</v>
      </c>
      <c r="G975" s="1">
        <f t="shared" si="463"/>
        <v>0</v>
      </c>
      <c r="H975" s="1">
        <f t="shared" si="450"/>
        <v>0</v>
      </c>
      <c r="I975" s="10">
        <f t="shared" si="464"/>
        <v>0</v>
      </c>
      <c r="J975" s="1">
        <f t="shared" si="451"/>
        <v>0</v>
      </c>
      <c r="K975" s="1">
        <f t="shared" si="452"/>
        <v>0</v>
      </c>
      <c r="L975" s="1" t="str">
        <f t="shared" si="453"/>
        <v>0</v>
      </c>
      <c r="M975" s="10">
        <f t="shared" si="454"/>
        <v>0</v>
      </c>
      <c r="N975" s="1">
        <f t="shared" si="465"/>
        <v>0</v>
      </c>
      <c r="O975" s="1">
        <f t="shared" si="457"/>
        <v>0</v>
      </c>
      <c r="P975" s="1">
        <f t="shared" si="455"/>
        <v>0</v>
      </c>
      <c r="Q975" s="3" t="str">
        <f t="shared" si="456"/>
        <v/>
      </c>
      <c r="T975" s="13" t="str">
        <f t="shared" si="445"/>
        <v/>
      </c>
      <c r="U975" s="14" t="str">
        <f t="shared" si="446"/>
        <v/>
      </c>
      <c r="V975" s="13" t="str">
        <f t="shared" si="447"/>
        <v/>
      </c>
      <c r="W975" s="13" t="str">
        <f t="shared" si="448"/>
        <v/>
      </c>
      <c r="X975" s="14" t="str">
        <f t="shared" si="449"/>
        <v/>
      </c>
    </row>
    <row r="976" spans="2:24" x14ac:dyDescent="0.3">
      <c r="B976" s="1">
        <f t="shared" si="458"/>
        <v>0</v>
      </c>
      <c r="C976" s="1">
        <f t="shared" si="459"/>
        <v>0</v>
      </c>
      <c r="D976" s="10">
        <f t="shared" si="460"/>
        <v>0</v>
      </c>
      <c r="E976" s="1">
        <f t="shared" si="461"/>
        <v>0</v>
      </c>
      <c r="F976" s="1">
        <f t="shared" si="462"/>
        <v>0</v>
      </c>
      <c r="G976" s="1">
        <f t="shared" si="463"/>
        <v>0</v>
      </c>
      <c r="H976" s="1">
        <f t="shared" si="450"/>
        <v>0</v>
      </c>
      <c r="I976" s="10">
        <f t="shared" si="464"/>
        <v>0</v>
      </c>
      <c r="J976" s="1">
        <f t="shared" si="451"/>
        <v>0</v>
      </c>
      <c r="K976" s="1">
        <f t="shared" si="452"/>
        <v>0</v>
      </c>
      <c r="L976" s="1" t="str">
        <f t="shared" si="453"/>
        <v>0</v>
      </c>
      <c r="M976" s="10">
        <f t="shared" si="454"/>
        <v>0</v>
      </c>
      <c r="N976" s="1">
        <f t="shared" si="465"/>
        <v>0</v>
      </c>
      <c r="O976" s="1">
        <f t="shared" si="457"/>
        <v>0</v>
      </c>
      <c r="P976" s="1">
        <f t="shared" si="455"/>
        <v>0</v>
      </c>
      <c r="Q976" s="3" t="str">
        <f t="shared" si="456"/>
        <v/>
      </c>
      <c r="T976" s="13" t="str">
        <f t="shared" si="445"/>
        <v/>
      </c>
      <c r="U976" s="14" t="str">
        <f t="shared" si="446"/>
        <v/>
      </c>
      <c r="V976" s="13" t="str">
        <f t="shared" si="447"/>
        <v/>
      </c>
      <c r="W976" s="13" t="str">
        <f t="shared" si="448"/>
        <v/>
      </c>
      <c r="X976" s="14" t="str">
        <f t="shared" si="449"/>
        <v/>
      </c>
    </row>
    <row r="977" spans="2:24" x14ac:dyDescent="0.3">
      <c r="B977" s="1">
        <f t="shared" si="458"/>
        <v>0</v>
      </c>
      <c r="C977" s="1">
        <f t="shared" si="459"/>
        <v>0</v>
      </c>
      <c r="D977" s="10">
        <f t="shared" si="460"/>
        <v>0</v>
      </c>
      <c r="E977" s="1">
        <f t="shared" si="461"/>
        <v>0</v>
      </c>
      <c r="F977" s="1">
        <f t="shared" si="462"/>
        <v>0</v>
      </c>
      <c r="G977" s="1">
        <f t="shared" si="463"/>
        <v>0</v>
      </c>
      <c r="H977" s="1">
        <f t="shared" si="450"/>
        <v>0</v>
      </c>
      <c r="I977" s="10">
        <f t="shared" si="464"/>
        <v>0</v>
      </c>
      <c r="J977" s="1">
        <f t="shared" si="451"/>
        <v>0</v>
      </c>
      <c r="K977" s="1">
        <f t="shared" si="452"/>
        <v>0</v>
      </c>
      <c r="L977" s="1" t="str">
        <f t="shared" si="453"/>
        <v>0</v>
      </c>
      <c r="M977" s="10">
        <f t="shared" si="454"/>
        <v>0</v>
      </c>
      <c r="N977" s="1">
        <f t="shared" si="465"/>
        <v>0</v>
      </c>
      <c r="O977" s="1">
        <f t="shared" si="457"/>
        <v>0</v>
      </c>
      <c r="P977" s="1">
        <f t="shared" si="455"/>
        <v>0</v>
      </c>
      <c r="Q977" s="3" t="str">
        <f t="shared" si="456"/>
        <v/>
      </c>
      <c r="T977" s="13" t="str">
        <f t="shared" si="445"/>
        <v/>
      </c>
      <c r="U977" s="14" t="str">
        <f t="shared" si="446"/>
        <v/>
      </c>
      <c r="V977" s="13" t="str">
        <f t="shared" si="447"/>
        <v/>
      </c>
      <c r="W977" s="13" t="str">
        <f t="shared" si="448"/>
        <v/>
      </c>
      <c r="X977" s="14" t="str">
        <f t="shared" si="449"/>
        <v/>
      </c>
    </row>
    <row r="978" spans="2:24" x14ac:dyDescent="0.3">
      <c r="B978" s="1">
        <f t="shared" si="458"/>
        <v>0</v>
      </c>
      <c r="C978" s="1">
        <f t="shared" si="459"/>
        <v>0</v>
      </c>
      <c r="D978" s="10">
        <f t="shared" si="460"/>
        <v>0</v>
      </c>
      <c r="E978" s="1">
        <f t="shared" si="461"/>
        <v>0</v>
      </c>
      <c r="F978" s="1">
        <f t="shared" si="462"/>
        <v>0</v>
      </c>
      <c r="G978" s="1">
        <f t="shared" si="463"/>
        <v>0</v>
      </c>
      <c r="H978" s="1">
        <f t="shared" si="450"/>
        <v>0</v>
      </c>
      <c r="I978" s="10">
        <f t="shared" si="464"/>
        <v>0</v>
      </c>
      <c r="J978" s="1">
        <f t="shared" si="451"/>
        <v>0</v>
      </c>
      <c r="K978" s="1">
        <f t="shared" si="452"/>
        <v>0</v>
      </c>
      <c r="L978" s="1" t="str">
        <f t="shared" si="453"/>
        <v>0</v>
      </c>
      <c r="M978" s="10">
        <f t="shared" si="454"/>
        <v>0</v>
      </c>
      <c r="N978" s="1">
        <f t="shared" si="465"/>
        <v>0</v>
      </c>
      <c r="O978" s="1">
        <f t="shared" si="457"/>
        <v>0</v>
      </c>
      <c r="P978" s="1">
        <f t="shared" si="455"/>
        <v>0</v>
      </c>
      <c r="Q978" s="3" t="str">
        <f t="shared" si="456"/>
        <v/>
      </c>
      <c r="T978" s="13" t="str">
        <f t="shared" si="445"/>
        <v/>
      </c>
      <c r="U978" s="14" t="str">
        <f t="shared" si="446"/>
        <v/>
      </c>
      <c r="V978" s="13" t="str">
        <f t="shared" si="447"/>
        <v/>
      </c>
      <c r="W978" s="13" t="str">
        <f t="shared" si="448"/>
        <v/>
      </c>
      <c r="X978" s="14" t="str">
        <f t="shared" si="449"/>
        <v/>
      </c>
    </row>
    <row r="979" spans="2:24" x14ac:dyDescent="0.3">
      <c r="B979" s="1">
        <f t="shared" si="458"/>
        <v>0</v>
      </c>
      <c r="C979" s="1">
        <f t="shared" si="459"/>
        <v>0</v>
      </c>
      <c r="D979" s="10">
        <f t="shared" si="460"/>
        <v>0</v>
      </c>
      <c r="E979" s="1">
        <f t="shared" si="461"/>
        <v>0</v>
      </c>
      <c r="F979" s="1">
        <f t="shared" si="462"/>
        <v>0</v>
      </c>
      <c r="G979" s="1">
        <f t="shared" si="463"/>
        <v>0</v>
      </c>
      <c r="H979" s="1">
        <f t="shared" si="450"/>
        <v>0</v>
      </c>
      <c r="I979" s="10">
        <f t="shared" si="464"/>
        <v>0</v>
      </c>
      <c r="J979" s="1">
        <f t="shared" si="451"/>
        <v>0</v>
      </c>
      <c r="K979" s="1">
        <f t="shared" si="452"/>
        <v>0</v>
      </c>
      <c r="L979" s="1" t="str">
        <f t="shared" si="453"/>
        <v>0</v>
      </c>
      <c r="M979" s="10">
        <f t="shared" si="454"/>
        <v>0</v>
      </c>
      <c r="N979" s="1">
        <f t="shared" si="465"/>
        <v>0</v>
      </c>
      <c r="O979" s="1">
        <f t="shared" si="457"/>
        <v>0</v>
      </c>
      <c r="P979" s="1">
        <f t="shared" si="455"/>
        <v>0</v>
      </c>
      <c r="Q979" s="3" t="str">
        <f t="shared" si="456"/>
        <v/>
      </c>
      <c r="T979" s="13" t="str">
        <f t="shared" ref="T979:T1042" si="466">IF(A979="",IF(A978="","",$T$1),IF(O979=1,"#",IF(B979=0,"*",DEC2HEX(R979))))</f>
        <v/>
      </c>
      <c r="U979" s="14" t="str">
        <f t="shared" ref="U979:U1042" si="467">IF(A979="",IF(A978="","",$U$1),  IF(B979=0,Q979,I979)  )</f>
        <v/>
      </c>
      <c r="V979" s="13" t="str">
        <f t="shared" ref="V979:V1042" si="468">IF(U979=$U$1,"",IF(A979="",IF(A978="","",1),  IF(B979=0,1,D979)  ))</f>
        <v/>
      </c>
      <c r="W979" s="13" t="str">
        <f t="shared" ref="W979:W1042" si="469">IF(U979=$U$1,"",IF(A979="",IF(A978="","",0),  IF(C979=0,0,0)  ))</f>
        <v/>
      </c>
      <c r="X979" s="14" t="str">
        <f t="shared" ref="X979:X1042" si="470">IF(U979=$U$1,"",IF(U979="","",IF(B979&gt;0,IF(Q979&lt;&gt;"",Q979,"No description"),"-")))</f>
        <v/>
      </c>
    </row>
    <row r="980" spans="2:24" x14ac:dyDescent="0.3">
      <c r="B980" s="1">
        <f t="shared" si="458"/>
        <v>0</v>
      </c>
      <c r="C980" s="1">
        <f t="shared" si="459"/>
        <v>0</v>
      </c>
      <c r="D980" s="10">
        <f t="shared" si="460"/>
        <v>0</v>
      </c>
      <c r="E980" s="1">
        <f t="shared" si="461"/>
        <v>0</v>
      </c>
      <c r="F980" s="1">
        <f t="shared" si="462"/>
        <v>0</v>
      </c>
      <c r="G980" s="1">
        <f t="shared" si="463"/>
        <v>0</v>
      </c>
      <c r="H980" s="1">
        <f t="shared" si="450"/>
        <v>0</v>
      </c>
      <c r="I980" s="10">
        <f t="shared" si="464"/>
        <v>0</v>
      </c>
      <c r="J980" s="1">
        <f t="shared" si="451"/>
        <v>0</v>
      </c>
      <c r="K980" s="1">
        <f t="shared" si="452"/>
        <v>0</v>
      </c>
      <c r="L980" s="1" t="str">
        <f t="shared" si="453"/>
        <v>0</v>
      </c>
      <c r="M980" s="10">
        <f t="shared" si="454"/>
        <v>0</v>
      </c>
      <c r="N980" s="1">
        <f t="shared" si="465"/>
        <v>0</v>
      </c>
      <c r="O980" s="1">
        <f t="shared" si="457"/>
        <v>0</v>
      </c>
      <c r="P980" s="1">
        <f t="shared" si="455"/>
        <v>0</v>
      </c>
      <c r="Q980" s="3" t="str">
        <f t="shared" si="456"/>
        <v/>
      </c>
      <c r="T980" s="13" t="str">
        <f t="shared" si="466"/>
        <v/>
      </c>
      <c r="U980" s="14" t="str">
        <f t="shared" si="467"/>
        <v/>
      </c>
      <c r="V980" s="13" t="str">
        <f t="shared" si="468"/>
        <v/>
      </c>
      <c r="W980" s="13" t="str">
        <f t="shared" si="469"/>
        <v/>
      </c>
      <c r="X980" s="14" t="str">
        <f t="shared" si="470"/>
        <v/>
      </c>
    </row>
    <row r="981" spans="2:24" x14ac:dyDescent="0.3">
      <c r="B981" s="1">
        <f t="shared" si="458"/>
        <v>0</v>
      </c>
      <c r="C981" s="1">
        <f t="shared" si="459"/>
        <v>0</v>
      </c>
      <c r="D981" s="10">
        <f t="shared" si="460"/>
        <v>0</v>
      </c>
      <c r="E981" s="1">
        <f t="shared" si="461"/>
        <v>0</v>
      </c>
      <c r="F981" s="1">
        <f t="shared" si="462"/>
        <v>0</v>
      </c>
      <c r="G981" s="1">
        <f t="shared" si="463"/>
        <v>0</v>
      </c>
      <c r="H981" s="1">
        <f t="shared" si="450"/>
        <v>0</v>
      </c>
      <c r="I981" s="10">
        <f t="shared" si="464"/>
        <v>0</v>
      </c>
      <c r="J981" s="1">
        <f t="shared" si="451"/>
        <v>0</v>
      </c>
      <c r="K981" s="1">
        <f t="shared" si="452"/>
        <v>0</v>
      </c>
      <c r="L981" s="1" t="str">
        <f t="shared" si="453"/>
        <v>0</v>
      </c>
      <c r="M981" s="10">
        <f t="shared" si="454"/>
        <v>0</v>
      </c>
      <c r="N981" s="1">
        <f t="shared" si="465"/>
        <v>0</v>
      </c>
      <c r="O981" s="1">
        <f t="shared" si="457"/>
        <v>0</v>
      </c>
      <c r="P981" s="1">
        <f t="shared" si="455"/>
        <v>0</v>
      </c>
      <c r="Q981" s="3" t="str">
        <f t="shared" si="456"/>
        <v/>
      </c>
      <c r="T981" s="13" t="str">
        <f t="shared" si="466"/>
        <v/>
      </c>
      <c r="U981" s="14" t="str">
        <f t="shared" si="467"/>
        <v/>
      </c>
      <c r="V981" s="13" t="str">
        <f t="shared" si="468"/>
        <v/>
      </c>
      <c r="W981" s="13" t="str">
        <f t="shared" si="469"/>
        <v/>
      </c>
      <c r="X981" s="14" t="str">
        <f t="shared" si="470"/>
        <v/>
      </c>
    </row>
    <row r="982" spans="2:24" x14ac:dyDescent="0.3">
      <c r="B982" s="1">
        <f t="shared" si="458"/>
        <v>0</v>
      </c>
      <c r="C982" s="1">
        <f t="shared" si="459"/>
        <v>0</v>
      </c>
      <c r="D982" s="10">
        <f t="shared" si="460"/>
        <v>0</v>
      </c>
      <c r="E982" s="1">
        <f t="shared" si="461"/>
        <v>0</v>
      </c>
      <c r="F982" s="1">
        <f t="shared" si="462"/>
        <v>0</v>
      </c>
      <c r="G982" s="1">
        <f t="shared" si="463"/>
        <v>0</v>
      </c>
      <c r="H982" s="1">
        <f t="shared" si="450"/>
        <v>0</v>
      </c>
      <c r="I982" s="10">
        <f t="shared" si="464"/>
        <v>0</v>
      </c>
      <c r="J982" s="1">
        <f t="shared" si="451"/>
        <v>0</v>
      </c>
      <c r="K982" s="1">
        <f t="shared" si="452"/>
        <v>0</v>
      </c>
      <c r="L982" s="1" t="str">
        <f t="shared" si="453"/>
        <v>0</v>
      </c>
      <c r="M982" s="10">
        <f t="shared" si="454"/>
        <v>0</v>
      </c>
      <c r="N982" s="1">
        <f t="shared" si="465"/>
        <v>0</v>
      </c>
      <c r="O982" s="1">
        <f t="shared" si="457"/>
        <v>0</v>
      </c>
      <c r="P982" s="1">
        <f t="shared" si="455"/>
        <v>0</v>
      </c>
      <c r="Q982" s="3" t="str">
        <f t="shared" si="456"/>
        <v/>
      </c>
      <c r="T982" s="13" t="str">
        <f t="shared" si="466"/>
        <v/>
      </c>
      <c r="U982" s="14" t="str">
        <f t="shared" si="467"/>
        <v/>
      </c>
      <c r="V982" s="13" t="str">
        <f t="shared" si="468"/>
        <v/>
      </c>
      <c r="W982" s="13" t="str">
        <f t="shared" si="469"/>
        <v/>
      </c>
      <c r="X982" s="14" t="str">
        <f t="shared" si="470"/>
        <v/>
      </c>
    </row>
    <row r="983" spans="2:24" x14ac:dyDescent="0.3">
      <c r="B983" s="1">
        <f t="shared" si="458"/>
        <v>0</v>
      </c>
      <c r="C983" s="1">
        <f t="shared" si="459"/>
        <v>0</v>
      </c>
      <c r="D983" s="10">
        <f t="shared" si="460"/>
        <v>0</v>
      </c>
      <c r="E983" s="1">
        <f t="shared" si="461"/>
        <v>0</v>
      </c>
      <c r="F983" s="1">
        <f t="shared" si="462"/>
        <v>0</v>
      </c>
      <c r="G983" s="1">
        <f t="shared" si="463"/>
        <v>0</v>
      </c>
      <c r="H983" s="1">
        <f t="shared" si="450"/>
        <v>0</v>
      </c>
      <c r="I983" s="10">
        <f t="shared" si="464"/>
        <v>0</v>
      </c>
      <c r="J983" s="1">
        <f t="shared" si="451"/>
        <v>0</v>
      </c>
      <c r="K983" s="1">
        <f t="shared" si="452"/>
        <v>0</v>
      </c>
      <c r="L983" s="1" t="str">
        <f t="shared" si="453"/>
        <v>0</v>
      </c>
      <c r="M983" s="10">
        <f t="shared" si="454"/>
        <v>0</v>
      </c>
      <c r="N983" s="1">
        <f t="shared" si="465"/>
        <v>0</v>
      </c>
      <c r="O983" s="1">
        <f t="shared" si="457"/>
        <v>0</v>
      </c>
      <c r="P983" s="1">
        <f t="shared" si="455"/>
        <v>0</v>
      </c>
      <c r="Q983" s="3" t="str">
        <f t="shared" si="456"/>
        <v/>
      </c>
      <c r="T983" s="13" t="str">
        <f t="shared" si="466"/>
        <v/>
      </c>
      <c r="U983" s="14" t="str">
        <f t="shared" si="467"/>
        <v/>
      </c>
      <c r="V983" s="13" t="str">
        <f t="shared" si="468"/>
        <v/>
      </c>
      <c r="W983" s="13" t="str">
        <f t="shared" si="469"/>
        <v/>
      </c>
      <c r="X983" s="14" t="str">
        <f t="shared" si="470"/>
        <v/>
      </c>
    </row>
    <row r="984" spans="2:24" x14ac:dyDescent="0.3">
      <c r="B984" s="1">
        <f t="shared" si="458"/>
        <v>0</v>
      </c>
      <c r="C984" s="1">
        <f t="shared" si="459"/>
        <v>0</v>
      </c>
      <c r="D984" s="10">
        <f t="shared" si="460"/>
        <v>0</v>
      </c>
      <c r="E984" s="1">
        <f t="shared" si="461"/>
        <v>0</v>
      </c>
      <c r="F984" s="1">
        <f t="shared" si="462"/>
        <v>0</v>
      </c>
      <c r="G984" s="1">
        <f t="shared" si="463"/>
        <v>0</v>
      </c>
      <c r="H984" s="1">
        <f t="shared" si="450"/>
        <v>0</v>
      </c>
      <c r="I984" s="10">
        <f t="shared" si="464"/>
        <v>0</v>
      </c>
      <c r="J984" s="1">
        <f t="shared" si="451"/>
        <v>0</v>
      </c>
      <c r="K984" s="1">
        <f t="shared" si="452"/>
        <v>0</v>
      </c>
      <c r="L984" s="1" t="str">
        <f t="shared" si="453"/>
        <v>0</v>
      </c>
      <c r="M984" s="10">
        <f t="shared" si="454"/>
        <v>0</v>
      </c>
      <c r="N984" s="1">
        <f t="shared" si="465"/>
        <v>0</v>
      </c>
      <c r="O984" s="1">
        <f t="shared" si="457"/>
        <v>0</v>
      </c>
      <c r="P984" s="1">
        <f t="shared" si="455"/>
        <v>0</v>
      </c>
      <c r="Q984" s="3" t="str">
        <f t="shared" si="456"/>
        <v/>
      </c>
      <c r="T984" s="13" t="str">
        <f t="shared" si="466"/>
        <v/>
      </c>
      <c r="U984" s="14" t="str">
        <f t="shared" si="467"/>
        <v/>
      </c>
      <c r="V984" s="13" t="str">
        <f t="shared" si="468"/>
        <v/>
      </c>
      <c r="W984" s="13" t="str">
        <f t="shared" si="469"/>
        <v/>
      </c>
      <c r="X984" s="14" t="str">
        <f t="shared" si="470"/>
        <v/>
      </c>
    </row>
    <row r="985" spans="2:24" x14ac:dyDescent="0.3">
      <c r="B985" s="1">
        <f t="shared" si="458"/>
        <v>0</v>
      </c>
      <c r="C985" s="1">
        <f t="shared" si="459"/>
        <v>0</v>
      </c>
      <c r="D985" s="10">
        <f t="shared" si="460"/>
        <v>0</v>
      </c>
      <c r="E985" s="1">
        <f t="shared" si="461"/>
        <v>0</v>
      </c>
      <c r="F985" s="1">
        <f t="shared" si="462"/>
        <v>0</v>
      </c>
      <c r="G985" s="1">
        <f t="shared" si="463"/>
        <v>0</v>
      </c>
      <c r="H985" s="1">
        <f t="shared" si="450"/>
        <v>0</v>
      </c>
      <c r="I985" s="10">
        <f t="shared" si="464"/>
        <v>0</v>
      </c>
      <c r="J985" s="1">
        <f t="shared" si="451"/>
        <v>0</v>
      </c>
      <c r="K985" s="1">
        <f t="shared" si="452"/>
        <v>0</v>
      </c>
      <c r="L985" s="1" t="str">
        <f t="shared" si="453"/>
        <v>0</v>
      </c>
      <c r="M985" s="10">
        <f t="shared" si="454"/>
        <v>0</v>
      </c>
      <c r="N985" s="1">
        <f t="shared" si="465"/>
        <v>0</v>
      </c>
      <c r="O985" s="1">
        <f t="shared" si="457"/>
        <v>0</v>
      </c>
      <c r="P985" s="1">
        <f t="shared" si="455"/>
        <v>0</v>
      </c>
      <c r="Q985" s="3" t="str">
        <f t="shared" si="456"/>
        <v/>
      </c>
      <c r="T985" s="13" t="str">
        <f t="shared" si="466"/>
        <v/>
      </c>
      <c r="U985" s="14" t="str">
        <f t="shared" si="467"/>
        <v/>
      </c>
      <c r="V985" s="13" t="str">
        <f t="shared" si="468"/>
        <v/>
      </c>
      <c r="W985" s="13" t="str">
        <f t="shared" si="469"/>
        <v/>
      </c>
      <c r="X985" s="14" t="str">
        <f t="shared" si="470"/>
        <v/>
      </c>
    </row>
    <row r="986" spans="2:24" x14ac:dyDescent="0.3">
      <c r="B986" s="1">
        <f t="shared" si="458"/>
        <v>0</v>
      </c>
      <c r="C986" s="1">
        <f t="shared" si="459"/>
        <v>0</v>
      </c>
      <c r="D986" s="10">
        <f t="shared" si="460"/>
        <v>0</v>
      </c>
      <c r="E986" s="1">
        <f t="shared" si="461"/>
        <v>0</v>
      </c>
      <c r="F986" s="1">
        <f t="shared" si="462"/>
        <v>0</v>
      </c>
      <c r="G986" s="1">
        <f t="shared" si="463"/>
        <v>0</v>
      </c>
      <c r="H986" s="1">
        <f t="shared" si="450"/>
        <v>0</v>
      </c>
      <c r="I986" s="10">
        <f t="shared" si="464"/>
        <v>0</v>
      </c>
      <c r="J986" s="1">
        <f t="shared" si="451"/>
        <v>0</v>
      </c>
      <c r="K986" s="1">
        <f t="shared" si="452"/>
        <v>0</v>
      </c>
      <c r="L986" s="1" t="str">
        <f t="shared" si="453"/>
        <v>0</v>
      </c>
      <c r="M986" s="10">
        <f t="shared" si="454"/>
        <v>0</v>
      </c>
      <c r="N986" s="1">
        <f t="shared" si="465"/>
        <v>0</v>
      </c>
      <c r="O986" s="1">
        <f t="shared" si="457"/>
        <v>0</v>
      </c>
      <c r="P986" s="1">
        <f t="shared" si="455"/>
        <v>0</v>
      </c>
      <c r="Q986" s="3" t="str">
        <f t="shared" si="456"/>
        <v/>
      </c>
      <c r="T986" s="13" t="str">
        <f t="shared" si="466"/>
        <v/>
      </c>
      <c r="U986" s="14" t="str">
        <f t="shared" si="467"/>
        <v/>
      </c>
      <c r="V986" s="13" t="str">
        <f t="shared" si="468"/>
        <v/>
      </c>
      <c r="W986" s="13" t="str">
        <f t="shared" si="469"/>
        <v/>
      </c>
      <c r="X986" s="14" t="str">
        <f t="shared" si="470"/>
        <v/>
      </c>
    </row>
    <row r="987" spans="2:24" x14ac:dyDescent="0.3">
      <c r="B987" s="1">
        <f t="shared" si="458"/>
        <v>0</v>
      </c>
      <c r="C987" s="1">
        <f t="shared" si="459"/>
        <v>0</v>
      </c>
      <c r="D987" s="10">
        <f t="shared" si="460"/>
        <v>0</v>
      </c>
      <c r="E987" s="1">
        <f t="shared" si="461"/>
        <v>0</v>
      </c>
      <c r="F987" s="1">
        <f t="shared" si="462"/>
        <v>0</v>
      </c>
      <c r="G987" s="1">
        <f t="shared" si="463"/>
        <v>0</v>
      </c>
      <c r="H987" s="1">
        <f t="shared" si="450"/>
        <v>0</v>
      </c>
      <c r="I987" s="10">
        <f t="shared" si="464"/>
        <v>0</v>
      </c>
      <c r="J987" s="1">
        <f t="shared" si="451"/>
        <v>0</v>
      </c>
      <c r="K987" s="1">
        <f t="shared" si="452"/>
        <v>0</v>
      </c>
      <c r="L987" s="1" t="str">
        <f t="shared" si="453"/>
        <v>0</v>
      </c>
      <c r="M987" s="10">
        <f t="shared" si="454"/>
        <v>0</v>
      </c>
      <c r="N987" s="1">
        <f t="shared" si="465"/>
        <v>0</v>
      </c>
      <c r="O987" s="1">
        <f t="shared" si="457"/>
        <v>0</v>
      </c>
      <c r="P987" s="1">
        <f t="shared" si="455"/>
        <v>0</v>
      </c>
      <c r="Q987" s="3" t="str">
        <f t="shared" si="456"/>
        <v/>
      </c>
      <c r="T987" s="13" t="str">
        <f t="shared" si="466"/>
        <v/>
      </c>
      <c r="U987" s="14" t="str">
        <f t="shared" si="467"/>
        <v/>
      </c>
      <c r="V987" s="13" t="str">
        <f t="shared" si="468"/>
        <v/>
      </c>
      <c r="W987" s="13" t="str">
        <f t="shared" si="469"/>
        <v/>
      </c>
      <c r="X987" s="14" t="str">
        <f t="shared" si="470"/>
        <v/>
      </c>
    </row>
    <row r="988" spans="2:24" x14ac:dyDescent="0.3">
      <c r="B988" s="1">
        <f t="shared" si="458"/>
        <v>0</v>
      </c>
      <c r="C988" s="1">
        <f t="shared" si="459"/>
        <v>0</v>
      </c>
      <c r="D988" s="10">
        <f t="shared" si="460"/>
        <v>0</v>
      </c>
      <c r="E988" s="1">
        <f t="shared" si="461"/>
        <v>0</v>
      </c>
      <c r="F988" s="1">
        <f t="shared" si="462"/>
        <v>0</v>
      </c>
      <c r="G988" s="1">
        <f t="shared" si="463"/>
        <v>0</v>
      </c>
      <c r="H988" s="1">
        <f t="shared" si="450"/>
        <v>0</v>
      </c>
      <c r="I988" s="10">
        <f t="shared" si="464"/>
        <v>0</v>
      </c>
      <c r="J988" s="1">
        <f t="shared" si="451"/>
        <v>0</v>
      </c>
      <c r="K988" s="1">
        <f t="shared" si="452"/>
        <v>0</v>
      </c>
      <c r="L988" s="1" t="str">
        <f t="shared" si="453"/>
        <v>0</v>
      </c>
      <c r="M988" s="10">
        <f t="shared" si="454"/>
        <v>0</v>
      </c>
      <c r="N988" s="1">
        <f t="shared" si="465"/>
        <v>0</v>
      </c>
      <c r="O988" s="1">
        <f t="shared" si="457"/>
        <v>0</v>
      </c>
      <c r="P988" s="1">
        <f t="shared" si="455"/>
        <v>0</v>
      </c>
      <c r="Q988" s="3" t="str">
        <f t="shared" si="456"/>
        <v/>
      </c>
      <c r="T988" s="13" t="str">
        <f t="shared" si="466"/>
        <v/>
      </c>
      <c r="U988" s="14" t="str">
        <f t="shared" si="467"/>
        <v/>
      </c>
      <c r="V988" s="13" t="str">
        <f t="shared" si="468"/>
        <v/>
      </c>
      <c r="W988" s="13" t="str">
        <f t="shared" si="469"/>
        <v/>
      </c>
      <c r="X988" s="14" t="str">
        <f t="shared" si="470"/>
        <v/>
      </c>
    </row>
    <row r="989" spans="2:24" x14ac:dyDescent="0.3">
      <c r="B989" s="1">
        <f t="shared" si="458"/>
        <v>0</v>
      </c>
      <c r="C989" s="1">
        <f t="shared" si="459"/>
        <v>0</v>
      </c>
      <c r="D989" s="10">
        <f t="shared" si="460"/>
        <v>0</v>
      </c>
      <c r="E989" s="1">
        <f t="shared" si="461"/>
        <v>0</v>
      </c>
      <c r="F989" s="1">
        <f t="shared" si="462"/>
        <v>0</v>
      </c>
      <c r="G989" s="1">
        <f t="shared" si="463"/>
        <v>0</v>
      </c>
      <c r="H989" s="1">
        <f t="shared" si="450"/>
        <v>0</v>
      </c>
      <c r="I989" s="10">
        <f t="shared" si="464"/>
        <v>0</v>
      </c>
      <c r="J989" s="1">
        <f t="shared" si="451"/>
        <v>0</v>
      </c>
      <c r="K989" s="1">
        <f t="shared" si="452"/>
        <v>0</v>
      </c>
      <c r="L989" s="1" t="str">
        <f t="shared" si="453"/>
        <v>0</v>
      </c>
      <c r="M989" s="10">
        <f t="shared" si="454"/>
        <v>0</v>
      </c>
      <c r="N989" s="1">
        <f t="shared" si="465"/>
        <v>0</v>
      </c>
      <c r="O989" s="1">
        <f t="shared" si="457"/>
        <v>0</v>
      </c>
      <c r="P989" s="1">
        <f t="shared" si="455"/>
        <v>0</v>
      </c>
      <c r="Q989" s="3" t="str">
        <f t="shared" si="456"/>
        <v/>
      </c>
      <c r="T989" s="13" t="str">
        <f t="shared" si="466"/>
        <v/>
      </c>
      <c r="U989" s="14" t="str">
        <f t="shared" si="467"/>
        <v/>
      </c>
      <c r="V989" s="13" t="str">
        <f t="shared" si="468"/>
        <v/>
      </c>
      <c r="W989" s="13" t="str">
        <f t="shared" si="469"/>
        <v/>
      </c>
      <c r="X989" s="14" t="str">
        <f t="shared" si="470"/>
        <v/>
      </c>
    </row>
    <row r="990" spans="2:24" x14ac:dyDescent="0.3">
      <c r="B990" s="1">
        <f t="shared" si="458"/>
        <v>0</v>
      </c>
      <c r="C990" s="1">
        <f t="shared" si="459"/>
        <v>0</v>
      </c>
      <c r="D990" s="10">
        <f t="shared" si="460"/>
        <v>0</v>
      </c>
      <c r="E990" s="1">
        <f t="shared" si="461"/>
        <v>0</v>
      </c>
      <c r="F990" s="1">
        <f t="shared" si="462"/>
        <v>0</v>
      </c>
      <c r="G990" s="1">
        <f t="shared" si="463"/>
        <v>0</v>
      </c>
      <c r="H990" s="1">
        <f t="shared" si="450"/>
        <v>0</v>
      </c>
      <c r="I990" s="10">
        <f t="shared" si="464"/>
        <v>0</v>
      </c>
      <c r="J990" s="1">
        <f t="shared" si="451"/>
        <v>0</v>
      </c>
      <c r="K990" s="1">
        <f t="shared" si="452"/>
        <v>0</v>
      </c>
      <c r="L990" s="1" t="str">
        <f t="shared" si="453"/>
        <v>0</v>
      </c>
      <c r="M990" s="10">
        <f t="shared" si="454"/>
        <v>0</v>
      </c>
      <c r="N990" s="1">
        <f t="shared" si="465"/>
        <v>0</v>
      </c>
      <c r="O990" s="1">
        <f t="shared" si="457"/>
        <v>0</v>
      </c>
      <c r="P990" s="1">
        <f t="shared" si="455"/>
        <v>0</v>
      </c>
      <c r="Q990" s="3" t="str">
        <f t="shared" si="456"/>
        <v/>
      </c>
      <c r="T990" s="13" t="str">
        <f t="shared" si="466"/>
        <v/>
      </c>
      <c r="U990" s="14" t="str">
        <f t="shared" si="467"/>
        <v/>
      </c>
      <c r="V990" s="13" t="str">
        <f t="shared" si="468"/>
        <v/>
      </c>
      <c r="W990" s="13" t="str">
        <f t="shared" si="469"/>
        <v/>
      </c>
      <c r="X990" s="14" t="str">
        <f t="shared" si="470"/>
        <v/>
      </c>
    </row>
    <row r="991" spans="2:24" x14ac:dyDescent="0.3">
      <c r="B991" s="1">
        <f t="shared" si="458"/>
        <v>0</v>
      </c>
      <c r="C991" s="1">
        <f t="shared" si="459"/>
        <v>0</v>
      </c>
      <c r="D991" s="10">
        <f t="shared" si="460"/>
        <v>0</v>
      </c>
      <c r="E991" s="1">
        <f t="shared" si="461"/>
        <v>0</v>
      </c>
      <c r="F991" s="1">
        <f t="shared" si="462"/>
        <v>0</v>
      </c>
      <c r="G991" s="1">
        <f t="shared" si="463"/>
        <v>0</v>
      </c>
      <c r="H991" s="1">
        <f t="shared" si="450"/>
        <v>0</v>
      </c>
      <c r="I991" s="10">
        <f t="shared" si="464"/>
        <v>0</v>
      </c>
      <c r="J991" s="1">
        <f t="shared" si="451"/>
        <v>0</v>
      </c>
      <c r="K991" s="1">
        <f t="shared" si="452"/>
        <v>0</v>
      </c>
      <c r="L991" s="1" t="str">
        <f t="shared" si="453"/>
        <v>0</v>
      </c>
      <c r="M991" s="10">
        <f t="shared" si="454"/>
        <v>0</v>
      </c>
      <c r="N991" s="1">
        <f t="shared" si="465"/>
        <v>0</v>
      </c>
      <c r="O991" s="1">
        <f t="shared" si="457"/>
        <v>0</v>
      </c>
      <c r="P991" s="1">
        <f t="shared" si="455"/>
        <v>0</v>
      </c>
      <c r="Q991" s="3" t="str">
        <f t="shared" si="456"/>
        <v/>
      </c>
      <c r="T991" s="13" t="str">
        <f t="shared" si="466"/>
        <v/>
      </c>
      <c r="U991" s="14" t="str">
        <f t="shared" si="467"/>
        <v/>
      </c>
      <c r="V991" s="13" t="str">
        <f t="shared" si="468"/>
        <v/>
      </c>
      <c r="W991" s="13" t="str">
        <f t="shared" si="469"/>
        <v/>
      </c>
      <c r="X991" s="14" t="str">
        <f t="shared" si="470"/>
        <v/>
      </c>
    </row>
    <row r="992" spans="2:24" x14ac:dyDescent="0.3">
      <c r="B992" s="1">
        <f t="shared" si="458"/>
        <v>0</v>
      </c>
      <c r="C992" s="1">
        <f t="shared" si="459"/>
        <v>0</v>
      </c>
      <c r="D992" s="10">
        <f t="shared" si="460"/>
        <v>0</v>
      </c>
      <c r="E992" s="1">
        <f t="shared" si="461"/>
        <v>0</v>
      </c>
      <c r="F992" s="1">
        <f t="shared" si="462"/>
        <v>0</v>
      </c>
      <c r="G992" s="1">
        <f t="shared" si="463"/>
        <v>0</v>
      </c>
      <c r="H992" s="1">
        <f t="shared" si="450"/>
        <v>0</v>
      </c>
      <c r="I992" s="10">
        <f t="shared" si="464"/>
        <v>0</v>
      </c>
      <c r="J992" s="1">
        <f t="shared" si="451"/>
        <v>0</v>
      </c>
      <c r="K992" s="1">
        <f t="shared" si="452"/>
        <v>0</v>
      </c>
      <c r="L992" s="1" t="str">
        <f t="shared" si="453"/>
        <v>0</v>
      </c>
      <c r="M992" s="10">
        <f t="shared" si="454"/>
        <v>0</v>
      </c>
      <c r="N992" s="1">
        <f t="shared" si="465"/>
        <v>0</v>
      </c>
      <c r="O992" s="1">
        <f t="shared" si="457"/>
        <v>0</v>
      </c>
      <c r="P992" s="1">
        <f t="shared" si="455"/>
        <v>0</v>
      </c>
      <c r="Q992" s="3" t="str">
        <f t="shared" si="456"/>
        <v/>
      </c>
      <c r="T992" s="13" t="str">
        <f t="shared" si="466"/>
        <v/>
      </c>
      <c r="U992" s="14" t="str">
        <f t="shared" si="467"/>
        <v/>
      </c>
      <c r="V992" s="13" t="str">
        <f t="shared" si="468"/>
        <v/>
      </c>
      <c r="W992" s="13" t="str">
        <f t="shared" si="469"/>
        <v/>
      </c>
      <c r="X992" s="14" t="str">
        <f t="shared" si="470"/>
        <v/>
      </c>
    </row>
    <row r="993" spans="2:24" x14ac:dyDescent="0.3">
      <c r="B993" s="1">
        <f t="shared" si="458"/>
        <v>0</v>
      </c>
      <c r="C993" s="1">
        <f t="shared" si="459"/>
        <v>0</v>
      </c>
      <c r="D993" s="10">
        <f t="shared" si="460"/>
        <v>0</v>
      </c>
      <c r="E993" s="1">
        <f t="shared" si="461"/>
        <v>0</v>
      </c>
      <c r="F993" s="1">
        <f t="shared" si="462"/>
        <v>0</v>
      </c>
      <c r="G993" s="1">
        <f t="shared" si="463"/>
        <v>0</v>
      </c>
      <c r="H993" s="1">
        <f t="shared" si="450"/>
        <v>0</v>
      </c>
      <c r="I993" s="10">
        <f t="shared" si="464"/>
        <v>0</v>
      </c>
      <c r="J993" s="1">
        <f t="shared" si="451"/>
        <v>0</v>
      </c>
      <c r="K993" s="1">
        <f t="shared" si="452"/>
        <v>0</v>
      </c>
      <c r="L993" s="1" t="str">
        <f t="shared" si="453"/>
        <v>0</v>
      </c>
      <c r="M993" s="10">
        <f t="shared" si="454"/>
        <v>0</v>
      </c>
      <c r="N993" s="1">
        <f t="shared" si="465"/>
        <v>0</v>
      </c>
      <c r="O993" s="1">
        <f t="shared" si="457"/>
        <v>0</v>
      </c>
      <c r="P993" s="1">
        <f t="shared" si="455"/>
        <v>0</v>
      </c>
      <c r="Q993" s="3" t="str">
        <f t="shared" si="456"/>
        <v/>
      </c>
      <c r="T993" s="13" t="str">
        <f t="shared" si="466"/>
        <v/>
      </c>
      <c r="U993" s="14" t="str">
        <f t="shared" si="467"/>
        <v/>
      </c>
      <c r="V993" s="13" t="str">
        <f t="shared" si="468"/>
        <v/>
      </c>
      <c r="W993" s="13" t="str">
        <f t="shared" si="469"/>
        <v/>
      </c>
      <c r="X993" s="14" t="str">
        <f t="shared" si="470"/>
        <v/>
      </c>
    </row>
    <row r="994" spans="2:24" x14ac:dyDescent="0.3">
      <c r="B994" s="1">
        <f t="shared" si="458"/>
        <v>0</v>
      </c>
      <c r="C994" s="1">
        <f t="shared" si="459"/>
        <v>0</v>
      </c>
      <c r="D994" s="10">
        <f t="shared" si="460"/>
        <v>0</v>
      </c>
      <c r="E994" s="1">
        <f t="shared" si="461"/>
        <v>0</v>
      </c>
      <c r="F994" s="1">
        <f t="shared" si="462"/>
        <v>0</v>
      </c>
      <c r="G994" s="1">
        <f t="shared" si="463"/>
        <v>0</v>
      </c>
      <c r="H994" s="1">
        <f t="shared" si="450"/>
        <v>0</v>
      </c>
      <c r="I994" s="10">
        <f t="shared" si="464"/>
        <v>0</v>
      </c>
      <c r="J994" s="1">
        <f t="shared" si="451"/>
        <v>0</v>
      </c>
      <c r="K994" s="1">
        <f t="shared" si="452"/>
        <v>0</v>
      </c>
      <c r="L994" s="1" t="str">
        <f t="shared" si="453"/>
        <v>0</v>
      </c>
      <c r="M994" s="10">
        <f t="shared" si="454"/>
        <v>0</v>
      </c>
      <c r="N994" s="1">
        <f t="shared" si="465"/>
        <v>0</v>
      </c>
      <c r="O994" s="1">
        <f t="shared" si="457"/>
        <v>0</v>
      </c>
      <c r="P994" s="1">
        <f t="shared" si="455"/>
        <v>0</v>
      </c>
      <c r="Q994" s="3" t="str">
        <f t="shared" si="456"/>
        <v/>
      </c>
      <c r="T994" s="13" t="str">
        <f t="shared" si="466"/>
        <v/>
      </c>
      <c r="U994" s="14" t="str">
        <f t="shared" si="467"/>
        <v/>
      </c>
      <c r="V994" s="13" t="str">
        <f t="shared" si="468"/>
        <v/>
      </c>
      <c r="W994" s="13" t="str">
        <f t="shared" si="469"/>
        <v/>
      </c>
      <c r="X994" s="14" t="str">
        <f t="shared" si="470"/>
        <v/>
      </c>
    </row>
    <row r="995" spans="2:24" x14ac:dyDescent="0.3">
      <c r="B995" s="1">
        <f t="shared" si="458"/>
        <v>0</v>
      </c>
      <c r="C995" s="1">
        <f t="shared" si="459"/>
        <v>0</v>
      </c>
      <c r="D995" s="10">
        <f t="shared" si="460"/>
        <v>0</v>
      </c>
      <c r="E995" s="1">
        <f t="shared" si="461"/>
        <v>0</v>
      </c>
      <c r="F995" s="1">
        <f t="shared" si="462"/>
        <v>0</v>
      </c>
      <c r="G995" s="1">
        <f t="shared" si="463"/>
        <v>0</v>
      </c>
      <c r="H995" s="1">
        <f t="shared" si="450"/>
        <v>0</v>
      </c>
      <c r="I995" s="10">
        <f t="shared" si="464"/>
        <v>0</v>
      </c>
      <c r="J995" s="1">
        <f t="shared" si="451"/>
        <v>0</v>
      </c>
      <c r="K995" s="1">
        <f t="shared" si="452"/>
        <v>0</v>
      </c>
      <c r="L995" s="1" t="str">
        <f t="shared" si="453"/>
        <v>0</v>
      </c>
      <c r="M995" s="10">
        <f t="shared" si="454"/>
        <v>0</v>
      </c>
      <c r="N995" s="1">
        <f t="shared" si="465"/>
        <v>0</v>
      </c>
      <c r="O995" s="1">
        <f t="shared" si="457"/>
        <v>0</v>
      </c>
      <c r="P995" s="1">
        <f t="shared" si="455"/>
        <v>0</v>
      </c>
      <c r="Q995" s="3" t="str">
        <f t="shared" si="456"/>
        <v/>
      </c>
      <c r="T995" s="13" t="str">
        <f t="shared" si="466"/>
        <v/>
      </c>
      <c r="U995" s="14" t="str">
        <f t="shared" si="467"/>
        <v/>
      </c>
      <c r="V995" s="13" t="str">
        <f t="shared" si="468"/>
        <v/>
      </c>
      <c r="W995" s="13" t="str">
        <f t="shared" si="469"/>
        <v/>
      </c>
      <c r="X995" s="14" t="str">
        <f t="shared" si="470"/>
        <v/>
      </c>
    </row>
    <row r="996" spans="2:24" x14ac:dyDescent="0.3">
      <c r="B996" s="1">
        <f t="shared" si="458"/>
        <v>0</v>
      </c>
      <c r="C996" s="1">
        <f t="shared" si="459"/>
        <v>0</v>
      </c>
      <c r="D996" s="10">
        <f t="shared" si="460"/>
        <v>0</v>
      </c>
      <c r="E996" s="1">
        <f t="shared" si="461"/>
        <v>0</v>
      </c>
      <c r="F996" s="1">
        <f t="shared" si="462"/>
        <v>0</v>
      </c>
      <c r="G996" s="1">
        <f t="shared" si="463"/>
        <v>0</v>
      </c>
      <c r="H996" s="1">
        <f t="shared" si="450"/>
        <v>0</v>
      </c>
      <c r="I996" s="10">
        <f t="shared" si="464"/>
        <v>0</v>
      </c>
      <c r="J996" s="1">
        <f t="shared" si="451"/>
        <v>0</v>
      </c>
      <c r="K996" s="1">
        <f t="shared" si="452"/>
        <v>0</v>
      </c>
      <c r="L996" s="1" t="str">
        <f t="shared" si="453"/>
        <v>0</v>
      </c>
      <c r="M996" s="10">
        <f t="shared" si="454"/>
        <v>0</v>
      </c>
      <c r="N996" s="1">
        <f t="shared" si="465"/>
        <v>0</v>
      </c>
      <c r="O996" s="1">
        <f t="shared" si="457"/>
        <v>0</v>
      </c>
      <c r="P996" s="1">
        <f t="shared" si="455"/>
        <v>0</v>
      </c>
      <c r="Q996" s="3" t="str">
        <f t="shared" si="456"/>
        <v/>
      </c>
      <c r="T996" s="13" t="str">
        <f t="shared" si="466"/>
        <v/>
      </c>
      <c r="U996" s="14" t="str">
        <f t="shared" si="467"/>
        <v/>
      </c>
      <c r="V996" s="13" t="str">
        <f t="shared" si="468"/>
        <v/>
      </c>
      <c r="W996" s="13" t="str">
        <f t="shared" si="469"/>
        <v/>
      </c>
      <c r="X996" s="14" t="str">
        <f t="shared" si="470"/>
        <v/>
      </c>
    </row>
    <row r="997" spans="2:24" x14ac:dyDescent="0.3">
      <c r="B997" s="1">
        <f t="shared" si="458"/>
        <v>0</v>
      </c>
      <c r="C997" s="1">
        <f t="shared" si="459"/>
        <v>0</v>
      </c>
      <c r="D997" s="10">
        <f t="shared" si="460"/>
        <v>0</v>
      </c>
      <c r="E997" s="1">
        <f t="shared" si="461"/>
        <v>0</v>
      </c>
      <c r="F997" s="1">
        <f t="shared" si="462"/>
        <v>0</v>
      </c>
      <c r="G997" s="1">
        <f t="shared" si="463"/>
        <v>0</v>
      </c>
      <c r="H997" s="1">
        <f t="shared" si="450"/>
        <v>0</v>
      </c>
      <c r="I997" s="10">
        <f t="shared" si="464"/>
        <v>0</v>
      </c>
      <c r="J997" s="1">
        <f t="shared" si="451"/>
        <v>0</v>
      </c>
      <c r="K997" s="1">
        <f t="shared" si="452"/>
        <v>0</v>
      </c>
      <c r="L997" s="1" t="str">
        <f t="shared" si="453"/>
        <v>0</v>
      </c>
      <c r="M997" s="10">
        <f t="shared" si="454"/>
        <v>0</v>
      </c>
      <c r="N997" s="1">
        <f t="shared" si="465"/>
        <v>0</v>
      </c>
      <c r="O997" s="1">
        <f t="shared" si="457"/>
        <v>0</v>
      </c>
      <c r="P997" s="1">
        <f t="shared" si="455"/>
        <v>0</v>
      </c>
      <c r="Q997" s="3" t="str">
        <f t="shared" si="456"/>
        <v/>
      </c>
      <c r="T997" s="13" t="str">
        <f t="shared" si="466"/>
        <v/>
      </c>
      <c r="U997" s="14" t="str">
        <f t="shared" si="467"/>
        <v/>
      </c>
      <c r="V997" s="13" t="str">
        <f t="shared" si="468"/>
        <v/>
      </c>
      <c r="W997" s="13" t="str">
        <f t="shared" si="469"/>
        <v/>
      </c>
      <c r="X997" s="14" t="str">
        <f t="shared" si="470"/>
        <v/>
      </c>
    </row>
    <row r="998" spans="2:24" x14ac:dyDescent="0.3">
      <c r="B998" s="1">
        <f t="shared" si="458"/>
        <v>0</v>
      </c>
      <c r="C998" s="1">
        <f t="shared" si="459"/>
        <v>0</v>
      </c>
      <c r="D998" s="10">
        <f t="shared" si="460"/>
        <v>0</v>
      </c>
      <c r="E998" s="1">
        <f t="shared" si="461"/>
        <v>0</v>
      </c>
      <c r="F998" s="1">
        <f t="shared" si="462"/>
        <v>0</v>
      </c>
      <c r="G998" s="1">
        <f t="shared" si="463"/>
        <v>0</v>
      </c>
      <c r="H998" s="1">
        <f t="shared" si="450"/>
        <v>0</v>
      </c>
      <c r="I998" s="10">
        <f t="shared" si="464"/>
        <v>0</v>
      </c>
      <c r="J998" s="1">
        <f t="shared" si="451"/>
        <v>0</v>
      </c>
      <c r="K998" s="1">
        <f t="shared" si="452"/>
        <v>0</v>
      </c>
      <c r="L998" s="1" t="str">
        <f t="shared" si="453"/>
        <v>0</v>
      </c>
      <c r="M998" s="10">
        <f t="shared" si="454"/>
        <v>0</v>
      </c>
      <c r="N998" s="1">
        <f t="shared" si="465"/>
        <v>0</v>
      </c>
      <c r="O998" s="1">
        <f t="shared" si="457"/>
        <v>0</v>
      </c>
      <c r="P998" s="1">
        <f t="shared" si="455"/>
        <v>0</v>
      </c>
      <c r="Q998" s="3" t="str">
        <f t="shared" si="456"/>
        <v/>
      </c>
      <c r="T998" s="13" t="str">
        <f t="shared" si="466"/>
        <v/>
      </c>
      <c r="U998" s="14" t="str">
        <f t="shared" si="467"/>
        <v/>
      </c>
      <c r="V998" s="13" t="str">
        <f t="shared" si="468"/>
        <v/>
      </c>
      <c r="W998" s="13" t="str">
        <f t="shared" si="469"/>
        <v/>
      </c>
      <c r="X998" s="14" t="str">
        <f t="shared" si="470"/>
        <v/>
      </c>
    </row>
    <row r="999" spans="2:24" x14ac:dyDescent="0.3">
      <c r="B999" s="1">
        <f t="shared" si="458"/>
        <v>0</v>
      </c>
      <c r="C999" s="1">
        <f t="shared" si="459"/>
        <v>0</v>
      </c>
      <c r="D999" s="10">
        <f t="shared" si="460"/>
        <v>0</v>
      </c>
      <c r="E999" s="1">
        <f t="shared" si="461"/>
        <v>0</v>
      </c>
      <c r="F999" s="1">
        <f t="shared" si="462"/>
        <v>0</v>
      </c>
      <c r="G999" s="1">
        <f t="shared" si="463"/>
        <v>0</v>
      </c>
      <c r="H999" s="1">
        <f t="shared" si="450"/>
        <v>0</v>
      </c>
      <c r="I999" s="10">
        <f t="shared" si="464"/>
        <v>0</v>
      </c>
      <c r="J999" s="1">
        <f t="shared" si="451"/>
        <v>0</v>
      </c>
      <c r="K999" s="1">
        <f t="shared" si="452"/>
        <v>0</v>
      </c>
      <c r="L999" s="1" t="str">
        <f t="shared" si="453"/>
        <v>0</v>
      </c>
      <c r="M999" s="10">
        <f t="shared" si="454"/>
        <v>0</v>
      </c>
      <c r="N999" s="1">
        <f t="shared" si="465"/>
        <v>0</v>
      </c>
      <c r="O999" s="1">
        <f t="shared" si="457"/>
        <v>0</v>
      </c>
      <c r="P999" s="1">
        <f t="shared" si="455"/>
        <v>0</v>
      </c>
      <c r="Q999" s="3" t="str">
        <f t="shared" si="456"/>
        <v/>
      </c>
      <c r="T999" s="13" t="str">
        <f t="shared" si="466"/>
        <v/>
      </c>
      <c r="U999" s="14" t="str">
        <f t="shared" si="467"/>
        <v/>
      </c>
      <c r="V999" s="13" t="str">
        <f t="shared" si="468"/>
        <v/>
      </c>
      <c r="W999" s="13" t="str">
        <f t="shared" si="469"/>
        <v/>
      </c>
      <c r="X999" s="14" t="str">
        <f t="shared" si="470"/>
        <v/>
      </c>
    </row>
    <row r="1000" spans="2:24" x14ac:dyDescent="0.3">
      <c r="B1000" s="1">
        <f t="shared" si="458"/>
        <v>0</v>
      </c>
      <c r="C1000" s="1">
        <f t="shared" si="459"/>
        <v>0</v>
      </c>
      <c r="D1000" s="10">
        <f t="shared" si="460"/>
        <v>0</v>
      </c>
      <c r="E1000" s="1">
        <f t="shared" si="461"/>
        <v>0</v>
      </c>
      <c r="F1000" s="1">
        <f t="shared" si="462"/>
        <v>0</v>
      </c>
      <c r="G1000" s="1">
        <f t="shared" si="463"/>
        <v>0</v>
      </c>
      <c r="H1000" s="1">
        <f t="shared" si="450"/>
        <v>0</v>
      </c>
      <c r="I1000" s="10">
        <f t="shared" si="464"/>
        <v>0</v>
      </c>
      <c r="J1000" s="1">
        <f t="shared" si="451"/>
        <v>0</v>
      </c>
      <c r="K1000" s="1">
        <f t="shared" si="452"/>
        <v>0</v>
      </c>
      <c r="L1000" s="1" t="str">
        <f t="shared" si="453"/>
        <v>0</v>
      </c>
      <c r="M1000" s="10">
        <f t="shared" si="454"/>
        <v>0</v>
      </c>
      <c r="N1000" s="1">
        <f t="shared" si="465"/>
        <v>0</v>
      </c>
      <c r="O1000" s="1">
        <f t="shared" si="457"/>
        <v>0</v>
      </c>
      <c r="P1000" s="1">
        <f t="shared" si="455"/>
        <v>0</v>
      </c>
      <c r="Q1000" s="3" t="str">
        <f t="shared" si="456"/>
        <v/>
      </c>
      <c r="T1000" s="13" t="str">
        <f t="shared" si="466"/>
        <v/>
      </c>
      <c r="U1000" s="14" t="str">
        <f t="shared" si="467"/>
        <v/>
      </c>
      <c r="V1000" s="13" t="str">
        <f t="shared" si="468"/>
        <v/>
      </c>
      <c r="W1000" s="13" t="str">
        <f t="shared" si="469"/>
        <v/>
      </c>
      <c r="X1000" s="14" t="str">
        <f t="shared" si="470"/>
        <v/>
      </c>
    </row>
    <row r="1001" spans="2:24" x14ac:dyDescent="0.3">
      <c r="B1001" s="1">
        <f t="shared" si="458"/>
        <v>0</v>
      </c>
      <c r="C1001" s="1">
        <f t="shared" si="459"/>
        <v>0</v>
      </c>
      <c r="D1001" s="10">
        <f t="shared" si="460"/>
        <v>0</v>
      </c>
      <c r="E1001" s="1">
        <f t="shared" si="461"/>
        <v>0</v>
      </c>
      <c r="F1001" s="1">
        <f t="shared" si="462"/>
        <v>0</v>
      </c>
      <c r="G1001" s="1">
        <f t="shared" si="463"/>
        <v>0</v>
      </c>
      <c r="H1001" s="1">
        <f t="shared" si="450"/>
        <v>0</v>
      </c>
      <c r="I1001" s="10">
        <f t="shared" si="464"/>
        <v>0</v>
      </c>
      <c r="J1001" s="1">
        <f t="shared" si="451"/>
        <v>0</v>
      </c>
      <c r="K1001" s="1">
        <f t="shared" si="452"/>
        <v>0</v>
      </c>
      <c r="L1001" s="1" t="str">
        <f t="shared" si="453"/>
        <v>0</v>
      </c>
      <c r="M1001" s="10">
        <f t="shared" si="454"/>
        <v>0</v>
      </c>
      <c r="N1001" s="1">
        <f t="shared" si="465"/>
        <v>0</v>
      </c>
      <c r="O1001" s="1">
        <f t="shared" si="457"/>
        <v>0</v>
      </c>
      <c r="P1001" s="1">
        <f t="shared" si="455"/>
        <v>0</v>
      </c>
      <c r="Q1001" s="3" t="str">
        <f t="shared" si="456"/>
        <v/>
      </c>
      <c r="T1001" s="13" t="str">
        <f t="shared" si="466"/>
        <v/>
      </c>
      <c r="U1001" s="14" t="str">
        <f t="shared" si="467"/>
        <v/>
      </c>
      <c r="V1001" s="13" t="str">
        <f t="shared" si="468"/>
        <v/>
      </c>
      <c r="W1001" s="13" t="str">
        <f t="shared" si="469"/>
        <v/>
      </c>
      <c r="X1001" s="14" t="str">
        <f t="shared" si="470"/>
        <v/>
      </c>
    </row>
    <row r="1002" spans="2:24" x14ac:dyDescent="0.3">
      <c r="B1002" s="1">
        <f t="shared" si="458"/>
        <v>0</v>
      </c>
      <c r="C1002" s="1">
        <f t="shared" si="459"/>
        <v>0</v>
      </c>
      <c r="D1002" s="10">
        <f t="shared" si="460"/>
        <v>0</v>
      </c>
      <c r="E1002" s="1">
        <f t="shared" si="461"/>
        <v>0</v>
      </c>
      <c r="F1002" s="1">
        <f t="shared" si="462"/>
        <v>0</v>
      </c>
      <c r="G1002" s="1">
        <f t="shared" si="463"/>
        <v>0</v>
      </c>
      <c r="H1002" s="1">
        <f t="shared" si="450"/>
        <v>0</v>
      </c>
      <c r="I1002" s="10">
        <f t="shared" si="464"/>
        <v>0</v>
      </c>
      <c r="J1002" s="1">
        <f t="shared" si="451"/>
        <v>0</v>
      </c>
      <c r="K1002" s="1">
        <f t="shared" si="452"/>
        <v>0</v>
      </c>
      <c r="L1002" s="1" t="str">
        <f t="shared" si="453"/>
        <v>0</v>
      </c>
      <c r="M1002" s="10">
        <f t="shared" si="454"/>
        <v>0</v>
      </c>
      <c r="N1002" s="1">
        <f t="shared" si="465"/>
        <v>0</v>
      </c>
      <c r="O1002" s="1">
        <f t="shared" si="457"/>
        <v>0</v>
      </c>
      <c r="P1002" s="1">
        <f t="shared" si="455"/>
        <v>0</v>
      </c>
      <c r="Q1002" s="3" t="str">
        <f t="shared" si="456"/>
        <v/>
      </c>
      <c r="T1002" s="13" t="str">
        <f t="shared" si="466"/>
        <v/>
      </c>
      <c r="U1002" s="14" t="str">
        <f t="shared" si="467"/>
        <v/>
      </c>
      <c r="V1002" s="13" t="str">
        <f t="shared" si="468"/>
        <v/>
      </c>
      <c r="W1002" s="13" t="str">
        <f t="shared" si="469"/>
        <v/>
      </c>
      <c r="X1002" s="14" t="str">
        <f t="shared" si="470"/>
        <v/>
      </c>
    </row>
    <row r="1003" spans="2:24" x14ac:dyDescent="0.3">
      <c r="B1003" s="1">
        <f t="shared" si="458"/>
        <v>0</v>
      </c>
      <c r="C1003" s="1">
        <f t="shared" si="459"/>
        <v>0</v>
      </c>
      <c r="D1003" s="10">
        <f t="shared" si="460"/>
        <v>0</v>
      </c>
      <c r="E1003" s="1">
        <f t="shared" si="461"/>
        <v>0</v>
      </c>
      <c r="F1003" s="1">
        <f t="shared" si="462"/>
        <v>0</v>
      </c>
      <c r="G1003" s="1">
        <f t="shared" si="463"/>
        <v>0</v>
      </c>
      <c r="H1003" s="1">
        <f t="shared" si="450"/>
        <v>0</v>
      </c>
      <c r="I1003" s="10">
        <f t="shared" si="464"/>
        <v>0</v>
      </c>
      <c r="J1003" s="1">
        <f t="shared" si="451"/>
        <v>0</v>
      </c>
      <c r="K1003" s="1">
        <f t="shared" si="452"/>
        <v>0</v>
      </c>
      <c r="L1003" s="1" t="str">
        <f t="shared" si="453"/>
        <v>0</v>
      </c>
      <c r="M1003" s="10">
        <f t="shared" si="454"/>
        <v>0</v>
      </c>
      <c r="N1003" s="1">
        <f t="shared" si="465"/>
        <v>0</v>
      </c>
      <c r="O1003" s="1">
        <f t="shared" si="457"/>
        <v>0</v>
      </c>
      <c r="P1003" s="1">
        <f t="shared" si="455"/>
        <v>0</v>
      </c>
      <c r="Q1003" s="3" t="str">
        <f t="shared" si="456"/>
        <v/>
      </c>
      <c r="T1003" s="13" t="str">
        <f t="shared" si="466"/>
        <v/>
      </c>
      <c r="U1003" s="14" t="str">
        <f t="shared" si="467"/>
        <v/>
      </c>
      <c r="V1003" s="13" t="str">
        <f t="shared" si="468"/>
        <v/>
      </c>
      <c r="W1003" s="13" t="str">
        <f t="shared" si="469"/>
        <v/>
      </c>
      <c r="X1003" s="14" t="str">
        <f t="shared" si="470"/>
        <v/>
      </c>
    </row>
    <row r="1004" spans="2:24" x14ac:dyDescent="0.3">
      <c r="B1004" s="1">
        <f t="shared" si="458"/>
        <v>0</v>
      </c>
      <c r="C1004" s="1">
        <f t="shared" si="459"/>
        <v>0</v>
      </c>
      <c r="D1004" s="10">
        <f t="shared" si="460"/>
        <v>0</v>
      </c>
      <c r="E1004" s="1">
        <f t="shared" si="461"/>
        <v>0</v>
      </c>
      <c r="F1004" s="1">
        <f t="shared" si="462"/>
        <v>0</v>
      </c>
      <c r="G1004" s="1">
        <f t="shared" si="463"/>
        <v>0</v>
      </c>
      <c r="H1004" s="1">
        <f t="shared" si="450"/>
        <v>0</v>
      </c>
      <c r="I1004" s="10">
        <f t="shared" si="464"/>
        <v>0</v>
      </c>
      <c r="J1004" s="1">
        <f t="shared" si="451"/>
        <v>0</v>
      </c>
      <c r="K1004" s="1">
        <f t="shared" si="452"/>
        <v>0</v>
      </c>
      <c r="L1004" s="1" t="str">
        <f t="shared" si="453"/>
        <v>0</v>
      </c>
      <c r="M1004" s="10">
        <f t="shared" si="454"/>
        <v>0</v>
      </c>
      <c r="N1004" s="1">
        <f t="shared" si="465"/>
        <v>0</v>
      </c>
      <c r="O1004" s="1">
        <f t="shared" si="457"/>
        <v>0</v>
      </c>
      <c r="P1004" s="1">
        <f t="shared" si="455"/>
        <v>0</v>
      </c>
      <c r="Q1004" s="3" t="str">
        <f t="shared" si="456"/>
        <v/>
      </c>
      <c r="T1004" s="13" t="str">
        <f t="shared" si="466"/>
        <v/>
      </c>
      <c r="U1004" s="14" t="str">
        <f t="shared" si="467"/>
        <v/>
      </c>
      <c r="V1004" s="13" t="str">
        <f t="shared" si="468"/>
        <v/>
      </c>
      <c r="W1004" s="13" t="str">
        <f t="shared" si="469"/>
        <v/>
      </c>
      <c r="X1004" s="14" t="str">
        <f t="shared" si="470"/>
        <v/>
      </c>
    </row>
    <row r="1005" spans="2:24" x14ac:dyDescent="0.3">
      <c r="B1005" s="1">
        <f t="shared" si="458"/>
        <v>0</v>
      </c>
      <c r="C1005" s="1">
        <f t="shared" si="459"/>
        <v>0</v>
      </c>
      <c r="D1005" s="10">
        <f t="shared" si="460"/>
        <v>0</v>
      </c>
      <c r="E1005" s="1">
        <f t="shared" si="461"/>
        <v>0</v>
      </c>
      <c r="F1005" s="1">
        <f t="shared" si="462"/>
        <v>0</v>
      </c>
      <c r="G1005" s="1">
        <f t="shared" si="463"/>
        <v>0</v>
      </c>
      <c r="H1005" s="1">
        <f t="shared" si="450"/>
        <v>0</v>
      </c>
      <c r="I1005" s="10">
        <f t="shared" si="464"/>
        <v>0</v>
      </c>
      <c r="J1005" s="1">
        <f t="shared" si="451"/>
        <v>0</v>
      </c>
      <c r="K1005" s="1">
        <f t="shared" si="452"/>
        <v>0</v>
      </c>
      <c r="L1005" s="1" t="str">
        <f t="shared" si="453"/>
        <v>0</v>
      </c>
      <c r="M1005" s="10">
        <f t="shared" si="454"/>
        <v>0</v>
      </c>
      <c r="N1005" s="1">
        <f t="shared" si="465"/>
        <v>0</v>
      </c>
      <c r="O1005" s="1">
        <f t="shared" si="457"/>
        <v>0</v>
      </c>
      <c r="P1005" s="1">
        <f t="shared" si="455"/>
        <v>0</v>
      </c>
      <c r="Q1005" s="3" t="str">
        <f t="shared" si="456"/>
        <v/>
      </c>
      <c r="T1005" s="13" t="str">
        <f t="shared" si="466"/>
        <v/>
      </c>
      <c r="U1005" s="14" t="str">
        <f t="shared" si="467"/>
        <v/>
      </c>
      <c r="V1005" s="13" t="str">
        <f t="shared" si="468"/>
        <v/>
      </c>
      <c r="W1005" s="13" t="str">
        <f t="shared" si="469"/>
        <v/>
      </c>
      <c r="X1005" s="14" t="str">
        <f t="shared" si="470"/>
        <v/>
      </c>
    </row>
    <row r="1006" spans="2:24" x14ac:dyDescent="0.3">
      <c r="B1006" s="1">
        <f t="shared" si="458"/>
        <v>0</v>
      </c>
      <c r="C1006" s="1">
        <f t="shared" si="459"/>
        <v>0</v>
      </c>
      <c r="D1006" s="10">
        <f t="shared" si="460"/>
        <v>0</v>
      </c>
      <c r="E1006" s="1">
        <f t="shared" si="461"/>
        <v>0</v>
      </c>
      <c r="F1006" s="1">
        <f t="shared" si="462"/>
        <v>0</v>
      </c>
      <c r="G1006" s="1">
        <f t="shared" si="463"/>
        <v>0</v>
      </c>
      <c r="H1006" s="1">
        <f t="shared" si="450"/>
        <v>0</v>
      </c>
      <c r="I1006" s="10">
        <f t="shared" si="464"/>
        <v>0</v>
      </c>
      <c r="J1006" s="1">
        <f t="shared" si="451"/>
        <v>0</v>
      </c>
      <c r="K1006" s="1">
        <f t="shared" si="452"/>
        <v>0</v>
      </c>
      <c r="L1006" s="1" t="str">
        <f t="shared" si="453"/>
        <v>0</v>
      </c>
      <c r="M1006" s="10">
        <f t="shared" si="454"/>
        <v>0</v>
      </c>
      <c r="N1006" s="1">
        <f t="shared" si="465"/>
        <v>0</v>
      </c>
      <c r="O1006" s="1">
        <f t="shared" si="457"/>
        <v>0</v>
      </c>
      <c r="P1006" s="1">
        <f t="shared" si="455"/>
        <v>0</v>
      </c>
      <c r="Q1006" s="3" t="str">
        <f t="shared" si="456"/>
        <v/>
      </c>
      <c r="T1006" s="13" t="str">
        <f t="shared" si="466"/>
        <v/>
      </c>
      <c r="U1006" s="14" t="str">
        <f t="shared" si="467"/>
        <v/>
      </c>
      <c r="V1006" s="13" t="str">
        <f t="shared" si="468"/>
        <v/>
      </c>
      <c r="W1006" s="13" t="str">
        <f t="shared" si="469"/>
        <v/>
      </c>
      <c r="X1006" s="14" t="str">
        <f t="shared" si="470"/>
        <v/>
      </c>
    </row>
    <row r="1007" spans="2:24" x14ac:dyDescent="0.3">
      <c r="B1007" s="1">
        <f t="shared" si="458"/>
        <v>0</v>
      </c>
      <c r="C1007" s="1">
        <f t="shared" si="459"/>
        <v>0</v>
      </c>
      <c r="D1007" s="10">
        <f t="shared" si="460"/>
        <v>0</v>
      </c>
      <c r="E1007" s="1">
        <f t="shared" si="461"/>
        <v>0</v>
      </c>
      <c r="F1007" s="1">
        <f t="shared" si="462"/>
        <v>0</v>
      </c>
      <c r="G1007" s="1">
        <f t="shared" si="463"/>
        <v>0</v>
      </c>
      <c r="H1007" s="1">
        <f t="shared" si="450"/>
        <v>0</v>
      </c>
      <c r="I1007" s="10">
        <f t="shared" si="464"/>
        <v>0</v>
      </c>
      <c r="J1007" s="1">
        <f t="shared" si="451"/>
        <v>0</v>
      </c>
      <c r="K1007" s="1">
        <f t="shared" si="452"/>
        <v>0</v>
      </c>
      <c r="L1007" s="1" t="str">
        <f t="shared" si="453"/>
        <v>0</v>
      </c>
      <c r="M1007" s="10">
        <f t="shared" si="454"/>
        <v>0</v>
      </c>
      <c r="N1007" s="1">
        <f t="shared" si="465"/>
        <v>0</v>
      </c>
      <c r="O1007" s="1">
        <f t="shared" si="457"/>
        <v>0</v>
      </c>
      <c r="P1007" s="1">
        <f t="shared" si="455"/>
        <v>0</v>
      </c>
      <c r="Q1007" s="3" t="str">
        <f t="shared" si="456"/>
        <v/>
      </c>
      <c r="T1007" s="13" t="str">
        <f t="shared" si="466"/>
        <v/>
      </c>
      <c r="U1007" s="14" t="str">
        <f t="shared" si="467"/>
        <v/>
      </c>
      <c r="V1007" s="13" t="str">
        <f t="shared" si="468"/>
        <v/>
      </c>
      <c r="W1007" s="13" t="str">
        <f t="shared" si="469"/>
        <v/>
      </c>
      <c r="X1007" s="14" t="str">
        <f t="shared" si="470"/>
        <v/>
      </c>
    </row>
    <row r="1008" spans="2:24" x14ac:dyDescent="0.3">
      <c r="B1008" s="1">
        <f t="shared" si="458"/>
        <v>0</v>
      </c>
      <c r="C1008" s="1">
        <f t="shared" si="459"/>
        <v>0</v>
      </c>
      <c r="D1008" s="10">
        <f t="shared" si="460"/>
        <v>0</v>
      </c>
      <c r="E1008" s="1">
        <f t="shared" si="461"/>
        <v>0</v>
      </c>
      <c r="F1008" s="1">
        <f t="shared" si="462"/>
        <v>0</v>
      </c>
      <c r="G1008" s="1">
        <f t="shared" si="463"/>
        <v>0</v>
      </c>
      <c r="H1008" s="1">
        <f t="shared" si="450"/>
        <v>0</v>
      </c>
      <c r="I1008" s="10">
        <f t="shared" si="464"/>
        <v>0</v>
      </c>
      <c r="J1008" s="1">
        <f t="shared" si="451"/>
        <v>0</v>
      </c>
      <c r="K1008" s="1">
        <f t="shared" si="452"/>
        <v>0</v>
      </c>
      <c r="L1008" s="1" t="str">
        <f t="shared" si="453"/>
        <v>0</v>
      </c>
      <c r="M1008" s="10">
        <f t="shared" si="454"/>
        <v>0</v>
      </c>
      <c r="N1008" s="1">
        <f t="shared" si="465"/>
        <v>0</v>
      </c>
      <c r="O1008" s="1">
        <f t="shared" si="457"/>
        <v>0</v>
      </c>
      <c r="P1008" s="1">
        <f t="shared" si="455"/>
        <v>0</v>
      </c>
      <c r="Q1008" s="3" t="str">
        <f t="shared" si="456"/>
        <v/>
      </c>
      <c r="T1008" s="13" t="str">
        <f t="shared" si="466"/>
        <v/>
      </c>
      <c r="U1008" s="14" t="str">
        <f t="shared" si="467"/>
        <v/>
      </c>
      <c r="V1008" s="13" t="str">
        <f t="shared" si="468"/>
        <v/>
      </c>
      <c r="W1008" s="13" t="str">
        <f t="shared" si="469"/>
        <v/>
      </c>
      <c r="X1008" s="14" t="str">
        <f t="shared" si="470"/>
        <v/>
      </c>
    </row>
    <row r="1009" spans="2:24" x14ac:dyDescent="0.3">
      <c r="B1009" s="1">
        <f t="shared" si="458"/>
        <v>0</v>
      </c>
      <c r="C1009" s="1">
        <f t="shared" si="459"/>
        <v>0</v>
      </c>
      <c r="D1009" s="10">
        <f t="shared" si="460"/>
        <v>0</v>
      </c>
      <c r="E1009" s="1">
        <f t="shared" si="461"/>
        <v>0</v>
      </c>
      <c r="F1009" s="1">
        <f t="shared" si="462"/>
        <v>0</v>
      </c>
      <c r="G1009" s="1">
        <f t="shared" si="463"/>
        <v>0</v>
      </c>
      <c r="H1009" s="1">
        <f t="shared" si="450"/>
        <v>0</v>
      </c>
      <c r="I1009" s="10">
        <f t="shared" si="464"/>
        <v>0</v>
      </c>
      <c r="J1009" s="1">
        <f t="shared" si="451"/>
        <v>0</v>
      </c>
      <c r="K1009" s="1">
        <f t="shared" si="452"/>
        <v>0</v>
      </c>
      <c r="L1009" s="1" t="str">
        <f t="shared" si="453"/>
        <v>0</v>
      </c>
      <c r="M1009" s="10">
        <f t="shared" si="454"/>
        <v>0</v>
      </c>
      <c r="N1009" s="1">
        <f t="shared" si="465"/>
        <v>0</v>
      </c>
      <c r="O1009" s="1">
        <f t="shared" si="457"/>
        <v>0</v>
      </c>
      <c r="P1009" s="1">
        <f t="shared" si="455"/>
        <v>0</v>
      </c>
      <c r="Q1009" s="3" t="str">
        <f t="shared" si="456"/>
        <v/>
      </c>
      <c r="T1009" s="13" t="str">
        <f t="shared" si="466"/>
        <v/>
      </c>
      <c r="U1009" s="14" t="str">
        <f t="shared" si="467"/>
        <v/>
      </c>
      <c r="V1009" s="13" t="str">
        <f t="shared" si="468"/>
        <v/>
      </c>
      <c r="W1009" s="13" t="str">
        <f t="shared" si="469"/>
        <v/>
      </c>
      <c r="X1009" s="14" t="str">
        <f t="shared" si="470"/>
        <v/>
      </c>
    </row>
    <row r="1010" spans="2:24" x14ac:dyDescent="0.3">
      <c r="B1010" s="1">
        <f t="shared" si="458"/>
        <v>0</v>
      </c>
      <c r="C1010" s="1">
        <f t="shared" si="459"/>
        <v>0</v>
      </c>
      <c r="D1010" s="10">
        <f t="shared" si="460"/>
        <v>0</v>
      </c>
      <c r="E1010" s="1">
        <f t="shared" si="461"/>
        <v>0</v>
      </c>
      <c r="F1010" s="1">
        <f t="shared" si="462"/>
        <v>0</v>
      </c>
      <c r="G1010" s="1">
        <f t="shared" si="463"/>
        <v>0</v>
      </c>
      <c r="H1010" s="1">
        <f t="shared" si="450"/>
        <v>0</v>
      </c>
      <c r="I1010" s="10">
        <f t="shared" si="464"/>
        <v>0</v>
      </c>
      <c r="J1010" s="1">
        <f t="shared" si="451"/>
        <v>0</v>
      </c>
      <c r="K1010" s="1">
        <f t="shared" si="452"/>
        <v>0</v>
      </c>
      <c r="L1010" s="1" t="str">
        <f t="shared" si="453"/>
        <v>0</v>
      </c>
      <c r="M1010" s="10">
        <f t="shared" si="454"/>
        <v>0</v>
      </c>
      <c r="N1010" s="1">
        <f t="shared" si="465"/>
        <v>0</v>
      </c>
      <c r="O1010" s="1">
        <f t="shared" si="457"/>
        <v>0</v>
      </c>
      <c r="P1010" s="1">
        <f t="shared" si="455"/>
        <v>0</v>
      </c>
      <c r="Q1010" s="3" t="str">
        <f t="shared" si="456"/>
        <v/>
      </c>
      <c r="T1010" s="13" t="str">
        <f t="shared" si="466"/>
        <v/>
      </c>
      <c r="U1010" s="14" t="str">
        <f t="shared" si="467"/>
        <v/>
      </c>
      <c r="V1010" s="13" t="str">
        <f t="shared" si="468"/>
        <v/>
      </c>
      <c r="W1010" s="13" t="str">
        <f t="shared" si="469"/>
        <v/>
      </c>
      <c r="X1010" s="14" t="str">
        <f t="shared" si="470"/>
        <v/>
      </c>
    </row>
    <row r="1011" spans="2:24" x14ac:dyDescent="0.3">
      <c r="B1011" s="1">
        <f t="shared" si="458"/>
        <v>0</v>
      </c>
      <c r="C1011" s="1">
        <f t="shared" si="459"/>
        <v>0</v>
      </c>
      <c r="D1011" s="10">
        <f t="shared" si="460"/>
        <v>0</v>
      </c>
      <c r="E1011" s="1">
        <f t="shared" si="461"/>
        <v>0</v>
      </c>
      <c r="F1011" s="1">
        <f t="shared" si="462"/>
        <v>0</v>
      </c>
      <c r="G1011" s="1">
        <f t="shared" si="463"/>
        <v>0</v>
      </c>
      <c r="H1011" s="1">
        <f t="shared" si="450"/>
        <v>0</v>
      </c>
      <c r="I1011" s="10">
        <f t="shared" si="464"/>
        <v>0</v>
      </c>
      <c r="J1011" s="1">
        <f t="shared" si="451"/>
        <v>0</v>
      </c>
      <c r="K1011" s="1">
        <f t="shared" si="452"/>
        <v>0</v>
      </c>
      <c r="L1011" s="1" t="str">
        <f t="shared" si="453"/>
        <v>0</v>
      </c>
      <c r="M1011" s="10">
        <f t="shared" si="454"/>
        <v>0</v>
      </c>
      <c r="N1011" s="1">
        <f t="shared" si="465"/>
        <v>0</v>
      </c>
      <c r="O1011" s="1">
        <f t="shared" si="457"/>
        <v>0</v>
      </c>
      <c r="P1011" s="1">
        <f t="shared" si="455"/>
        <v>0</v>
      </c>
      <c r="Q1011" s="3" t="str">
        <f t="shared" si="456"/>
        <v/>
      </c>
      <c r="T1011" s="13" t="str">
        <f t="shared" si="466"/>
        <v/>
      </c>
      <c r="U1011" s="14" t="str">
        <f t="shared" si="467"/>
        <v/>
      </c>
      <c r="V1011" s="13" t="str">
        <f t="shared" si="468"/>
        <v/>
      </c>
      <c r="W1011" s="13" t="str">
        <f t="shared" si="469"/>
        <v/>
      </c>
      <c r="X1011" s="14" t="str">
        <f t="shared" si="470"/>
        <v/>
      </c>
    </row>
    <row r="1012" spans="2:24" x14ac:dyDescent="0.3">
      <c r="B1012" s="1">
        <f t="shared" si="458"/>
        <v>0</v>
      </c>
      <c r="C1012" s="1">
        <f t="shared" si="459"/>
        <v>0</v>
      </c>
      <c r="D1012" s="10">
        <f t="shared" si="460"/>
        <v>0</v>
      </c>
      <c r="E1012" s="1">
        <f t="shared" si="461"/>
        <v>0</v>
      </c>
      <c r="F1012" s="1">
        <f t="shared" si="462"/>
        <v>0</v>
      </c>
      <c r="G1012" s="1">
        <f t="shared" si="463"/>
        <v>0</v>
      </c>
      <c r="H1012" s="1">
        <f t="shared" si="450"/>
        <v>0</v>
      </c>
      <c r="I1012" s="10">
        <f t="shared" si="464"/>
        <v>0</v>
      </c>
      <c r="J1012" s="1">
        <f t="shared" si="451"/>
        <v>0</v>
      </c>
      <c r="K1012" s="1">
        <f t="shared" si="452"/>
        <v>0</v>
      </c>
      <c r="L1012" s="1" t="str">
        <f t="shared" si="453"/>
        <v>0</v>
      </c>
      <c r="M1012" s="10">
        <f t="shared" si="454"/>
        <v>0</v>
      </c>
      <c r="N1012" s="1">
        <f t="shared" si="465"/>
        <v>0</v>
      </c>
      <c r="O1012" s="1">
        <f t="shared" si="457"/>
        <v>0</v>
      </c>
      <c r="P1012" s="1">
        <f t="shared" si="455"/>
        <v>0</v>
      </c>
      <c r="Q1012" s="3" t="str">
        <f t="shared" si="456"/>
        <v/>
      </c>
      <c r="T1012" s="13" t="str">
        <f t="shared" si="466"/>
        <v/>
      </c>
      <c r="U1012" s="14" t="str">
        <f t="shared" si="467"/>
        <v/>
      </c>
      <c r="V1012" s="13" t="str">
        <f t="shared" si="468"/>
        <v/>
      </c>
      <c r="W1012" s="13" t="str">
        <f t="shared" si="469"/>
        <v/>
      </c>
      <c r="X1012" s="14" t="str">
        <f t="shared" si="470"/>
        <v/>
      </c>
    </row>
    <row r="1013" spans="2:24" x14ac:dyDescent="0.3">
      <c r="B1013" s="1">
        <f t="shared" si="458"/>
        <v>0</v>
      </c>
      <c r="C1013" s="1">
        <f t="shared" si="459"/>
        <v>0</v>
      </c>
      <c r="D1013" s="10">
        <f t="shared" si="460"/>
        <v>0</v>
      </c>
      <c r="E1013" s="1">
        <f t="shared" si="461"/>
        <v>0</v>
      </c>
      <c r="F1013" s="1">
        <f t="shared" si="462"/>
        <v>0</v>
      </c>
      <c r="G1013" s="1">
        <f t="shared" si="463"/>
        <v>0</v>
      </c>
      <c r="H1013" s="1">
        <f t="shared" ref="H1013:H1076" si="471">IF(AND(F1013&gt;0,F1013&lt;G1013),F1013,G1013)</f>
        <v>0</v>
      </c>
      <c r="I1013" s="10">
        <f t="shared" si="464"/>
        <v>0</v>
      </c>
      <c r="J1013" s="1">
        <f t="shared" ref="J1013:J1076" si="472">IF(AND(F1013&gt;0,F1013&lt;G1013),FIND("=",A1013,F1013)+1,0)</f>
        <v>0</v>
      </c>
      <c r="K1013" s="1">
        <f t="shared" ref="K1013:K1076" si="473">IF(J1013&gt;0,MID(A1013,J1013,G1013-J1013),0)</f>
        <v>0</v>
      </c>
      <c r="L1013" s="1" t="str">
        <f t="shared" ref="L1013:L1076" si="474">IFERROR(RIGHT(K1013,LEN(K1013)-FIND("0x",K1013)-1),DEC2HEX(K1013))</f>
        <v>0</v>
      </c>
      <c r="M1013" s="10">
        <f t="shared" ref="M1013:M1076" si="475">HEX2DEC(L1013)</f>
        <v>0</v>
      </c>
      <c r="N1013" s="1">
        <f t="shared" si="465"/>
        <v>0</v>
      </c>
      <c r="O1013" s="1">
        <f t="shared" si="457"/>
        <v>0</v>
      </c>
      <c r="P1013" s="1">
        <f t="shared" ref="P1013:P1076" si="476">IFERROR(FIND("*/",$A1013,N1013+1),0)</f>
        <v>0</v>
      </c>
      <c r="Q1013" s="3" t="str">
        <f t="shared" si="456"/>
        <v/>
      </c>
      <c r="T1013" s="13" t="str">
        <f t="shared" si="466"/>
        <v/>
      </c>
      <c r="U1013" s="14" t="str">
        <f t="shared" si="467"/>
        <v/>
      </c>
      <c r="V1013" s="13" t="str">
        <f t="shared" si="468"/>
        <v/>
      </c>
      <c r="W1013" s="13" t="str">
        <f t="shared" si="469"/>
        <v/>
      </c>
      <c r="X1013" s="14" t="str">
        <f t="shared" si="470"/>
        <v/>
      </c>
    </row>
    <row r="1014" spans="2:24" x14ac:dyDescent="0.3">
      <c r="B1014" s="1">
        <f t="shared" si="458"/>
        <v>0</v>
      </c>
      <c r="C1014" s="1">
        <f t="shared" si="459"/>
        <v>0</v>
      </c>
      <c r="D1014" s="10">
        <f t="shared" si="460"/>
        <v>0</v>
      </c>
      <c r="E1014" s="1">
        <f t="shared" si="461"/>
        <v>0</v>
      </c>
      <c r="F1014" s="1">
        <f t="shared" si="462"/>
        <v>0</v>
      </c>
      <c r="G1014" s="1">
        <f t="shared" si="463"/>
        <v>0</v>
      </c>
      <c r="H1014" s="1">
        <f t="shared" si="471"/>
        <v>0</v>
      </c>
      <c r="I1014" s="10">
        <f t="shared" si="464"/>
        <v>0</v>
      </c>
      <c r="J1014" s="1">
        <f t="shared" si="472"/>
        <v>0</v>
      </c>
      <c r="K1014" s="1">
        <f t="shared" si="473"/>
        <v>0</v>
      </c>
      <c r="L1014" s="1" t="str">
        <f t="shared" si="474"/>
        <v>0</v>
      </c>
      <c r="M1014" s="10">
        <f t="shared" si="475"/>
        <v>0</v>
      </c>
      <c r="N1014" s="1">
        <f t="shared" si="465"/>
        <v>0</v>
      </c>
      <c r="O1014" s="1">
        <f t="shared" si="457"/>
        <v>0</v>
      </c>
      <c r="P1014" s="1">
        <f t="shared" si="476"/>
        <v>0</v>
      </c>
      <c r="Q1014" s="3" t="str">
        <f t="shared" si="456"/>
        <v/>
      </c>
      <c r="T1014" s="13" t="str">
        <f t="shared" si="466"/>
        <v/>
      </c>
      <c r="U1014" s="14" t="str">
        <f t="shared" si="467"/>
        <v/>
      </c>
      <c r="V1014" s="13" t="str">
        <f t="shared" si="468"/>
        <v/>
      </c>
      <c r="W1014" s="13" t="str">
        <f t="shared" si="469"/>
        <v/>
      </c>
      <c r="X1014" s="14" t="str">
        <f t="shared" si="470"/>
        <v/>
      </c>
    </row>
    <row r="1015" spans="2:24" x14ac:dyDescent="0.3">
      <c r="B1015" s="1">
        <f t="shared" si="458"/>
        <v>0</v>
      </c>
      <c r="C1015" s="1">
        <f t="shared" si="459"/>
        <v>0</v>
      </c>
      <c r="D1015" s="10">
        <f t="shared" si="460"/>
        <v>0</v>
      </c>
      <c r="E1015" s="1">
        <f t="shared" si="461"/>
        <v>0</v>
      </c>
      <c r="F1015" s="1">
        <f t="shared" si="462"/>
        <v>0</v>
      </c>
      <c r="G1015" s="1">
        <f t="shared" si="463"/>
        <v>0</v>
      </c>
      <c r="H1015" s="1">
        <f t="shared" si="471"/>
        <v>0</v>
      </c>
      <c r="I1015" s="10">
        <f t="shared" si="464"/>
        <v>0</v>
      </c>
      <c r="J1015" s="1">
        <f t="shared" si="472"/>
        <v>0</v>
      </c>
      <c r="K1015" s="1">
        <f t="shared" si="473"/>
        <v>0</v>
      </c>
      <c r="L1015" s="1" t="str">
        <f t="shared" si="474"/>
        <v>0</v>
      </c>
      <c r="M1015" s="10">
        <f t="shared" si="475"/>
        <v>0</v>
      </c>
      <c r="N1015" s="1">
        <f t="shared" si="465"/>
        <v>0</v>
      </c>
      <c r="O1015" s="1">
        <f t="shared" si="457"/>
        <v>0</v>
      </c>
      <c r="P1015" s="1">
        <f t="shared" si="476"/>
        <v>0</v>
      </c>
      <c r="Q1015" s="3" t="str">
        <f t="shared" si="456"/>
        <v/>
      </c>
      <c r="T1015" s="13" t="str">
        <f t="shared" si="466"/>
        <v/>
      </c>
      <c r="U1015" s="14" t="str">
        <f t="shared" si="467"/>
        <v/>
      </c>
      <c r="V1015" s="13" t="str">
        <f t="shared" si="468"/>
        <v/>
      </c>
      <c r="W1015" s="13" t="str">
        <f t="shared" si="469"/>
        <v/>
      </c>
      <c r="X1015" s="14" t="str">
        <f t="shared" si="470"/>
        <v/>
      </c>
    </row>
    <row r="1016" spans="2:24" x14ac:dyDescent="0.3">
      <c r="B1016" s="1">
        <f t="shared" si="458"/>
        <v>0</v>
      </c>
      <c r="C1016" s="1">
        <f t="shared" si="459"/>
        <v>0</v>
      </c>
      <c r="D1016" s="10">
        <f t="shared" si="460"/>
        <v>0</v>
      </c>
      <c r="E1016" s="1">
        <f t="shared" si="461"/>
        <v>0</v>
      </c>
      <c r="F1016" s="1">
        <f t="shared" si="462"/>
        <v>0</v>
      </c>
      <c r="G1016" s="1">
        <f t="shared" si="463"/>
        <v>0</v>
      </c>
      <c r="H1016" s="1">
        <f t="shared" si="471"/>
        <v>0</v>
      </c>
      <c r="I1016" s="10">
        <f t="shared" si="464"/>
        <v>0</v>
      </c>
      <c r="J1016" s="1">
        <f t="shared" si="472"/>
        <v>0</v>
      </c>
      <c r="K1016" s="1">
        <f t="shared" si="473"/>
        <v>0</v>
      </c>
      <c r="L1016" s="1" t="str">
        <f t="shared" si="474"/>
        <v>0</v>
      </c>
      <c r="M1016" s="10">
        <f t="shared" si="475"/>
        <v>0</v>
      </c>
      <c r="N1016" s="1">
        <f t="shared" si="465"/>
        <v>0</v>
      </c>
      <c r="O1016" s="1">
        <f t="shared" si="457"/>
        <v>0</v>
      </c>
      <c r="P1016" s="1">
        <f t="shared" si="476"/>
        <v>0</v>
      </c>
      <c r="Q1016" s="3" t="str">
        <f t="shared" si="456"/>
        <v/>
      </c>
      <c r="T1016" s="13" t="str">
        <f t="shared" si="466"/>
        <v/>
      </c>
      <c r="U1016" s="14" t="str">
        <f t="shared" si="467"/>
        <v/>
      </c>
      <c r="V1016" s="13" t="str">
        <f t="shared" si="468"/>
        <v/>
      </c>
      <c r="W1016" s="13" t="str">
        <f t="shared" si="469"/>
        <v/>
      </c>
      <c r="X1016" s="14" t="str">
        <f t="shared" si="470"/>
        <v/>
      </c>
    </row>
    <row r="1017" spans="2:24" x14ac:dyDescent="0.3">
      <c r="B1017" s="1">
        <f t="shared" si="458"/>
        <v>0</v>
      </c>
      <c r="C1017" s="1">
        <f t="shared" si="459"/>
        <v>0</v>
      </c>
      <c r="D1017" s="10">
        <f t="shared" si="460"/>
        <v>0</v>
      </c>
      <c r="E1017" s="1">
        <f t="shared" si="461"/>
        <v>0</v>
      </c>
      <c r="F1017" s="1">
        <f t="shared" si="462"/>
        <v>0</v>
      </c>
      <c r="G1017" s="1">
        <f t="shared" si="463"/>
        <v>0</v>
      </c>
      <c r="H1017" s="1">
        <f t="shared" si="471"/>
        <v>0</v>
      </c>
      <c r="I1017" s="10">
        <f t="shared" si="464"/>
        <v>0</v>
      </c>
      <c r="J1017" s="1">
        <f t="shared" si="472"/>
        <v>0</v>
      </c>
      <c r="K1017" s="1">
        <f t="shared" si="473"/>
        <v>0</v>
      </c>
      <c r="L1017" s="1" t="str">
        <f t="shared" si="474"/>
        <v>0</v>
      </c>
      <c r="M1017" s="10">
        <f t="shared" si="475"/>
        <v>0</v>
      </c>
      <c r="N1017" s="1">
        <f t="shared" si="465"/>
        <v>0</v>
      </c>
      <c r="O1017" s="1">
        <f t="shared" si="457"/>
        <v>0</v>
      </c>
      <c r="P1017" s="1">
        <f t="shared" si="476"/>
        <v>0</v>
      </c>
      <c r="Q1017" s="3" t="str">
        <f t="shared" si="456"/>
        <v/>
      </c>
      <c r="T1017" s="13" t="str">
        <f t="shared" si="466"/>
        <v/>
      </c>
      <c r="U1017" s="14" t="str">
        <f t="shared" si="467"/>
        <v/>
      </c>
      <c r="V1017" s="13" t="str">
        <f t="shared" si="468"/>
        <v/>
      </c>
      <c r="W1017" s="13" t="str">
        <f t="shared" si="469"/>
        <v/>
      </c>
      <c r="X1017" s="14" t="str">
        <f t="shared" si="470"/>
        <v/>
      </c>
    </row>
    <row r="1018" spans="2:24" x14ac:dyDescent="0.3">
      <c r="B1018" s="1">
        <f t="shared" si="458"/>
        <v>0</v>
      </c>
      <c r="C1018" s="1">
        <f t="shared" si="459"/>
        <v>0</v>
      </c>
      <c r="D1018" s="10">
        <f t="shared" si="460"/>
        <v>0</v>
      </c>
      <c r="E1018" s="1">
        <f t="shared" si="461"/>
        <v>0</v>
      </c>
      <c r="F1018" s="1">
        <f t="shared" si="462"/>
        <v>0</v>
      </c>
      <c r="G1018" s="1">
        <f t="shared" si="463"/>
        <v>0</v>
      </c>
      <c r="H1018" s="1">
        <f t="shared" si="471"/>
        <v>0</v>
      </c>
      <c r="I1018" s="10">
        <f t="shared" si="464"/>
        <v>0</v>
      </c>
      <c r="J1018" s="1">
        <f t="shared" si="472"/>
        <v>0</v>
      </c>
      <c r="K1018" s="1">
        <f t="shared" si="473"/>
        <v>0</v>
      </c>
      <c r="L1018" s="1" t="str">
        <f t="shared" si="474"/>
        <v>0</v>
      </c>
      <c r="M1018" s="10">
        <f t="shared" si="475"/>
        <v>0</v>
      </c>
      <c r="N1018" s="1">
        <f t="shared" si="465"/>
        <v>0</v>
      </c>
      <c r="O1018" s="1">
        <f t="shared" si="457"/>
        <v>0</v>
      </c>
      <c r="P1018" s="1">
        <f t="shared" si="476"/>
        <v>0</v>
      </c>
      <c r="Q1018" s="3" t="str">
        <f t="shared" si="456"/>
        <v/>
      </c>
      <c r="T1018" s="13" t="str">
        <f t="shared" si="466"/>
        <v/>
      </c>
      <c r="U1018" s="14" t="str">
        <f t="shared" si="467"/>
        <v/>
      </c>
      <c r="V1018" s="13" t="str">
        <f t="shared" si="468"/>
        <v/>
      </c>
      <c r="W1018" s="13" t="str">
        <f t="shared" si="469"/>
        <v/>
      </c>
      <c r="X1018" s="14" t="str">
        <f t="shared" si="470"/>
        <v/>
      </c>
    </row>
    <row r="1019" spans="2:24" x14ac:dyDescent="0.3">
      <c r="B1019" s="1">
        <f t="shared" si="458"/>
        <v>0</v>
      </c>
      <c r="C1019" s="1">
        <f t="shared" si="459"/>
        <v>0</v>
      </c>
      <c r="D1019" s="10">
        <f t="shared" si="460"/>
        <v>0</v>
      </c>
      <c r="E1019" s="1">
        <f t="shared" si="461"/>
        <v>0</v>
      </c>
      <c r="F1019" s="1">
        <f t="shared" si="462"/>
        <v>0</v>
      </c>
      <c r="G1019" s="1">
        <f t="shared" si="463"/>
        <v>0</v>
      </c>
      <c r="H1019" s="1">
        <f t="shared" si="471"/>
        <v>0</v>
      </c>
      <c r="I1019" s="10">
        <f t="shared" si="464"/>
        <v>0</v>
      </c>
      <c r="J1019" s="1">
        <f t="shared" si="472"/>
        <v>0</v>
      </c>
      <c r="K1019" s="1">
        <f t="shared" si="473"/>
        <v>0</v>
      </c>
      <c r="L1019" s="1" t="str">
        <f t="shared" si="474"/>
        <v>0</v>
      </c>
      <c r="M1019" s="10">
        <f t="shared" si="475"/>
        <v>0</v>
      </c>
      <c r="N1019" s="1">
        <f t="shared" si="465"/>
        <v>0</v>
      </c>
      <c r="O1019" s="1">
        <f t="shared" si="457"/>
        <v>0</v>
      </c>
      <c r="P1019" s="1">
        <f t="shared" si="476"/>
        <v>0</v>
      </c>
      <c r="Q1019" s="3" t="str">
        <f t="shared" si="456"/>
        <v/>
      </c>
      <c r="T1019" s="13" t="str">
        <f t="shared" si="466"/>
        <v/>
      </c>
      <c r="U1019" s="14" t="str">
        <f t="shared" si="467"/>
        <v/>
      </c>
      <c r="V1019" s="13" t="str">
        <f t="shared" si="468"/>
        <v/>
      </c>
      <c r="W1019" s="13" t="str">
        <f t="shared" si="469"/>
        <v/>
      </c>
      <c r="X1019" s="14" t="str">
        <f t="shared" si="470"/>
        <v/>
      </c>
    </row>
    <row r="1020" spans="2:24" x14ac:dyDescent="0.3">
      <c r="B1020" s="1">
        <f t="shared" si="458"/>
        <v>0</v>
      </c>
      <c r="C1020" s="1">
        <f t="shared" si="459"/>
        <v>0</v>
      </c>
      <c r="D1020" s="10">
        <f t="shared" si="460"/>
        <v>0</v>
      </c>
      <c r="E1020" s="1">
        <f t="shared" si="461"/>
        <v>0</v>
      </c>
      <c r="F1020" s="1">
        <f t="shared" si="462"/>
        <v>0</v>
      </c>
      <c r="G1020" s="1">
        <f t="shared" si="463"/>
        <v>0</v>
      </c>
      <c r="H1020" s="1">
        <f t="shared" si="471"/>
        <v>0</v>
      </c>
      <c r="I1020" s="10">
        <f t="shared" si="464"/>
        <v>0</v>
      </c>
      <c r="J1020" s="1">
        <f t="shared" si="472"/>
        <v>0</v>
      </c>
      <c r="K1020" s="1">
        <f t="shared" si="473"/>
        <v>0</v>
      </c>
      <c r="L1020" s="1" t="str">
        <f t="shared" si="474"/>
        <v>0</v>
      </c>
      <c r="M1020" s="10">
        <f t="shared" si="475"/>
        <v>0</v>
      </c>
      <c r="N1020" s="1">
        <f t="shared" si="465"/>
        <v>0</v>
      </c>
      <c r="O1020" s="1">
        <f t="shared" si="457"/>
        <v>0</v>
      </c>
      <c r="P1020" s="1">
        <f t="shared" si="476"/>
        <v>0</v>
      </c>
      <c r="Q1020" s="3" t="str">
        <f t="shared" si="456"/>
        <v/>
      </c>
      <c r="T1020" s="13" t="str">
        <f t="shared" si="466"/>
        <v/>
      </c>
      <c r="U1020" s="14" t="str">
        <f t="shared" si="467"/>
        <v/>
      </c>
      <c r="V1020" s="13" t="str">
        <f t="shared" si="468"/>
        <v/>
      </c>
      <c r="W1020" s="13" t="str">
        <f t="shared" si="469"/>
        <v/>
      </c>
      <c r="X1020" s="14" t="str">
        <f t="shared" si="470"/>
        <v/>
      </c>
    </row>
    <row r="1021" spans="2:24" x14ac:dyDescent="0.3">
      <c r="B1021" s="1">
        <f t="shared" si="458"/>
        <v>0</v>
      </c>
      <c r="C1021" s="1">
        <f t="shared" si="459"/>
        <v>0</v>
      </c>
      <c r="D1021" s="10">
        <f t="shared" si="460"/>
        <v>0</v>
      </c>
      <c r="E1021" s="1">
        <f t="shared" si="461"/>
        <v>0</v>
      </c>
      <c r="F1021" s="1">
        <f t="shared" si="462"/>
        <v>0</v>
      </c>
      <c r="G1021" s="1">
        <f t="shared" si="463"/>
        <v>0</v>
      </c>
      <c r="H1021" s="1">
        <f t="shared" si="471"/>
        <v>0</v>
      </c>
      <c r="I1021" s="10">
        <f t="shared" si="464"/>
        <v>0</v>
      </c>
      <c r="J1021" s="1">
        <f t="shared" si="472"/>
        <v>0</v>
      </c>
      <c r="K1021" s="1">
        <f t="shared" si="473"/>
        <v>0</v>
      </c>
      <c r="L1021" s="1" t="str">
        <f t="shared" si="474"/>
        <v>0</v>
      </c>
      <c r="M1021" s="10">
        <f t="shared" si="475"/>
        <v>0</v>
      </c>
      <c r="N1021" s="1">
        <f t="shared" si="465"/>
        <v>0</v>
      </c>
      <c r="O1021" s="1">
        <f t="shared" si="457"/>
        <v>0</v>
      </c>
      <c r="P1021" s="1">
        <f t="shared" si="476"/>
        <v>0</v>
      </c>
      <c r="Q1021" s="3" t="str">
        <f t="shared" si="456"/>
        <v/>
      </c>
      <c r="T1021" s="13" t="str">
        <f t="shared" si="466"/>
        <v/>
      </c>
      <c r="U1021" s="14" t="str">
        <f t="shared" si="467"/>
        <v/>
      </c>
      <c r="V1021" s="13" t="str">
        <f t="shared" si="468"/>
        <v/>
      </c>
      <c r="W1021" s="13" t="str">
        <f t="shared" si="469"/>
        <v/>
      </c>
      <c r="X1021" s="14" t="str">
        <f t="shared" si="470"/>
        <v/>
      </c>
    </row>
    <row r="1022" spans="2:24" x14ac:dyDescent="0.3">
      <c r="B1022" s="1">
        <f t="shared" si="458"/>
        <v>0</v>
      </c>
      <c r="C1022" s="1">
        <f t="shared" si="459"/>
        <v>0</v>
      </c>
      <c r="D1022" s="10">
        <f t="shared" si="460"/>
        <v>0</v>
      </c>
      <c r="E1022" s="1">
        <f t="shared" si="461"/>
        <v>0</v>
      </c>
      <c r="F1022" s="1">
        <f t="shared" si="462"/>
        <v>0</v>
      </c>
      <c r="G1022" s="1">
        <f t="shared" si="463"/>
        <v>0</v>
      </c>
      <c r="H1022" s="1">
        <f t="shared" si="471"/>
        <v>0</v>
      </c>
      <c r="I1022" s="10">
        <f t="shared" si="464"/>
        <v>0</v>
      </c>
      <c r="J1022" s="1">
        <f t="shared" si="472"/>
        <v>0</v>
      </c>
      <c r="K1022" s="1">
        <f t="shared" si="473"/>
        <v>0</v>
      </c>
      <c r="L1022" s="1" t="str">
        <f t="shared" si="474"/>
        <v>0</v>
      </c>
      <c r="M1022" s="10">
        <f t="shared" si="475"/>
        <v>0</v>
      </c>
      <c r="N1022" s="1">
        <f t="shared" si="465"/>
        <v>0</v>
      </c>
      <c r="O1022" s="1">
        <f t="shared" si="457"/>
        <v>0</v>
      </c>
      <c r="P1022" s="1">
        <f t="shared" si="476"/>
        <v>0</v>
      </c>
      <c r="Q1022" s="3" t="str">
        <f t="shared" si="456"/>
        <v/>
      </c>
      <c r="T1022" s="13" t="str">
        <f t="shared" si="466"/>
        <v/>
      </c>
      <c r="U1022" s="14" t="str">
        <f t="shared" si="467"/>
        <v/>
      </c>
      <c r="V1022" s="13" t="str">
        <f t="shared" si="468"/>
        <v/>
      </c>
      <c r="W1022" s="13" t="str">
        <f t="shared" si="469"/>
        <v/>
      </c>
      <c r="X1022" s="14" t="str">
        <f t="shared" si="470"/>
        <v/>
      </c>
    </row>
    <row r="1023" spans="2:24" x14ac:dyDescent="0.3">
      <c r="B1023" s="1">
        <f t="shared" si="458"/>
        <v>0</v>
      </c>
      <c r="C1023" s="1">
        <f t="shared" si="459"/>
        <v>0</v>
      </c>
      <c r="D1023" s="10">
        <f t="shared" si="460"/>
        <v>0</v>
      </c>
      <c r="E1023" s="1">
        <f t="shared" si="461"/>
        <v>0</v>
      </c>
      <c r="F1023" s="1">
        <f t="shared" si="462"/>
        <v>0</v>
      </c>
      <c r="G1023" s="1">
        <f t="shared" si="463"/>
        <v>0</v>
      </c>
      <c r="H1023" s="1">
        <f t="shared" si="471"/>
        <v>0</v>
      </c>
      <c r="I1023" s="10">
        <f t="shared" si="464"/>
        <v>0</v>
      </c>
      <c r="J1023" s="1">
        <f t="shared" si="472"/>
        <v>0</v>
      </c>
      <c r="K1023" s="1">
        <f t="shared" si="473"/>
        <v>0</v>
      </c>
      <c r="L1023" s="1" t="str">
        <f t="shared" si="474"/>
        <v>0</v>
      </c>
      <c r="M1023" s="10">
        <f t="shared" si="475"/>
        <v>0</v>
      </c>
      <c r="N1023" s="1">
        <f t="shared" si="465"/>
        <v>0</v>
      </c>
      <c r="O1023" s="1">
        <f t="shared" si="457"/>
        <v>0</v>
      </c>
      <c r="P1023" s="1">
        <f t="shared" si="476"/>
        <v>0</v>
      </c>
      <c r="Q1023" s="3" t="str">
        <f t="shared" si="456"/>
        <v/>
      </c>
      <c r="T1023" s="13" t="str">
        <f t="shared" si="466"/>
        <v/>
      </c>
      <c r="U1023" s="14" t="str">
        <f t="shared" si="467"/>
        <v/>
      </c>
      <c r="V1023" s="13" t="str">
        <f t="shared" si="468"/>
        <v/>
      </c>
      <c r="W1023" s="13" t="str">
        <f t="shared" si="469"/>
        <v/>
      </c>
      <c r="X1023" s="14" t="str">
        <f t="shared" si="470"/>
        <v/>
      </c>
    </row>
    <row r="1024" spans="2:24" x14ac:dyDescent="0.3">
      <c r="B1024" s="1">
        <f t="shared" si="458"/>
        <v>0</v>
      </c>
      <c r="C1024" s="1">
        <f t="shared" si="459"/>
        <v>0</v>
      </c>
      <c r="D1024" s="10">
        <f t="shared" si="460"/>
        <v>0</v>
      </c>
      <c r="E1024" s="1">
        <f t="shared" si="461"/>
        <v>0</v>
      </c>
      <c r="F1024" s="1">
        <f t="shared" si="462"/>
        <v>0</v>
      </c>
      <c r="G1024" s="1">
        <f t="shared" si="463"/>
        <v>0</v>
      </c>
      <c r="H1024" s="1">
        <f t="shared" si="471"/>
        <v>0</v>
      </c>
      <c r="I1024" s="10">
        <f t="shared" si="464"/>
        <v>0</v>
      </c>
      <c r="J1024" s="1">
        <f t="shared" si="472"/>
        <v>0</v>
      </c>
      <c r="K1024" s="1">
        <f t="shared" si="473"/>
        <v>0</v>
      </c>
      <c r="L1024" s="1" t="str">
        <f t="shared" si="474"/>
        <v>0</v>
      </c>
      <c r="M1024" s="10">
        <f t="shared" si="475"/>
        <v>0</v>
      </c>
      <c r="N1024" s="1">
        <f t="shared" si="465"/>
        <v>0</v>
      </c>
      <c r="O1024" s="1">
        <f t="shared" si="457"/>
        <v>0</v>
      </c>
      <c r="P1024" s="1">
        <f t="shared" si="476"/>
        <v>0</v>
      </c>
      <c r="Q1024" s="3" t="str">
        <f t="shared" si="456"/>
        <v/>
      </c>
      <c r="T1024" s="13" t="str">
        <f t="shared" si="466"/>
        <v/>
      </c>
      <c r="U1024" s="14" t="str">
        <f t="shared" si="467"/>
        <v/>
      </c>
      <c r="V1024" s="13" t="str">
        <f t="shared" si="468"/>
        <v/>
      </c>
      <c r="W1024" s="13" t="str">
        <f t="shared" si="469"/>
        <v/>
      </c>
      <c r="X1024" s="14" t="str">
        <f t="shared" si="470"/>
        <v/>
      </c>
    </row>
    <row r="1025" spans="2:24" x14ac:dyDescent="0.3">
      <c r="B1025" s="1">
        <f t="shared" si="458"/>
        <v>0</v>
      </c>
      <c r="C1025" s="1">
        <f t="shared" si="459"/>
        <v>0</v>
      </c>
      <c r="D1025" s="10">
        <f t="shared" si="460"/>
        <v>0</v>
      </c>
      <c r="E1025" s="1">
        <f t="shared" si="461"/>
        <v>0</v>
      </c>
      <c r="F1025" s="1">
        <f t="shared" si="462"/>
        <v>0</v>
      </c>
      <c r="G1025" s="1">
        <f t="shared" si="463"/>
        <v>0</v>
      </c>
      <c r="H1025" s="1">
        <f t="shared" si="471"/>
        <v>0</v>
      </c>
      <c r="I1025" s="10">
        <f t="shared" si="464"/>
        <v>0</v>
      </c>
      <c r="J1025" s="1">
        <f t="shared" si="472"/>
        <v>0</v>
      </c>
      <c r="K1025" s="1">
        <f t="shared" si="473"/>
        <v>0</v>
      </c>
      <c r="L1025" s="1" t="str">
        <f t="shared" si="474"/>
        <v>0</v>
      </c>
      <c r="M1025" s="10">
        <f t="shared" si="475"/>
        <v>0</v>
      </c>
      <c r="N1025" s="1">
        <f t="shared" si="465"/>
        <v>0</v>
      </c>
      <c r="O1025" s="1">
        <f t="shared" si="457"/>
        <v>0</v>
      </c>
      <c r="P1025" s="1">
        <f t="shared" si="476"/>
        <v>0</v>
      </c>
      <c r="Q1025" s="3" t="str">
        <f t="shared" si="456"/>
        <v/>
      </c>
      <c r="T1025" s="13" t="str">
        <f t="shared" si="466"/>
        <v/>
      </c>
      <c r="U1025" s="14" t="str">
        <f t="shared" si="467"/>
        <v/>
      </c>
      <c r="V1025" s="13" t="str">
        <f t="shared" si="468"/>
        <v/>
      </c>
      <c r="W1025" s="13" t="str">
        <f t="shared" si="469"/>
        <v/>
      </c>
      <c r="X1025" s="14" t="str">
        <f t="shared" si="470"/>
        <v/>
      </c>
    </row>
    <row r="1026" spans="2:24" x14ac:dyDescent="0.3">
      <c r="B1026" s="1">
        <f t="shared" si="458"/>
        <v>0</v>
      </c>
      <c r="C1026" s="1">
        <f t="shared" si="459"/>
        <v>0</v>
      </c>
      <c r="D1026" s="10">
        <f t="shared" si="460"/>
        <v>0</v>
      </c>
      <c r="E1026" s="1">
        <f t="shared" si="461"/>
        <v>0</v>
      </c>
      <c r="F1026" s="1">
        <f t="shared" si="462"/>
        <v>0</v>
      </c>
      <c r="G1026" s="1">
        <f t="shared" si="463"/>
        <v>0</v>
      </c>
      <c r="H1026" s="1">
        <f t="shared" si="471"/>
        <v>0</v>
      </c>
      <c r="I1026" s="10">
        <f t="shared" si="464"/>
        <v>0</v>
      </c>
      <c r="J1026" s="1">
        <f t="shared" si="472"/>
        <v>0</v>
      </c>
      <c r="K1026" s="1">
        <f t="shared" si="473"/>
        <v>0</v>
      </c>
      <c r="L1026" s="1" t="str">
        <f t="shared" si="474"/>
        <v>0</v>
      </c>
      <c r="M1026" s="10">
        <f t="shared" si="475"/>
        <v>0</v>
      </c>
      <c r="N1026" s="1">
        <f t="shared" si="465"/>
        <v>0</v>
      </c>
      <c r="O1026" s="1">
        <f t="shared" si="457"/>
        <v>0</v>
      </c>
      <c r="P1026" s="1">
        <f t="shared" si="476"/>
        <v>0</v>
      </c>
      <c r="Q1026" s="3" t="str">
        <f t="shared" si="456"/>
        <v/>
      </c>
      <c r="T1026" s="13" t="str">
        <f t="shared" si="466"/>
        <v/>
      </c>
      <c r="U1026" s="14" t="str">
        <f t="shared" si="467"/>
        <v/>
      </c>
      <c r="V1026" s="13" t="str">
        <f t="shared" si="468"/>
        <v/>
      </c>
      <c r="W1026" s="13" t="str">
        <f t="shared" si="469"/>
        <v/>
      </c>
      <c r="X1026" s="14" t="str">
        <f t="shared" si="470"/>
        <v/>
      </c>
    </row>
    <row r="1027" spans="2:24" x14ac:dyDescent="0.3">
      <c r="B1027" s="1">
        <f t="shared" si="458"/>
        <v>0</v>
      </c>
      <c r="C1027" s="1">
        <f t="shared" si="459"/>
        <v>0</v>
      </c>
      <c r="D1027" s="10">
        <f t="shared" si="460"/>
        <v>0</v>
      </c>
      <c r="E1027" s="1">
        <f t="shared" si="461"/>
        <v>0</v>
      </c>
      <c r="F1027" s="1">
        <f t="shared" si="462"/>
        <v>0</v>
      </c>
      <c r="G1027" s="1">
        <f t="shared" si="463"/>
        <v>0</v>
      </c>
      <c r="H1027" s="1">
        <f t="shared" si="471"/>
        <v>0</v>
      </c>
      <c r="I1027" s="10">
        <f t="shared" si="464"/>
        <v>0</v>
      </c>
      <c r="J1027" s="1">
        <f t="shared" si="472"/>
        <v>0</v>
      </c>
      <c r="K1027" s="1">
        <f t="shared" si="473"/>
        <v>0</v>
      </c>
      <c r="L1027" s="1" t="str">
        <f t="shared" si="474"/>
        <v>0</v>
      </c>
      <c r="M1027" s="10">
        <f t="shared" si="475"/>
        <v>0</v>
      </c>
      <c r="N1027" s="1">
        <f t="shared" si="465"/>
        <v>0</v>
      </c>
      <c r="O1027" s="1">
        <f t="shared" si="457"/>
        <v>0</v>
      </c>
      <c r="P1027" s="1">
        <f t="shared" si="476"/>
        <v>0</v>
      </c>
      <c r="Q1027" s="3" t="str">
        <f t="shared" si="456"/>
        <v/>
      </c>
      <c r="T1027" s="13" t="str">
        <f t="shared" si="466"/>
        <v/>
      </c>
      <c r="U1027" s="14" t="str">
        <f t="shared" si="467"/>
        <v/>
      </c>
      <c r="V1027" s="13" t="str">
        <f t="shared" si="468"/>
        <v/>
      </c>
      <c r="W1027" s="13" t="str">
        <f t="shared" si="469"/>
        <v/>
      </c>
      <c r="X1027" s="14" t="str">
        <f t="shared" si="470"/>
        <v/>
      </c>
    </row>
    <row r="1028" spans="2:24" x14ac:dyDescent="0.3">
      <c r="B1028" s="1">
        <f t="shared" si="458"/>
        <v>0</v>
      </c>
      <c r="C1028" s="1">
        <f t="shared" si="459"/>
        <v>0</v>
      </c>
      <c r="D1028" s="10">
        <f t="shared" si="460"/>
        <v>0</v>
      </c>
      <c r="E1028" s="1">
        <f t="shared" si="461"/>
        <v>0</v>
      </c>
      <c r="F1028" s="1">
        <f t="shared" si="462"/>
        <v>0</v>
      </c>
      <c r="G1028" s="1">
        <f t="shared" si="463"/>
        <v>0</v>
      </c>
      <c r="H1028" s="1">
        <f t="shared" si="471"/>
        <v>0</v>
      </c>
      <c r="I1028" s="10">
        <f t="shared" si="464"/>
        <v>0</v>
      </c>
      <c r="J1028" s="1">
        <f t="shared" si="472"/>
        <v>0</v>
      </c>
      <c r="K1028" s="1">
        <f t="shared" si="473"/>
        <v>0</v>
      </c>
      <c r="L1028" s="1" t="str">
        <f t="shared" si="474"/>
        <v>0</v>
      </c>
      <c r="M1028" s="10">
        <f t="shared" si="475"/>
        <v>0</v>
      </c>
      <c r="N1028" s="1">
        <f t="shared" si="465"/>
        <v>0</v>
      </c>
      <c r="O1028" s="1">
        <f t="shared" si="457"/>
        <v>0</v>
      </c>
      <c r="P1028" s="1">
        <f t="shared" si="476"/>
        <v>0</v>
      </c>
      <c r="Q1028" s="3" t="str">
        <f t="shared" ref="Q1028:Q1091" si="477">IF($N1028&gt;0,MID($A1028,($N1028+$O1028),$P1028-($N1028+$O1028)),"")</f>
        <v/>
      </c>
      <c r="T1028" s="13" t="str">
        <f t="shared" si="466"/>
        <v/>
      </c>
      <c r="U1028" s="14" t="str">
        <f t="shared" si="467"/>
        <v/>
      </c>
      <c r="V1028" s="13" t="str">
        <f t="shared" si="468"/>
        <v/>
      </c>
      <c r="W1028" s="13" t="str">
        <f t="shared" si="469"/>
        <v/>
      </c>
      <c r="X1028" s="14" t="str">
        <f t="shared" si="470"/>
        <v/>
      </c>
    </row>
    <row r="1029" spans="2:24" x14ac:dyDescent="0.3">
      <c r="B1029" s="1">
        <f t="shared" si="458"/>
        <v>0</v>
      </c>
      <c r="C1029" s="1">
        <f t="shared" si="459"/>
        <v>0</v>
      </c>
      <c r="D1029" s="10">
        <f t="shared" si="460"/>
        <v>0</v>
      </c>
      <c r="E1029" s="1">
        <f t="shared" si="461"/>
        <v>0</v>
      </c>
      <c r="F1029" s="1">
        <f t="shared" si="462"/>
        <v>0</v>
      </c>
      <c r="G1029" s="1">
        <f t="shared" si="463"/>
        <v>0</v>
      </c>
      <c r="H1029" s="1">
        <f t="shared" si="471"/>
        <v>0</v>
      </c>
      <c r="I1029" s="10">
        <f t="shared" si="464"/>
        <v>0</v>
      </c>
      <c r="J1029" s="1">
        <f t="shared" si="472"/>
        <v>0</v>
      </c>
      <c r="K1029" s="1">
        <f t="shared" si="473"/>
        <v>0</v>
      </c>
      <c r="L1029" s="1" t="str">
        <f t="shared" si="474"/>
        <v>0</v>
      </c>
      <c r="M1029" s="10">
        <f t="shared" si="475"/>
        <v>0</v>
      </c>
      <c r="N1029" s="1">
        <f t="shared" si="465"/>
        <v>0</v>
      </c>
      <c r="O1029" s="1">
        <f t="shared" ref="O1029:O1092" si="478">IFERROR(FIND("#",$A1029)+1-N1029,0)</f>
        <v>0</v>
      </c>
      <c r="P1029" s="1">
        <f t="shared" si="476"/>
        <v>0</v>
      </c>
      <c r="Q1029" s="3" t="str">
        <f t="shared" si="477"/>
        <v/>
      </c>
      <c r="T1029" s="13" t="str">
        <f t="shared" si="466"/>
        <v/>
      </c>
      <c r="U1029" s="14" t="str">
        <f t="shared" si="467"/>
        <v/>
      </c>
      <c r="V1029" s="13" t="str">
        <f t="shared" si="468"/>
        <v/>
      </c>
      <c r="W1029" s="13" t="str">
        <f t="shared" si="469"/>
        <v/>
      </c>
      <c r="X1029" s="14" t="str">
        <f t="shared" si="470"/>
        <v/>
      </c>
    </row>
    <row r="1030" spans="2:24" x14ac:dyDescent="0.3">
      <c r="B1030" s="1">
        <f t="shared" si="458"/>
        <v>0</v>
      </c>
      <c r="C1030" s="1">
        <f t="shared" si="459"/>
        <v>0</v>
      </c>
      <c r="D1030" s="10">
        <f t="shared" si="460"/>
        <v>0</v>
      </c>
      <c r="E1030" s="1">
        <f t="shared" si="461"/>
        <v>0</v>
      </c>
      <c r="F1030" s="1">
        <f t="shared" si="462"/>
        <v>0</v>
      </c>
      <c r="G1030" s="1">
        <f t="shared" si="463"/>
        <v>0</v>
      </c>
      <c r="H1030" s="1">
        <f t="shared" si="471"/>
        <v>0</v>
      </c>
      <c r="I1030" s="10">
        <f t="shared" si="464"/>
        <v>0</v>
      </c>
      <c r="J1030" s="1">
        <f t="shared" si="472"/>
        <v>0</v>
      </c>
      <c r="K1030" s="1">
        <f t="shared" si="473"/>
        <v>0</v>
      </c>
      <c r="L1030" s="1" t="str">
        <f t="shared" si="474"/>
        <v>0</v>
      </c>
      <c r="M1030" s="10">
        <f t="shared" si="475"/>
        <v>0</v>
      </c>
      <c r="N1030" s="1">
        <f t="shared" si="465"/>
        <v>0</v>
      </c>
      <c r="O1030" s="1">
        <f t="shared" si="478"/>
        <v>0</v>
      </c>
      <c r="P1030" s="1">
        <f t="shared" si="476"/>
        <v>0</v>
      </c>
      <c r="Q1030" s="3" t="str">
        <f t="shared" si="477"/>
        <v/>
      </c>
      <c r="T1030" s="13" t="str">
        <f t="shared" si="466"/>
        <v/>
      </c>
      <c r="U1030" s="14" t="str">
        <f t="shared" si="467"/>
        <v/>
      </c>
      <c r="V1030" s="13" t="str">
        <f t="shared" si="468"/>
        <v/>
      </c>
      <c r="W1030" s="13" t="str">
        <f t="shared" si="469"/>
        <v/>
      </c>
      <c r="X1030" s="14" t="str">
        <f t="shared" si="470"/>
        <v/>
      </c>
    </row>
    <row r="1031" spans="2:24" x14ac:dyDescent="0.3">
      <c r="B1031" s="1">
        <f t="shared" ref="B1031:B1094" si="479">IFERROR(FIND("UP_SET(",$A1031)+7,0)</f>
        <v>0</v>
      </c>
      <c r="C1031" s="1">
        <f t="shared" ref="C1031:C1094" si="480">IF($B1031&gt;0,FIND(",",$A1031,$B1031),0)</f>
        <v>0</v>
      </c>
      <c r="D1031" s="10">
        <f t="shared" ref="D1031:D1094" si="481">IF($B1031&gt;0,MID($A1031,$B1031,$C1031-$B1031),0)</f>
        <v>0</v>
      </c>
      <c r="E1031" s="1">
        <f t="shared" ref="E1031:E1094" si="482">IF($B1031&gt;0,FIND("Up",$A1031,$C1031),0)</f>
        <v>0</v>
      </c>
      <c r="F1031" s="1">
        <f t="shared" ref="F1031:F1094" si="483">IF($B1031&gt;0,IFERROR(FIND(",",$A1031,$E1031),0),0)</f>
        <v>0</v>
      </c>
      <c r="G1031" s="1">
        <f t="shared" ref="G1031:G1094" si="484">IF($B1031&gt;0,FIND(")",$A1031,$B1031),0)</f>
        <v>0</v>
      </c>
      <c r="H1031" s="1">
        <f t="shared" si="471"/>
        <v>0</v>
      </c>
      <c r="I1031" s="10">
        <f t="shared" ref="I1031:I1094" si="485">IF($B1031&gt;0,MID($A1031,$E1031,$H1031-$E1031),0)</f>
        <v>0</v>
      </c>
      <c r="J1031" s="1">
        <f t="shared" si="472"/>
        <v>0</v>
      </c>
      <c r="K1031" s="1">
        <f t="shared" si="473"/>
        <v>0</v>
      </c>
      <c r="L1031" s="1" t="str">
        <f t="shared" si="474"/>
        <v>0</v>
      </c>
      <c r="M1031" s="10">
        <f t="shared" si="475"/>
        <v>0</v>
      </c>
      <c r="N1031" s="1">
        <f t="shared" ref="N1031:N1094" si="486">IFERROR(FIND("/*",$A1031)+2,0)</f>
        <v>0</v>
      </c>
      <c r="O1031" s="1">
        <f t="shared" si="478"/>
        <v>0</v>
      </c>
      <c r="P1031" s="1">
        <f t="shared" si="476"/>
        <v>0</v>
      </c>
      <c r="Q1031" s="3" t="str">
        <f t="shared" si="477"/>
        <v/>
      </c>
      <c r="T1031" s="13" t="str">
        <f t="shared" si="466"/>
        <v/>
      </c>
      <c r="U1031" s="14" t="str">
        <f t="shared" si="467"/>
        <v/>
      </c>
      <c r="V1031" s="13" t="str">
        <f t="shared" si="468"/>
        <v/>
      </c>
      <c r="W1031" s="13" t="str">
        <f t="shared" si="469"/>
        <v/>
      </c>
      <c r="X1031" s="14" t="str">
        <f t="shared" si="470"/>
        <v/>
      </c>
    </row>
    <row r="1032" spans="2:24" x14ac:dyDescent="0.3">
      <c r="B1032" s="1">
        <f t="shared" si="479"/>
        <v>0</v>
      </c>
      <c r="C1032" s="1">
        <f t="shared" si="480"/>
        <v>0</v>
      </c>
      <c r="D1032" s="10">
        <f t="shared" si="481"/>
        <v>0</v>
      </c>
      <c r="E1032" s="1">
        <f t="shared" si="482"/>
        <v>0</v>
      </c>
      <c r="F1032" s="1">
        <f t="shared" si="483"/>
        <v>0</v>
      </c>
      <c r="G1032" s="1">
        <f t="shared" si="484"/>
        <v>0</v>
      </c>
      <c r="H1032" s="1">
        <f t="shared" si="471"/>
        <v>0</v>
      </c>
      <c r="I1032" s="10">
        <f t="shared" si="485"/>
        <v>0</v>
      </c>
      <c r="J1032" s="1">
        <f t="shared" si="472"/>
        <v>0</v>
      </c>
      <c r="K1032" s="1">
        <f t="shared" si="473"/>
        <v>0</v>
      </c>
      <c r="L1032" s="1" t="str">
        <f t="shared" si="474"/>
        <v>0</v>
      </c>
      <c r="M1032" s="10">
        <f t="shared" si="475"/>
        <v>0</v>
      </c>
      <c r="N1032" s="1">
        <f t="shared" si="486"/>
        <v>0</v>
      </c>
      <c r="O1032" s="1">
        <f t="shared" si="478"/>
        <v>0</v>
      </c>
      <c r="P1032" s="1">
        <f t="shared" si="476"/>
        <v>0</v>
      </c>
      <c r="Q1032" s="3" t="str">
        <f t="shared" si="477"/>
        <v/>
      </c>
      <c r="T1032" s="13" t="str">
        <f t="shared" si="466"/>
        <v/>
      </c>
      <c r="U1032" s="14" t="str">
        <f t="shared" si="467"/>
        <v/>
      </c>
      <c r="V1032" s="13" t="str">
        <f t="shared" si="468"/>
        <v/>
      </c>
      <c r="W1032" s="13" t="str">
        <f t="shared" si="469"/>
        <v/>
      </c>
      <c r="X1032" s="14" t="str">
        <f t="shared" si="470"/>
        <v/>
      </c>
    </row>
    <row r="1033" spans="2:24" x14ac:dyDescent="0.3">
      <c r="B1033" s="1">
        <f t="shared" si="479"/>
        <v>0</v>
      </c>
      <c r="C1033" s="1">
        <f t="shared" si="480"/>
        <v>0</v>
      </c>
      <c r="D1033" s="10">
        <f t="shared" si="481"/>
        <v>0</v>
      </c>
      <c r="E1033" s="1">
        <f t="shared" si="482"/>
        <v>0</v>
      </c>
      <c r="F1033" s="1">
        <f t="shared" si="483"/>
        <v>0</v>
      </c>
      <c r="G1033" s="1">
        <f t="shared" si="484"/>
        <v>0</v>
      </c>
      <c r="H1033" s="1">
        <f t="shared" si="471"/>
        <v>0</v>
      </c>
      <c r="I1033" s="10">
        <f t="shared" si="485"/>
        <v>0</v>
      </c>
      <c r="J1033" s="1">
        <f t="shared" si="472"/>
        <v>0</v>
      </c>
      <c r="K1033" s="1">
        <f t="shared" si="473"/>
        <v>0</v>
      </c>
      <c r="L1033" s="1" t="str">
        <f t="shared" si="474"/>
        <v>0</v>
      </c>
      <c r="M1033" s="10">
        <f t="shared" si="475"/>
        <v>0</v>
      </c>
      <c r="N1033" s="1">
        <f t="shared" si="486"/>
        <v>0</v>
      </c>
      <c r="O1033" s="1">
        <f t="shared" si="478"/>
        <v>0</v>
      </c>
      <c r="P1033" s="1">
        <f t="shared" si="476"/>
        <v>0</v>
      </c>
      <c r="Q1033" s="3" t="str">
        <f t="shared" si="477"/>
        <v/>
      </c>
      <c r="T1033" s="13" t="str">
        <f t="shared" si="466"/>
        <v/>
      </c>
      <c r="U1033" s="14" t="str">
        <f t="shared" si="467"/>
        <v/>
      </c>
      <c r="V1033" s="13" t="str">
        <f t="shared" si="468"/>
        <v/>
      </c>
      <c r="W1033" s="13" t="str">
        <f t="shared" si="469"/>
        <v/>
      </c>
      <c r="X1033" s="14" t="str">
        <f t="shared" si="470"/>
        <v/>
      </c>
    </row>
    <row r="1034" spans="2:24" x14ac:dyDescent="0.3">
      <c r="B1034" s="1">
        <f t="shared" si="479"/>
        <v>0</v>
      </c>
      <c r="C1034" s="1">
        <f t="shared" si="480"/>
        <v>0</v>
      </c>
      <c r="D1034" s="10">
        <f t="shared" si="481"/>
        <v>0</v>
      </c>
      <c r="E1034" s="1">
        <f t="shared" si="482"/>
        <v>0</v>
      </c>
      <c r="F1034" s="1">
        <f t="shared" si="483"/>
        <v>0</v>
      </c>
      <c r="G1034" s="1">
        <f t="shared" si="484"/>
        <v>0</v>
      </c>
      <c r="H1034" s="1">
        <f t="shared" si="471"/>
        <v>0</v>
      </c>
      <c r="I1034" s="10">
        <f t="shared" si="485"/>
        <v>0</v>
      </c>
      <c r="J1034" s="1">
        <f t="shared" si="472"/>
        <v>0</v>
      </c>
      <c r="K1034" s="1">
        <f t="shared" si="473"/>
        <v>0</v>
      </c>
      <c r="L1034" s="1" t="str">
        <f t="shared" si="474"/>
        <v>0</v>
      </c>
      <c r="M1034" s="10">
        <f t="shared" si="475"/>
        <v>0</v>
      </c>
      <c r="N1034" s="1">
        <f t="shared" si="486"/>
        <v>0</v>
      </c>
      <c r="O1034" s="1">
        <f t="shared" si="478"/>
        <v>0</v>
      </c>
      <c r="P1034" s="1">
        <f t="shared" si="476"/>
        <v>0</v>
      </c>
      <c r="Q1034" s="3" t="str">
        <f t="shared" si="477"/>
        <v/>
      </c>
      <c r="T1034" s="13" t="str">
        <f t="shared" si="466"/>
        <v/>
      </c>
      <c r="U1034" s="14" t="str">
        <f t="shared" si="467"/>
        <v/>
      </c>
      <c r="V1034" s="13" t="str">
        <f t="shared" si="468"/>
        <v/>
      </c>
      <c r="W1034" s="13" t="str">
        <f t="shared" si="469"/>
        <v/>
      </c>
      <c r="X1034" s="14" t="str">
        <f t="shared" si="470"/>
        <v/>
      </c>
    </row>
    <row r="1035" spans="2:24" x14ac:dyDescent="0.3">
      <c r="B1035" s="1">
        <f t="shared" si="479"/>
        <v>0</v>
      </c>
      <c r="C1035" s="1">
        <f t="shared" si="480"/>
        <v>0</v>
      </c>
      <c r="D1035" s="10">
        <f t="shared" si="481"/>
        <v>0</v>
      </c>
      <c r="E1035" s="1">
        <f t="shared" si="482"/>
        <v>0</v>
      </c>
      <c r="F1035" s="1">
        <f t="shared" si="483"/>
        <v>0</v>
      </c>
      <c r="G1035" s="1">
        <f t="shared" si="484"/>
        <v>0</v>
      </c>
      <c r="H1035" s="1">
        <f t="shared" si="471"/>
        <v>0</v>
      </c>
      <c r="I1035" s="10">
        <f t="shared" si="485"/>
        <v>0</v>
      </c>
      <c r="J1035" s="1">
        <f t="shared" si="472"/>
        <v>0</v>
      </c>
      <c r="K1035" s="1">
        <f t="shared" si="473"/>
        <v>0</v>
      </c>
      <c r="L1035" s="1" t="str">
        <f t="shared" si="474"/>
        <v>0</v>
      </c>
      <c r="M1035" s="10">
        <f t="shared" si="475"/>
        <v>0</v>
      </c>
      <c r="N1035" s="1">
        <f t="shared" si="486"/>
        <v>0</v>
      </c>
      <c r="O1035" s="1">
        <f t="shared" si="478"/>
        <v>0</v>
      </c>
      <c r="P1035" s="1">
        <f t="shared" si="476"/>
        <v>0</v>
      </c>
      <c r="Q1035" s="3" t="str">
        <f t="shared" si="477"/>
        <v/>
      </c>
      <c r="T1035" s="13" t="str">
        <f t="shared" si="466"/>
        <v/>
      </c>
      <c r="U1035" s="14" t="str">
        <f t="shared" si="467"/>
        <v/>
      </c>
      <c r="V1035" s="13" t="str">
        <f t="shared" si="468"/>
        <v/>
      </c>
      <c r="W1035" s="13" t="str">
        <f t="shared" si="469"/>
        <v/>
      </c>
      <c r="X1035" s="14" t="str">
        <f t="shared" si="470"/>
        <v/>
      </c>
    </row>
    <row r="1036" spans="2:24" x14ac:dyDescent="0.3">
      <c r="B1036" s="1">
        <f t="shared" si="479"/>
        <v>0</v>
      </c>
      <c r="C1036" s="1">
        <f t="shared" si="480"/>
        <v>0</v>
      </c>
      <c r="D1036" s="10">
        <f t="shared" si="481"/>
        <v>0</v>
      </c>
      <c r="E1036" s="1">
        <f t="shared" si="482"/>
        <v>0</v>
      </c>
      <c r="F1036" s="1">
        <f t="shared" si="483"/>
        <v>0</v>
      </c>
      <c r="G1036" s="1">
        <f t="shared" si="484"/>
        <v>0</v>
      </c>
      <c r="H1036" s="1">
        <f t="shared" si="471"/>
        <v>0</v>
      </c>
      <c r="I1036" s="10">
        <f t="shared" si="485"/>
        <v>0</v>
      </c>
      <c r="J1036" s="1">
        <f t="shared" si="472"/>
        <v>0</v>
      </c>
      <c r="K1036" s="1">
        <f t="shared" si="473"/>
        <v>0</v>
      </c>
      <c r="L1036" s="1" t="str">
        <f t="shared" si="474"/>
        <v>0</v>
      </c>
      <c r="M1036" s="10">
        <f t="shared" si="475"/>
        <v>0</v>
      </c>
      <c r="N1036" s="1">
        <f t="shared" si="486"/>
        <v>0</v>
      </c>
      <c r="O1036" s="1">
        <f t="shared" si="478"/>
        <v>0</v>
      </c>
      <c r="P1036" s="1">
        <f t="shared" si="476"/>
        <v>0</v>
      </c>
      <c r="Q1036" s="3" t="str">
        <f t="shared" si="477"/>
        <v/>
      </c>
      <c r="T1036" s="13" t="str">
        <f t="shared" si="466"/>
        <v/>
      </c>
      <c r="U1036" s="14" t="str">
        <f t="shared" si="467"/>
        <v/>
      </c>
      <c r="V1036" s="13" t="str">
        <f t="shared" si="468"/>
        <v/>
      </c>
      <c r="W1036" s="13" t="str">
        <f t="shared" si="469"/>
        <v/>
      </c>
      <c r="X1036" s="14" t="str">
        <f t="shared" si="470"/>
        <v/>
      </c>
    </row>
    <row r="1037" spans="2:24" x14ac:dyDescent="0.3">
      <c r="B1037" s="1">
        <f t="shared" si="479"/>
        <v>0</v>
      </c>
      <c r="C1037" s="1">
        <f t="shared" si="480"/>
        <v>0</v>
      </c>
      <c r="D1037" s="10">
        <f t="shared" si="481"/>
        <v>0</v>
      </c>
      <c r="E1037" s="1">
        <f t="shared" si="482"/>
        <v>0</v>
      </c>
      <c r="F1037" s="1">
        <f t="shared" si="483"/>
        <v>0</v>
      </c>
      <c r="G1037" s="1">
        <f t="shared" si="484"/>
        <v>0</v>
      </c>
      <c r="H1037" s="1">
        <f t="shared" si="471"/>
        <v>0</v>
      </c>
      <c r="I1037" s="10">
        <f t="shared" si="485"/>
        <v>0</v>
      </c>
      <c r="J1037" s="1">
        <f t="shared" si="472"/>
        <v>0</v>
      </c>
      <c r="K1037" s="1">
        <f t="shared" si="473"/>
        <v>0</v>
      </c>
      <c r="L1037" s="1" t="str">
        <f t="shared" si="474"/>
        <v>0</v>
      </c>
      <c r="M1037" s="10">
        <f t="shared" si="475"/>
        <v>0</v>
      </c>
      <c r="N1037" s="1">
        <f t="shared" si="486"/>
        <v>0</v>
      </c>
      <c r="O1037" s="1">
        <f t="shared" si="478"/>
        <v>0</v>
      </c>
      <c r="P1037" s="1">
        <f t="shared" si="476"/>
        <v>0</v>
      </c>
      <c r="Q1037" s="3" t="str">
        <f t="shared" si="477"/>
        <v/>
      </c>
      <c r="T1037" s="13" t="str">
        <f t="shared" si="466"/>
        <v/>
      </c>
      <c r="U1037" s="14" t="str">
        <f t="shared" si="467"/>
        <v/>
      </c>
      <c r="V1037" s="13" t="str">
        <f t="shared" si="468"/>
        <v/>
      </c>
      <c r="W1037" s="13" t="str">
        <f t="shared" si="469"/>
        <v/>
      </c>
      <c r="X1037" s="14" t="str">
        <f t="shared" si="470"/>
        <v/>
      </c>
    </row>
    <row r="1038" spans="2:24" x14ac:dyDescent="0.3">
      <c r="B1038" s="1">
        <f t="shared" si="479"/>
        <v>0</v>
      </c>
      <c r="C1038" s="1">
        <f t="shared" si="480"/>
        <v>0</v>
      </c>
      <c r="D1038" s="10">
        <f t="shared" si="481"/>
        <v>0</v>
      </c>
      <c r="E1038" s="1">
        <f t="shared" si="482"/>
        <v>0</v>
      </c>
      <c r="F1038" s="1">
        <f t="shared" si="483"/>
        <v>0</v>
      </c>
      <c r="G1038" s="1">
        <f t="shared" si="484"/>
        <v>0</v>
      </c>
      <c r="H1038" s="1">
        <f t="shared" si="471"/>
        <v>0</v>
      </c>
      <c r="I1038" s="10">
        <f t="shared" si="485"/>
        <v>0</v>
      </c>
      <c r="J1038" s="1">
        <f t="shared" si="472"/>
        <v>0</v>
      </c>
      <c r="K1038" s="1">
        <f t="shared" si="473"/>
        <v>0</v>
      </c>
      <c r="L1038" s="1" t="str">
        <f t="shared" si="474"/>
        <v>0</v>
      </c>
      <c r="M1038" s="10">
        <f t="shared" si="475"/>
        <v>0</v>
      </c>
      <c r="N1038" s="1">
        <f t="shared" si="486"/>
        <v>0</v>
      </c>
      <c r="O1038" s="1">
        <f t="shared" si="478"/>
        <v>0</v>
      </c>
      <c r="P1038" s="1">
        <f t="shared" si="476"/>
        <v>0</v>
      </c>
      <c r="Q1038" s="3" t="str">
        <f t="shared" si="477"/>
        <v/>
      </c>
      <c r="T1038" s="13" t="str">
        <f t="shared" si="466"/>
        <v/>
      </c>
      <c r="U1038" s="14" t="str">
        <f t="shared" si="467"/>
        <v/>
      </c>
      <c r="V1038" s="13" t="str">
        <f t="shared" si="468"/>
        <v/>
      </c>
      <c r="W1038" s="13" t="str">
        <f t="shared" si="469"/>
        <v/>
      </c>
      <c r="X1038" s="14" t="str">
        <f t="shared" si="470"/>
        <v/>
      </c>
    </row>
    <row r="1039" spans="2:24" x14ac:dyDescent="0.3">
      <c r="B1039" s="1">
        <f t="shared" si="479"/>
        <v>0</v>
      </c>
      <c r="C1039" s="1">
        <f t="shared" si="480"/>
        <v>0</v>
      </c>
      <c r="D1039" s="10">
        <f t="shared" si="481"/>
        <v>0</v>
      </c>
      <c r="E1039" s="1">
        <f t="shared" si="482"/>
        <v>0</v>
      </c>
      <c r="F1039" s="1">
        <f t="shared" si="483"/>
        <v>0</v>
      </c>
      <c r="G1039" s="1">
        <f t="shared" si="484"/>
        <v>0</v>
      </c>
      <c r="H1039" s="1">
        <f t="shared" si="471"/>
        <v>0</v>
      </c>
      <c r="I1039" s="10">
        <f t="shared" si="485"/>
        <v>0</v>
      </c>
      <c r="J1039" s="1">
        <f t="shared" si="472"/>
        <v>0</v>
      </c>
      <c r="K1039" s="1">
        <f t="shared" si="473"/>
        <v>0</v>
      </c>
      <c r="L1039" s="1" t="str">
        <f t="shared" si="474"/>
        <v>0</v>
      </c>
      <c r="M1039" s="10">
        <f t="shared" si="475"/>
        <v>0</v>
      </c>
      <c r="N1039" s="1">
        <f t="shared" si="486"/>
        <v>0</v>
      </c>
      <c r="O1039" s="1">
        <f t="shared" si="478"/>
        <v>0</v>
      </c>
      <c r="P1039" s="1">
        <f t="shared" si="476"/>
        <v>0</v>
      </c>
      <c r="Q1039" s="3" t="str">
        <f t="shared" si="477"/>
        <v/>
      </c>
      <c r="T1039" s="13" t="str">
        <f t="shared" si="466"/>
        <v/>
      </c>
      <c r="U1039" s="14" t="str">
        <f t="shared" si="467"/>
        <v/>
      </c>
      <c r="V1039" s="13" t="str">
        <f t="shared" si="468"/>
        <v/>
      </c>
      <c r="W1039" s="13" t="str">
        <f t="shared" si="469"/>
        <v/>
      </c>
      <c r="X1039" s="14" t="str">
        <f t="shared" si="470"/>
        <v/>
      </c>
    </row>
    <row r="1040" spans="2:24" x14ac:dyDescent="0.3">
      <c r="B1040" s="1">
        <f t="shared" si="479"/>
        <v>0</v>
      </c>
      <c r="C1040" s="1">
        <f t="shared" si="480"/>
        <v>0</v>
      </c>
      <c r="D1040" s="10">
        <f t="shared" si="481"/>
        <v>0</v>
      </c>
      <c r="E1040" s="1">
        <f t="shared" si="482"/>
        <v>0</v>
      </c>
      <c r="F1040" s="1">
        <f t="shared" si="483"/>
        <v>0</v>
      </c>
      <c r="G1040" s="1">
        <f t="shared" si="484"/>
        <v>0</v>
      </c>
      <c r="H1040" s="1">
        <f t="shared" si="471"/>
        <v>0</v>
      </c>
      <c r="I1040" s="10">
        <f t="shared" si="485"/>
        <v>0</v>
      </c>
      <c r="J1040" s="1">
        <f t="shared" si="472"/>
        <v>0</v>
      </c>
      <c r="K1040" s="1">
        <f t="shared" si="473"/>
        <v>0</v>
      </c>
      <c r="L1040" s="1" t="str">
        <f t="shared" si="474"/>
        <v>0</v>
      </c>
      <c r="M1040" s="10">
        <f t="shared" si="475"/>
        <v>0</v>
      </c>
      <c r="N1040" s="1">
        <f t="shared" si="486"/>
        <v>0</v>
      </c>
      <c r="O1040" s="1">
        <f t="shared" si="478"/>
        <v>0</v>
      </c>
      <c r="P1040" s="1">
        <f t="shared" si="476"/>
        <v>0</v>
      </c>
      <c r="Q1040" s="3" t="str">
        <f t="shared" si="477"/>
        <v/>
      </c>
      <c r="T1040" s="13" t="str">
        <f t="shared" si="466"/>
        <v/>
      </c>
      <c r="U1040" s="14" t="str">
        <f t="shared" si="467"/>
        <v/>
      </c>
      <c r="V1040" s="13" t="str">
        <f t="shared" si="468"/>
        <v/>
      </c>
      <c r="W1040" s="13" t="str">
        <f t="shared" si="469"/>
        <v/>
      </c>
      <c r="X1040" s="14" t="str">
        <f t="shared" si="470"/>
        <v/>
      </c>
    </row>
    <row r="1041" spans="2:24" x14ac:dyDescent="0.3">
      <c r="B1041" s="1">
        <f t="shared" si="479"/>
        <v>0</v>
      </c>
      <c r="C1041" s="1">
        <f t="shared" si="480"/>
        <v>0</v>
      </c>
      <c r="D1041" s="10">
        <f t="shared" si="481"/>
        <v>0</v>
      </c>
      <c r="E1041" s="1">
        <f t="shared" si="482"/>
        <v>0</v>
      </c>
      <c r="F1041" s="1">
        <f t="shared" si="483"/>
        <v>0</v>
      </c>
      <c r="G1041" s="1">
        <f t="shared" si="484"/>
        <v>0</v>
      </c>
      <c r="H1041" s="1">
        <f t="shared" si="471"/>
        <v>0</v>
      </c>
      <c r="I1041" s="10">
        <f t="shared" si="485"/>
        <v>0</v>
      </c>
      <c r="J1041" s="1">
        <f t="shared" si="472"/>
        <v>0</v>
      </c>
      <c r="K1041" s="1">
        <f t="shared" si="473"/>
        <v>0</v>
      </c>
      <c r="L1041" s="1" t="str">
        <f t="shared" si="474"/>
        <v>0</v>
      </c>
      <c r="M1041" s="10">
        <f t="shared" si="475"/>
        <v>0</v>
      </c>
      <c r="N1041" s="1">
        <f t="shared" si="486"/>
        <v>0</v>
      </c>
      <c r="O1041" s="1">
        <f t="shared" si="478"/>
        <v>0</v>
      </c>
      <c r="P1041" s="1">
        <f t="shared" si="476"/>
        <v>0</v>
      </c>
      <c r="Q1041" s="3" t="str">
        <f t="shared" si="477"/>
        <v/>
      </c>
      <c r="T1041" s="13" t="str">
        <f t="shared" si="466"/>
        <v/>
      </c>
      <c r="U1041" s="14" t="str">
        <f t="shared" si="467"/>
        <v/>
      </c>
      <c r="V1041" s="13" t="str">
        <f t="shared" si="468"/>
        <v/>
      </c>
      <c r="W1041" s="13" t="str">
        <f t="shared" si="469"/>
        <v/>
      </c>
      <c r="X1041" s="14" t="str">
        <f t="shared" si="470"/>
        <v/>
      </c>
    </row>
    <row r="1042" spans="2:24" x14ac:dyDescent="0.3">
      <c r="B1042" s="1">
        <f t="shared" si="479"/>
        <v>0</v>
      </c>
      <c r="C1042" s="1">
        <f t="shared" si="480"/>
        <v>0</v>
      </c>
      <c r="D1042" s="10">
        <f t="shared" si="481"/>
        <v>0</v>
      </c>
      <c r="E1042" s="1">
        <f t="shared" si="482"/>
        <v>0</v>
      </c>
      <c r="F1042" s="1">
        <f t="shared" si="483"/>
        <v>0</v>
      </c>
      <c r="G1042" s="1">
        <f t="shared" si="484"/>
        <v>0</v>
      </c>
      <c r="H1042" s="1">
        <f t="shared" si="471"/>
        <v>0</v>
      </c>
      <c r="I1042" s="10">
        <f t="shared" si="485"/>
        <v>0</v>
      </c>
      <c r="J1042" s="1">
        <f t="shared" si="472"/>
        <v>0</v>
      </c>
      <c r="K1042" s="1">
        <f t="shared" si="473"/>
        <v>0</v>
      </c>
      <c r="L1042" s="1" t="str">
        <f t="shared" si="474"/>
        <v>0</v>
      </c>
      <c r="M1042" s="10">
        <f t="shared" si="475"/>
        <v>0</v>
      </c>
      <c r="N1042" s="1">
        <f t="shared" si="486"/>
        <v>0</v>
      </c>
      <c r="O1042" s="1">
        <f t="shared" si="478"/>
        <v>0</v>
      </c>
      <c r="P1042" s="1">
        <f t="shared" si="476"/>
        <v>0</v>
      </c>
      <c r="Q1042" s="3" t="str">
        <f t="shared" si="477"/>
        <v/>
      </c>
      <c r="T1042" s="13" t="str">
        <f t="shared" si="466"/>
        <v/>
      </c>
      <c r="U1042" s="14" t="str">
        <f t="shared" si="467"/>
        <v/>
      </c>
      <c r="V1042" s="13" t="str">
        <f t="shared" si="468"/>
        <v/>
      </c>
      <c r="W1042" s="13" t="str">
        <f t="shared" si="469"/>
        <v/>
      </c>
      <c r="X1042" s="14" t="str">
        <f t="shared" si="470"/>
        <v/>
      </c>
    </row>
    <row r="1043" spans="2:24" x14ac:dyDescent="0.3">
      <c r="B1043" s="1">
        <f t="shared" si="479"/>
        <v>0</v>
      </c>
      <c r="C1043" s="1">
        <f t="shared" si="480"/>
        <v>0</v>
      </c>
      <c r="D1043" s="10">
        <f t="shared" si="481"/>
        <v>0</v>
      </c>
      <c r="E1043" s="1">
        <f t="shared" si="482"/>
        <v>0</v>
      </c>
      <c r="F1043" s="1">
        <f t="shared" si="483"/>
        <v>0</v>
      </c>
      <c r="G1043" s="1">
        <f t="shared" si="484"/>
        <v>0</v>
      </c>
      <c r="H1043" s="1">
        <f t="shared" si="471"/>
        <v>0</v>
      </c>
      <c r="I1043" s="10">
        <f t="shared" si="485"/>
        <v>0</v>
      </c>
      <c r="J1043" s="1">
        <f t="shared" si="472"/>
        <v>0</v>
      </c>
      <c r="K1043" s="1">
        <f t="shared" si="473"/>
        <v>0</v>
      </c>
      <c r="L1043" s="1" t="str">
        <f t="shared" si="474"/>
        <v>0</v>
      </c>
      <c r="M1043" s="10">
        <f t="shared" si="475"/>
        <v>0</v>
      </c>
      <c r="N1043" s="1">
        <f t="shared" si="486"/>
        <v>0</v>
      </c>
      <c r="O1043" s="1">
        <f t="shared" si="478"/>
        <v>0</v>
      </c>
      <c r="P1043" s="1">
        <f t="shared" si="476"/>
        <v>0</v>
      </c>
      <c r="Q1043" s="3" t="str">
        <f t="shared" si="477"/>
        <v/>
      </c>
      <c r="T1043" s="13" t="str">
        <f t="shared" ref="T1043:T1106" si="487">IF(A1043="",IF(A1042="","",$T$1),IF(O1043=1,"#",IF(B1043=0,"*",DEC2HEX(R1043))))</f>
        <v/>
      </c>
      <c r="U1043" s="14" t="str">
        <f t="shared" ref="U1043:U1106" si="488">IF(A1043="",IF(A1042="","",$U$1),  IF(B1043=0,Q1043,I1043)  )</f>
        <v/>
      </c>
      <c r="V1043" s="13" t="str">
        <f t="shared" ref="V1043:V1106" si="489">IF(U1043=$U$1,"",IF(A1043="",IF(A1042="","",1),  IF(B1043=0,1,D1043)  ))</f>
        <v/>
      </c>
      <c r="W1043" s="13" t="str">
        <f t="shared" ref="W1043:W1106" si="490">IF(U1043=$U$1,"",IF(A1043="",IF(A1042="","",0),  IF(C1043=0,0,0)  ))</f>
        <v/>
      </c>
      <c r="X1043" s="14" t="str">
        <f t="shared" ref="X1043:X1106" si="491">IF(U1043=$U$1,"",IF(U1043="","",IF(B1043&gt;0,IF(Q1043&lt;&gt;"",Q1043,"No description"),"-")))</f>
        <v/>
      </c>
    </row>
    <row r="1044" spans="2:24" x14ac:dyDescent="0.3">
      <c r="B1044" s="1">
        <f t="shared" si="479"/>
        <v>0</v>
      </c>
      <c r="C1044" s="1">
        <f t="shared" si="480"/>
        <v>0</v>
      </c>
      <c r="D1044" s="10">
        <f t="shared" si="481"/>
        <v>0</v>
      </c>
      <c r="E1044" s="1">
        <f t="shared" si="482"/>
        <v>0</v>
      </c>
      <c r="F1044" s="1">
        <f t="shared" si="483"/>
        <v>0</v>
      </c>
      <c r="G1044" s="1">
        <f t="shared" si="484"/>
        <v>0</v>
      </c>
      <c r="H1044" s="1">
        <f t="shared" si="471"/>
        <v>0</v>
      </c>
      <c r="I1044" s="10">
        <f t="shared" si="485"/>
        <v>0</v>
      </c>
      <c r="J1044" s="1">
        <f t="shared" si="472"/>
        <v>0</v>
      </c>
      <c r="K1044" s="1">
        <f t="shared" si="473"/>
        <v>0</v>
      </c>
      <c r="L1044" s="1" t="str">
        <f t="shared" si="474"/>
        <v>0</v>
      </c>
      <c r="M1044" s="10">
        <f t="shared" si="475"/>
        <v>0</v>
      </c>
      <c r="N1044" s="1">
        <f t="shared" si="486"/>
        <v>0</v>
      </c>
      <c r="O1044" s="1">
        <f t="shared" si="478"/>
        <v>0</v>
      </c>
      <c r="P1044" s="1">
        <f t="shared" si="476"/>
        <v>0</v>
      </c>
      <c r="Q1044" s="3" t="str">
        <f t="shared" si="477"/>
        <v/>
      </c>
      <c r="T1044" s="13" t="str">
        <f t="shared" si="487"/>
        <v/>
      </c>
      <c r="U1044" s="14" t="str">
        <f t="shared" si="488"/>
        <v/>
      </c>
      <c r="V1044" s="13" t="str">
        <f t="shared" si="489"/>
        <v/>
      </c>
      <c r="W1044" s="13" t="str">
        <f t="shared" si="490"/>
        <v/>
      </c>
      <c r="X1044" s="14" t="str">
        <f t="shared" si="491"/>
        <v/>
      </c>
    </row>
    <row r="1045" spans="2:24" x14ac:dyDescent="0.3">
      <c r="B1045" s="1">
        <f t="shared" si="479"/>
        <v>0</v>
      </c>
      <c r="C1045" s="1">
        <f t="shared" si="480"/>
        <v>0</v>
      </c>
      <c r="D1045" s="10">
        <f t="shared" si="481"/>
        <v>0</v>
      </c>
      <c r="E1045" s="1">
        <f t="shared" si="482"/>
        <v>0</v>
      </c>
      <c r="F1045" s="1">
        <f t="shared" si="483"/>
        <v>0</v>
      </c>
      <c r="G1045" s="1">
        <f t="shared" si="484"/>
        <v>0</v>
      </c>
      <c r="H1045" s="1">
        <f t="shared" si="471"/>
        <v>0</v>
      </c>
      <c r="I1045" s="10">
        <f t="shared" si="485"/>
        <v>0</v>
      </c>
      <c r="J1045" s="1">
        <f t="shared" si="472"/>
        <v>0</v>
      </c>
      <c r="K1045" s="1">
        <f t="shared" si="473"/>
        <v>0</v>
      </c>
      <c r="L1045" s="1" t="str">
        <f t="shared" si="474"/>
        <v>0</v>
      </c>
      <c r="M1045" s="10">
        <f t="shared" si="475"/>
        <v>0</v>
      </c>
      <c r="N1045" s="1">
        <f t="shared" si="486"/>
        <v>0</v>
      </c>
      <c r="O1045" s="1">
        <f t="shared" si="478"/>
        <v>0</v>
      </c>
      <c r="P1045" s="1">
        <f t="shared" si="476"/>
        <v>0</v>
      </c>
      <c r="Q1045" s="3" t="str">
        <f t="shared" si="477"/>
        <v/>
      </c>
      <c r="T1045" s="13" t="str">
        <f t="shared" si="487"/>
        <v/>
      </c>
      <c r="U1045" s="14" t="str">
        <f t="shared" si="488"/>
        <v/>
      </c>
      <c r="V1045" s="13" t="str">
        <f t="shared" si="489"/>
        <v/>
      </c>
      <c r="W1045" s="13" t="str">
        <f t="shared" si="490"/>
        <v/>
      </c>
      <c r="X1045" s="14" t="str">
        <f t="shared" si="491"/>
        <v/>
      </c>
    </row>
    <row r="1046" spans="2:24" x14ac:dyDescent="0.3">
      <c r="B1046" s="1">
        <f t="shared" si="479"/>
        <v>0</v>
      </c>
      <c r="C1046" s="1">
        <f t="shared" si="480"/>
        <v>0</v>
      </c>
      <c r="D1046" s="10">
        <f t="shared" si="481"/>
        <v>0</v>
      </c>
      <c r="E1046" s="1">
        <f t="shared" si="482"/>
        <v>0</v>
      </c>
      <c r="F1046" s="1">
        <f t="shared" si="483"/>
        <v>0</v>
      </c>
      <c r="G1046" s="1">
        <f t="shared" si="484"/>
        <v>0</v>
      </c>
      <c r="H1046" s="1">
        <f t="shared" si="471"/>
        <v>0</v>
      </c>
      <c r="I1046" s="10">
        <f t="shared" si="485"/>
        <v>0</v>
      </c>
      <c r="J1046" s="1">
        <f t="shared" si="472"/>
        <v>0</v>
      </c>
      <c r="K1046" s="1">
        <f t="shared" si="473"/>
        <v>0</v>
      </c>
      <c r="L1046" s="1" t="str">
        <f t="shared" si="474"/>
        <v>0</v>
      </c>
      <c r="M1046" s="10">
        <f t="shared" si="475"/>
        <v>0</v>
      </c>
      <c r="N1046" s="1">
        <f t="shared" si="486"/>
        <v>0</v>
      </c>
      <c r="O1046" s="1">
        <f t="shared" si="478"/>
        <v>0</v>
      </c>
      <c r="P1046" s="1">
        <f t="shared" si="476"/>
        <v>0</v>
      </c>
      <c r="Q1046" s="3" t="str">
        <f t="shared" si="477"/>
        <v/>
      </c>
      <c r="T1046" s="13" t="str">
        <f t="shared" si="487"/>
        <v/>
      </c>
      <c r="U1046" s="14" t="str">
        <f t="shared" si="488"/>
        <v/>
      </c>
      <c r="V1046" s="13" t="str">
        <f t="shared" si="489"/>
        <v/>
      </c>
      <c r="W1046" s="13" t="str">
        <f t="shared" si="490"/>
        <v/>
      </c>
      <c r="X1046" s="14" t="str">
        <f t="shared" si="491"/>
        <v/>
      </c>
    </row>
    <row r="1047" spans="2:24" x14ac:dyDescent="0.3">
      <c r="B1047" s="1">
        <f t="shared" si="479"/>
        <v>0</v>
      </c>
      <c r="C1047" s="1">
        <f t="shared" si="480"/>
        <v>0</v>
      </c>
      <c r="D1047" s="10">
        <f t="shared" si="481"/>
        <v>0</v>
      </c>
      <c r="E1047" s="1">
        <f t="shared" si="482"/>
        <v>0</v>
      </c>
      <c r="F1047" s="1">
        <f t="shared" si="483"/>
        <v>0</v>
      </c>
      <c r="G1047" s="1">
        <f t="shared" si="484"/>
        <v>0</v>
      </c>
      <c r="H1047" s="1">
        <f t="shared" si="471"/>
        <v>0</v>
      </c>
      <c r="I1047" s="10">
        <f t="shared" si="485"/>
        <v>0</v>
      </c>
      <c r="J1047" s="1">
        <f t="shared" si="472"/>
        <v>0</v>
      </c>
      <c r="K1047" s="1">
        <f t="shared" si="473"/>
        <v>0</v>
      </c>
      <c r="L1047" s="1" t="str">
        <f t="shared" si="474"/>
        <v>0</v>
      </c>
      <c r="M1047" s="10">
        <f t="shared" si="475"/>
        <v>0</v>
      </c>
      <c r="N1047" s="1">
        <f t="shared" si="486"/>
        <v>0</v>
      </c>
      <c r="O1047" s="1">
        <f t="shared" si="478"/>
        <v>0</v>
      </c>
      <c r="P1047" s="1">
        <f t="shared" si="476"/>
        <v>0</v>
      </c>
      <c r="Q1047" s="3" t="str">
        <f t="shared" si="477"/>
        <v/>
      </c>
      <c r="T1047" s="13" t="str">
        <f t="shared" si="487"/>
        <v/>
      </c>
      <c r="U1047" s="14" t="str">
        <f t="shared" si="488"/>
        <v/>
      </c>
      <c r="V1047" s="13" t="str">
        <f t="shared" si="489"/>
        <v/>
      </c>
      <c r="W1047" s="13" t="str">
        <f t="shared" si="490"/>
        <v/>
      </c>
      <c r="X1047" s="14" t="str">
        <f t="shared" si="491"/>
        <v/>
      </c>
    </row>
    <row r="1048" spans="2:24" x14ac:dyDescent="0.3">
      <c r="B1048" s="1">
        <f t="shared" si="479"/>
        <v>0</v>
      </c>
      <c r="C1048" s="1">
        <f t="shared" si="480"/>
        <v>0</v>
      </c>
      <c r="D1048" s="10">
        <f t="shared" si="481"/>
        <v>0</v>
      </c>
      <c r="E1048" s="1">
        <f t="shared" si="482"/>
        <v>0</v>
      </c>
      <c r="F1048" s="1">
        <f t="shared" si="483"/>
        <v>0</v>
      </c>
      <c r="G1048" s="1">
        <f t="shared" si="484"/>
        <v>0</v>
      </c>
      <c r="H1048" s="1">
        <f t="shared" si="471"/>
        <v>0</v>
      </c>
      <c r="I1048" s="10">
        <f t="shared" si="485"/>
        <v>0</v>
      </c>
      <c r="J1048" s="1">
        <f t="shared" si="472"/>
        <v>0</v>
      </c>
      <c r="K1048" s="1">
        <f t="shared" si="473"/>
        <v>0</v>
      </c>
      <c r="L1048" s="1" t="str">
        <f t="shared" si="474"/>
        <v>0</v>
      </c>
      <c r="M1048" s="10">
        <f t="shared" si="475"/>
        <v>0</v>
      </c>
      <c r="N1048" s="1">
        <f t="shared" si="486"/>
        <v>0</v>
      </c>
      <c r="O1048" s="1">
        <f t="shared" si="478"/>
        <v>0</v>
      </c>
      <c r="P1048" s="1">
        <f t="shared" si="476"/>
        <v>0</v>
      </c>
      <c r="Q1048" s="3" t="str">
        <f t="shared" si="477"/>
        <v/>
      </c>
      <c r="T1048" s="13" t="str">
        <f t="shared" si="487"/>
        <v/>
      </c>
      <c r="U1048" s="14" t="str">
        <f t="shared" si="488"/>
        <v/>
      </c>
      <c r="V1048" s="13" t="str">
        <f t="shared" si="489"/>
        <v/>
      </c>
      <c r="W1048" s="13" t="str">
        <f t="shared" si="490"/>
        <v/>
      </c>
      <c r="X1048" s="14" t="str">
        <f t="shared" si="491"/>
        <v/>
      </c>
    </row>
    <row r="1049" spans="2:24" x14ac:dyDescent="0.3">
      <c r="B1049" s="1">
        <f t="shared" si="479"/>
        <v>0</v>
      </c>
      <c r="C1049" s="1">
        <f t="shared" si="480"/>
        <v>0</v>
      </c>
      <c r="D1049" s="10">
        <f t="shared" si="481"/>
        <v>0</v>
      </c>
      <c r="E1049" s="1">
        <f t="shared" si="482"/>
        <v>0</v>
      </c>
      <c r="F1049" s="1">
        <f t="shared" si="483"/>
        <v>0</v>
      </c>
      <c r="G1049" s="1">
        <f t="shared" si="484"/>
        <v>0</v>
      </c>
      <c r="H1049" s="1">
        <f t="shared" si="471"/>
        <v>0</v>
      </c>
      <c r="I1049" s="10">
        <f t="shared" si="485"/>
        <v>0</v>
      </c>
      <c r="J1049" s="1">
        <f t="shared" si="472"/>
        <v>0</v>
      </c>
      <c r="K1049" s="1">
        <f t="shared" si="473"/>
        <v>0</v>
      </c>
      <c r="L1049" s="1" t="str">
        <f t="shared" si="474"/>
        <v>0</v>
      </c>
      <c r="M1049" s="10">
        <f t="shared" si="475"/>
        <v>0</v>
      </c>
      <c r="N1049" s="1">
        <f t="shared" si="486"/>
        <v>0</v>
      </c>
      <c r="O1049" s="1">
        <f t="shared" si="478"/>
        <v>0</v>
      </c>
      <c r="P1049" s="1">
        <f t="shared" si="476"/>
        <v>0</v>
      </c>
      <c r="Q1049" s="3" t="str">
        <f t="shared" si="477"/>
        <v/>
      </c>
      <c r="T1049" s="13" t="str">
        <f t="shared" si="487"/>
        <v/>
      </c>
      <c r="U1049" s="14" t="str">
        <f t="shared" si="488"/>
        <v/>
      </c>
      <c r="V1049" s="13" t="str">
        <f t="shared" si="489"/>
        <v/>
      </c>
      <c r="W1049" s="13" t="str">
        <f t="shared" si="490"/>
        <v/>
      </c>
      <c r="X1049" s="14" t="str">
        <f t="shared" si="491"/>
        <v/>
      </c>
    </row>
    <row r="1050" spans="2:24" x14ac:dyDescent="0.3">
      <c r="B1050" s="1">
        <f t="shared" si="479"/>
        <v>0</v>
      </c>
      <c r="C1050" s="1">
        <f t="shared" si="480"/>
        <v>0</v>
      </c>
      <c r="D1050" s="10">
        <f t="shared" si="481"/>
        <v>0</v>
      </c>
      <c r="E1050" s="1">
        <f t="shared" si="482"/>
        <v>0</v>
      </c>
      <c r="F1050" s="1">
        <f t="shared" si="483"/>
        <v>0</v>
      </c>
      <c r="G1050" s="1">
        <f t="shared" si="484"/>
        <v>0</v>
      </c>
      <c r="H1050" s="1">
        <f t="shared" si="471"/>
        <v>0</v>
      </c>
      <c r="I1050" s="10">
        <f t="shared" si="485"/>
        <v>0</v>
      </c>
      <c r="J1050" s="1">
        <f t="shared" si="472"/>
        <v>0</v>
      </c>
      <c r="K1050" s="1">
        <f t="shared" si="473"/>
        <v>0</v>
      </c>
      <c r="L1050" s="1" t="str">
        <f t="shared" si="474"/>
        <v>0</v>
      </c>
      <c r="M1050" s="10">
        <f t="shared" si="475"/>
        <v>0</v>
      </c>
      <c r="N1050" s="1">
        <f t="shared" si="486"/>
        <v>0</v>
      </c>
      <c r="O1050" s="1">
        <f t="shared" si="478"/>
        <v>0</v>
      </c>
      <c r="P1050" s="1">
        <f t="shared" si="476"/>
        <v>0</v>
      </c>
      <c r="Q1050" s="3" t="str">
        <f t="shared" si="477"/>
        <v/>
      </c>
      <c r="T1050" s="13" t="str">
        <f t="shared" si="487"/>
        <v/>
      </c>
      <c r="U1050" s="14" t="str">
        <f t="shared" si="488"/>
        <v/>
      </c>
      <c r="V1050" s="13" t="str">
        <f t="shared" si="489"/>
        <v/>
      </c>
      <c r="W1050" s="13" t="str">
        <f t="shared" si="490"/>
        <v/>
      </c>
      <c r="X1050" s="14" t="str">
        <f t="shared" si="491"/>
        <v/>
      </c>
    </row>
    <row r="1051" spans="2:24" x14ac:dyDescent="0.3">
      <c r="B1051" s="1">
        <f t="shared" si="479"/>
        <v>0</v>
      </c>
      <c r="C1051" s="1">
        <f t="shared" si="480"/>
        <v>0</v>
      </c>
      <c r="D1051" s="10">
        <f t="shared" si="481"/>
        <v>0</v>
      </c>
      <c r="E1051" s="1">
        <f t="shared" si="482"/>
        <v>0</v>
      </c>
      <c r="F1051" s="1">
        <f t="shared" si="483"/>
        <v>0</v>
      </c>
      <c r="G1051" s="1">
        <f t="shared" si="484"/>
        <v>0</v>
      </c>
      <c r="H1051" s="1">
        <f t="shared" si="471"/>
        <v>0</v>
      </c>
      <c r="I1051" s="10">
        <f t="shared" si="485"/>
        <v>0</v>
      </c>
      <c r="J1051" s="1">
        <f t="shared" si="472"/>
        <v>0</v>
      </c>
      <c r="K1051" s="1">
        <f t="shared" si="473"/>
        <v>0</v>
      </c>
      <c r="L1051" s="1" t="str">
        <f t="shared" si="474"/>
        <v>0</v>
      </c>
      <c r="M1051" s="10">
        <f t="shared" si="475"/>
        <v>0</v>
      </c>
      <c r="N1051" s="1">
        <f t="shared" si="486"/>
        <v>0</v>
      </c>
      <c r="O1051" s="1">
        <f t="shared" si="478"/>
        <v>0</v>
      </c>
      <c r="P1051" s="1">
        <f t="shared" si="476"/>
        <v>0</v>
      </c>
      <c r="Q1051" s="3" t="str">
        <f t="shared" si="477"/>
        <v/>
      </c>
      <c r="T1051" s="13" t="str">
        <f t="shared" si="487"/>
        <v/>
      </c>
      <c r="U1051" s="14" t="str">
        <f t="shared" si="488"/>
        <v/>
      </c>
      <c r="V1051" s="13" t="str">
        <f t="shared" si="489"/>
        <v/>
      </c>
      <c r="W1051" s="13" t="str">
        <f t="shared" si="490"/>
        <v/>
      </c>
      <c r="X1051" s="14" t="str">
        <f t="shared" si="491"/>
        <v/>
      </c>
    </row>
    <row r="1052" spans="2:24" x14ac:dyDescent="0.3">
      <c r="B1052" s="1">
        <f t="shared" si="479"/>
        <v>0</v>
      </c>
      <c r="C1052" s="1">
        <f t="shared" si="480"/>
        <v>0</v>
      </c>
      <c r="D1052" s="10">
        <f t="shared" si="481"/>
        <v>0</v>
      </c>
      <c r="E1052" s="1">
        <f t="shared" si="482"/>
        <v>0</v>
      </c>
      <c r="F1052" s="1">
        <f t="shared" si="483"/>
        <v>0</v>
      </c>
      <c r="G1052" s="1">
        <f t="shared" si="484"/>
        <v>0</v>
      </c>
      <c r="H1052" s="1">
        <f t="shared" si="471"/>
        <v>0</v>
      </c>
      <c r="I1052" s="10">
        <f t="shared" si="485"/>
        <v>0</v>
      </c>
      <c r="J1052" s="1">
        <f t="shared" si="472"/>
        <v>0</v>
      </c>
      <c r="K1052" s="1">
        <f t="shared" si="473"/>
        <v>0</v>
      </c>
      <c r="L1052" s="1" t="str">
        <f t="shared" si="474"/>
        <v>0</v>
      </c>
      <c r="M1052" s="10">
        <f t="shared" si="475"/>
        <v>0</v>
      </c>
      <c r="N1052" s="1">
        <f t="shared" si="486"/>
        <v>0</v>
      </c>
      <c r="O1052" s="1">
        <f t="shared" si="478"/>
        <v>0</v>
      </c>
      <c r="P1052" s="1">
        <f t="shared" si="476"/>
        <v>0</v>
      </c>
      <c r="Q1052" s="3" t="str">
        <f t="shared" si="477"/>
        <v/>
      </c>
      <c r="T1052" s="13" t="str">
        <f t="shared" si="487"/>
        <v/>
      </c>
      <c r="U1052" s="14" t="str">
        <f t="shared" si="488"/>
        <v/>
      </c>
      <c r="V1052" s="13" t="str">
        <f t="shared" si="489"/>
        <v/>
      </c>
      <c r="W1052" s="13" t="str">
        <f t="shared" si="490"/>
        <v/>
      </c>
      <c r="X1052" s="14" t="str">
        <f t="shared" si="491"/>
        <v/>
      </c>
    </row>
    <row r="1053" spans="2:24" x14ac:dyDescent="0.3">
      <c r="B1053" s="1">
        <f t="shared" si="479"/>
        <v>0</v>
      </c>
      <c r="C1053" s="1">
        <f t="shared" si="480"/>
        <v>0</v>
      </c>
      <c r="D1053" s="10">
        <f t="shared" si="481"/>
        <v>0</v>
      </c>
      <c r="E1053" s="1">
        <f t="shared" si="482"/>
        <v>0</v>
      </c>
      <c r="F1053" s="1">
        <f t="shared" si="483"/>
        <v>0</v>
      </c>
      <c r="G1053" s="1">
        <f t="shared" si="484"/>
        <v>0</v>
      </c>
      <c r="H1053" s="1">
        <f t="shared" si="471"/>
        <v>0</v>
      </c>
      <c r="I1053" s="10">
        <f t="shared" si="485"/>
        <v>0</v>
      </c>
      <c r="J1053" s="1">
        <f t="shared" si="472"/>
        <v>0</v>
      </c>
      <c r="K1053" s="1">
        <f t="shared" si="473"/>
        <v>0</v>
      </c>
      <c r="L1053" s="1" t="str">
        <f t="shared" si="474"/>
        <v>0</v>
      </c>
      <c r="M1053" s="10">
        <f t="shared" si="475"/>
        <v>0</v>
      </c>
      <c r="N1053" s="1">
        <f t="shared" si="486"/>
        <v>0</v>
      </c>
      <c r="O1053" s="1">
        <f t="shared" si="478"/>
        <v>0</v>
      </c>
      <c r="P1053" s="1">
        <f t="shared" si="476"/>
        <v>0</v>
      </c>
      <c r="Q1053" s="3" t="str">
        <f t="shared" si="477"/>
        <v/>
      </c>
      <c r="T1053" s="13" t="str">
        <f t="shared" si="487"/>
        <v/>
      </c>
      <c r="U1053" s="14" t="str">
        <f t="shared" si="488"/>
        <v/>
      </c>
      <c r="V1053" s="13" t="str">
        <f t="shared" si="489"/>
        <v/>
      </c>
      <c r="W1053" s="13" t="str">
        <f t="shared" si="490"/>
        <v/>
      </c>
      <c r="X1053" s="14" t="str">
        <f t="shared" si="491"/>
        <v/>
      </c>
    </row>
    <row r="1054" spans="2:24" x14ac:dyDescent="0.3">
      <c r="B1054" s="1">
        <f t="shared" si="479"/>
        <v>0</v>
      </c>
      <c r="C1054" s="1">
        <f t="shared" si="480"/>
        <v>0</v>
      </c>
      <c r="D1054" s="10">
        <f t="shared" si="481"/>
        <v>0</v>
      </c>
      <c r="E1054" s="1">
        <f t="shared" si="482"/>
        <v>0</v>
      </c>
      <c r="F1054" s="1">
        <f t="shared" si="483"/>
        <v>0</v>
      </c>
      <c r="G1054" s="1">
        <f t="shared" si="484"/>
        <v>0</v>
      </c>
      <c r="H1054" s="1">
        <f t="shared" si="471"/>
        <v>0</v>
      </c>
      <c r="I1054" s="10">
        <f t="shared" si="485"/>
        <v>0</v>
      </c>
      <c r="J1054" s="1">
        <f t="shared" si="472"/>
        <v>0</v>
      </c>
      <c r="K1054" s="1">
        <f t="shared" si="473"/>
        <v>0</v>
      </c>
      <c r="L1054" s="1" t="str">
        <f t="shared" si="474"/>
        <v>0</v>
      </c>
      <c r="M1054" s="10">
        <f t="shared" si="475"/>
        <v>0</v>
      </c>
      <c r="N1054" s="1">
        <f t="shared" si="486"/>
        <v>0</v>
      </c>
      <c r="O1054" s="1">
        <f t="shared" si="478"/>
        <v>0</v>
      </c>
      <c r="P1054" s="1">
        <f t="shared" si="476"/>
        <v>0</v>
      </c>
      <c r="Q1054" s="3" t="str">
        <f t="shared" si="477"/>
        <v/>
      </c>
      <c r="T1054" s="13" t="str">
        <f t="shared" si="487"/>
        <v/>
      </c>
      <c r="U1054" s="14" t="str">
        <f t="shared" si="488"/>
        <v/>
      </c>
      <c r="V1054" s="13" t="str">
        <f t="shared" si="489"/>
        <v/>
      </c>
      <c r="W1054" s="13" t="str">
        <f t="shared" si="490"/>
        <v/>
      </c>
      <c r="X1054" s="14" t="str">
        <f t="shared" si="491"/>
        <v/>
      </c>
    </row>
    <row r="1055" spans="2:24" x14ac:dyDescent="0.3">
      <c r="B1055" s="1">
        <f t="shared" si="479"/>
        <v>0</v>
      </c>
      <c r="C1055" s="1">
        <f t="shared" si="480"/>
        <v>0</v>
      </c>
      <c r="D1055" s="10">
        <f t="shared" si="481"/>
        <v>0</v>
      </c>
      <c r="E1055" s="1">
        <f t="shared" si="482"/>
        <v>0</v>
      </c>
      <c r="F1055" s="1">
        <f t="shared" si="483"/>
        <v>0</v>
      </c>
      <c r="G1055" s="1">
        <f t="shared" si="484"/>
        <v>0</v>
      </c>
      <c r="H1055" s="1">
        <f t="shared" si="471"/>
        <v>0</v>
      </c>
      <c r="I1055" s="10">
        <f t="shared" si="485"/>
        <v>0</v>
      </c>
      <c r="J1055" s="1">
        <f t="shared" si="472"/>
        <v>0</v>
      </c>
      <c r="K1055" s="1">
        <f t="shared" si="473"/>
        <v>0</v>
      </c>
      <c r="L1055" s="1" t="str">
        <f t="shared" si="474"/>
        <v>0</v>
      </c>
      <c r="M1055" s="10">
        <f t="shared" si="475"/>
        <v>0</v>
      </c>
      <c r="N1055" s="1">
        <f t="shared" si="486"/>
        <v>0</v>
      </c>
      <c r="O1055" s="1">
        <f t="shared" si="478"/>
        <v>0</v>
      </c>
      <c r="P1055" s="1">
        <f t="shared" si="476"/>
        <v>0</v>
      </c>
      <c r="Q1055" s="3" t="str">
        <f t="shared" si="477"/>
        <v/>
      </c>
      <c r="T1055" s="13" t="str">
        <f t="shared" si="487"/>
        <v/>
      </c>
      <c r="U1055" s="14" t="str">
        <f t="shared" si="488"/>
        <v/>
      </c>
      <c r="V1055" s="13" t="str">
        <f t="shared" si="489"/>
        <v/>
      </c>
      <c r="W1055" s="13" t="str">
        <f t="shared" si="490"/>
        <v/>
      </c>
      <c r="X1055" s="14" t="str">
        <f t="shared" si="491"/>
        <v/>
      </c>
    </row>
    <row r="1056" spans="2:24" x14ac:dyDescent="0.3">
      <c r="B1056" s="1">
        <f t="shared" si="479"/>
        <v>0</v>
      </c>
      <c r="C1056" s="1">
        <f t="shared" si="480"/>
        <v>0</v>
      </c>
      <c r="D1056" s="10">
        <f t="shared" si="481"/>
        <v>0</v>
      </c>
      <c r="E1056" s="1">
        <f t="shared" si="482"/>
        <v>0</v>
      </c>
      <c r="F1056" s="1">
        <f t="shared" si="483"/>
        <v>0</v>
      </c>
      <c r="G1056" s="1">
        <f t="shared" si="484"/>
        <v>0</v>
      </c>
      <c r="H1056" s="1">
        <f t="shared" si="471"/>
        <v>0</v>
      </c>
      <c r="I1056" s="10">
        <f t="shared" si="485"/>
        <v>0</v>
      </c>
      <c r="J1056" s="1">
        <f t="shared" si="472"/>
        <v>0</v>
      </c>
      <c r="K1056" s="1">
        <f t="shared" si="473"/>
        <v>0</v>
      </c>
      <c r="L1056" s="1" t="str">
        <f t="shared" si="474"/>
        <v>0</v>
      </c>
      <c r="M1056" s="10">
        <f t="shared" si="475"/>
        <v>0</v>
      </c>
      <c r="N1056" s="1">
        <f t="shared" si="486"/>
        <v>0</v>
      </c>
      <c r="O1056" s="1">
        <f t="shared" si="478"/>
        <v>0</v>
      </c>
      <c r="P1056" s="1">
        <f t="shared" si="476"/>
        <v>0</v>
      </c>
      <c r="Q1056" s="3" t="str">
        <f t="shared" si="477"/>
        <v/>
      </c>
      <c r="T1056" s="13" t="str">
        <f t="shared" si="487"/>
        <v/>
      </c>
      <c r="U1056" s="14" t="str">
        <f t="shared" si="488"/>
        <v/>
      </c>
      <c r="V1056" s="13" t="str">
        <f t="shared" si="489"/>
        <v/>
      </c>
      <c r="W1056" s="13" t="str">
        <f t="shared" si="490"/>
        <v/>
      </c>
      <c r="X1056" s="14" t="str">
        <f t="shared" si="491"/>
        <v/>
      </c>
    </row>
    <row r="1057" spans="2:24" x14ac:dyDescent="0.3">
      <c r="B1057" s="1">
        <f t="shared" si="479"/>
        <v>0</v>
      </c>
      <c r="C1057" s="1">
        <f t="shared" si="480"/>
        <v>0</v>
      </c>
      <c r="D1057" s="10">
        <f t="shared" si="481"/>
        <v>0</v>
      </c>
      <c r="E1057" s="1">
        <f t="shared" si="482"/>
        <v>0</v>
      </c>
      <c r="F1057" s="1">
        <f t="shared" si="483"/>
        <v>0</v>
      </c>
      <c r="G1057" s="1">
        <f t="shared" si="484"/>
        <v>0</v>
      </c>
      <c r="H1057" s="1">
        <f t="shared" si="471"/>
        <v>0</v>
      </c>
      <c r="I1057" s="10">
        <f t="shared" si="485"/>
        <v>0</v>
      </c>
      <c r="J1057" s="1">
        <f t="shared" si="472"/>
        <v>0</v>
      </c>
      <c r="K1057" s="1">
        <f t="shared" si="473"/>
        <v>0</v>
      </c>
      <c r="L1057" s="1" t="str">
        <f t="shared" si="474"/>
        <v>0</v>
      </c>
      <c r="M1057" s="10">
        <f t="shared" si="475"/>
        <v>0</v>
      </c>
      <c r="N1057" s="1">
        <f t="shared" si="486"/>
        <v>0</v>
      </c>
      <c r="O1057" s="1">
        <f t="shared" si="478"/>
        <v>0</v>
      </c>
      <c r="P1057" s="1">
        <f t="shared" si="476"/>
        <v>0</v>
      </c>
      <c r="Q1057" s="3" t="str">
        <f t="shared" si="477"/>
        <v/>
      </c>
      <c r="T1057" s="13" t="str">
        <f t="shared" si="487"/>
        <v/>
      </c>
      <c r="U1057" s="14" t="str">
        <f t="shared" si="488"/>
        <v/>
      </c>
      <c r="V1057" s="13" t="str">
        <f t="shared" si="489"/>
        <v/>
      </c>
      <c r="W1057" s="13" t="str">
        <f t="shared" si="490"/>
        <v/>
      </c>
      <c r="X1057" s="14" t="str">
        <f t="shared" si="491"/>
        <v/>
      </c>
    </row>
    <row r="1058" spans="2:24" x14ac:dyDescent="0.3">
      <c r="B1058" s="1">
        <f t="shared" si="479"/>
        <v>0</v>
      </c>
      <c r="C1058" s="1">
        <f t="shared" si="480"/>
        <v>0</v>
      </c>
      <c r="D1058" s="10">
        <f t="shared" si="481"/>
        <v>0</v>
      </c>
      <c r="E1058" s="1">
        <f t="shared" si="482"/>
        <v>0</v>
      </c>
      <c r="F1058" s="1">
        <f t="shared" si="483"/>
        <v>0</v>
      </c>
      <c r="G1058" s="1">
        <f t="shared" si="484"/>
        <v>0</v>
      </c>
      <c r="H1058" s="1">
        <f t="shared" si="471"/>
        <v>0</v>
      </c>
      <c r="I1058" s="10">
        <f t="shared" si="485"/>
        <v>0</v>
      </c>
      <c r="J1058" s="1">
        <f t="shared" si="472"/>
        <v>0</v>
      </c>
      <c r="K1058" s="1">
        <f t="shared" si="473"/>
        <v>0</v>
      </c>
      <c r="L1058" s="1" t="str">
        <f t="shared" si="474"/>
        <v>0</v>
      </c>
      <c r="M1058" s="10">
        <f t="shared" si="475"/>
        <v>0</v>
      </c>
      <c r="N1058" s="1">
        <f t="shared" si="486"/>
        <v>0</v>
      </c>
      <c r="O1058" s="1">
        <f t="shared" si="478"/>
        <v>0</v>
      </c>
      <c r="P1058" s="1">
        <f t="shared" si="476"/>
        <v>0</v>
      </c>
      <c r="Q1058" s="3" t="str">
        <f t="shared" si="477"/>
        <v/>
      </c>
      <c r="T1058" s="13" t="str">
        <f t="shared" si="487"/>
        <v/>
      </c>
      <c r="U1058" s="14" t="str">
        <f t="shared" si="488"/>
        <v/>
      </c>
      <c r="V1058" s="13" t="str">
        <f t="shared" si="489"/>
        <v/>
      </c>
      <c r="W1058" s="13" t="str">
        <f t="shared" si="490"/>
        <v/>
      </c>
      <c r="X1058" s="14" t="str">
        <f t="shared" si="491"/>
        <v/>
      </c>
    </row>
    <row r="1059" spans="2:24" x14ac:dyDescent="0.3">
      <c r="B1059" s="1">
        <f t="shared" si="479"/>
        <v>0</v>
      </c>
      <c r="C1059" s="1">
        <f t="shared" si="480"/>
        <v>0</v>
      </c>
      <c r="D1059" s="10">
        <f t="shared" si="481"/>
        <v>0</v>
      </c>
      <c r="E1059" s="1">
        <f t="shared" si="482"/>
        <v>0</v>
      </c>
      <c r="F1059" s="1">
        <f t="shared" si="483"/>
        <v>0</v>
      </c>
      <c r="G1059" s="1">
        <f t="shared" si="484"/>
        <v>0</v>
      </c>
      <c r="H1059" s="1">
        <f t="shared" si="471"/>
        <v>0</v>
      </c>
      <c r="I1059" s="10">
        <f t="shared" si="485"/>
        <v>0</v>
      </c>
      <c r="J1059" s="1">
        <f t="shared" si="472"/>
        <v>0</v>
      </c>
      <c r="K1059" s="1">
        <f t="shared" si="473"/>
        <v>0</v>
      </c>
      <c r="L1059" s="1" t="str">
        <f t="shared" si="474"/>
        <v>0</v>
      </c>
      <c r="M1059" s="10">
        <f t="shared" si="475"/>
        <v>0</v>
      </c>
      <c r="N1059" s="1">
        <f t="shared" si="486"/>
        <v>0</v>
      </c>
      <c r="O1059" s="1">
        <f t="shared" si="478"/>
        <v>0</v>
      </c>
      <c r="P1059" s="1">
        <f t="shared" si="476"/>
        <v>0</v>
      </c>
      <c r="Q1059" s="3" t="str">
        <f t="shared" si="477"/>
        <v/>
      </c>
      <c r="T1059" s="13" t="str">
        <f t="shared" si="487"/>
        <v/>
      </c>
      <c r="U1059" s="14" t="str">
        <f t="shared" si="488"/>
        <v/>
      </c>
      <c r="V1059" s="13" t="str">
        <f t="shared" si="489"/>
        <v/>
      </c>
      <c r="W1059" s="13" t="str">
        <f t="shared" si="490"/>
        <v/>
      </c>
      <c r="X1059" s="14" t="str">
        <f t="shared" si="491"/>
        <v/>
      </c>
    </row>
    <row r="1060" spans="2:24" x14ac:dyDescent="0.3">
      <c r="B1060" s="1">
        <f t="shared" si="479"/>
        <v>0</v>
      </c>
      <c r="C1060" s="1">
        <f t="shared" si="480"/>
        <v>0</v>
      </c>
      <c r="D1060" s="10">
        <f t="shared" si="481"/>
        <v>0</v>
      </c>
      <c r="E1060" s="1">
        <f t="shared" si="482"/>
        <v>0</v>
      </c>
      <c r="F1060" s="1">
        <f t="shared" si="483"/>
        <v>0</v>
      </c>
      <c r="G1060" s="1">
        <f t="shared" si="484"/>
        <v>0</v>
      </c>
      <c r="H1060" s="1">
        <f t="shared" si="471"/>
        <v>0</v>
      </c>
      <c r="I1060" s="10">
        <f t="shared" si="485"/>
        <v>0</v>
      </c>
      <c r="J1060" s="1">
        <f t="shared" si="472"/>
        <v>0</v>
      </c>
      <c r="K1060" s="1">
        <f t="shared" si="473"/>
        <v>0</v>
      </c>
      <c r="L1060" s="1" t="str">
        <f t="shared" si="474"/>
        <v>0</v>
      </c>
      <c r="M1060" s="10">
        <f t="shared" si="475"/>
        <v>0</v>
      </c>
      <c r="N1060" s="1">
        <f t="shared" si="486"/>
        <v>0</v>
      </c>
      <c r="O1060" s="1">
        <f t="shared" si="478"/>
        <v>0</v>
      </c>
      <c r="P1060" s="1">
        <f t="shared" si="476"/>
        <v>0</v>
      </c>
      <c r="Q1060" s="3" t="str">
        <f t="shared" si="477"/>
        <v/>
      </c>
      <c r="T1060" s="13" t="str">
        <f t="shared" si="487"/>
        <v/>
      </c>
      <c r="U1060" s="14" t="str">
        <f t="shared" si="488"/>
        <v/>
      </c>
      <c r="V1060" s="13" t="str">
        <f t="shared" si="489"/>
        <v/>
      </c>
      <c r="W1060" s="13" t="str">
        <f t="shared" si="490"/>
        <v/>
      </c>
      <c r="X1060" s="14" t="str">
        <f t="shared" si="491"/>
        <v/>
      </c>
    </row>
    <row r="1061" spans="2:24" x14ac:dyDescent="0.3">
      <c r="B1061" s="1">
        <f t="shared" si="479"/>
        <v>0</v>
      </c>
      <c r="C1061" s="1">
        <f t="shared" si="480"/>
        <v>0</v>
      </c>
      <c r="D1061" s="10">
        <f t="shared" si="481"/>
        <v>0</v>
      </c>
      <c r="E1061" s="1">
        <f t="shared" si="482"/>
        <v>0</v>
      </c>
      <c r="F1061" s="1">
        <f t="shared" si="483"/>
        <v>0</v>
      </c>
      <c r="G1061" s="1">
        <f t="shared" si="484"/>
        <v>0</v>
      </c>
      <c r="H1061" s="1">
        <f t="shared" si="471"/>
        <v>0</v>
      </c>
      <c r="I1061" s="10">
        <f t="shared" si="485"/>
        <v>0</v>
      </c>
      <c r="J1061" s="1">
        <f t="shared" si="472"/>
        <v>0</v>
      </c>
      <c r="K1061" s="1">
        <f t="shared" si="473"/>
        <v>0</v>
      </c>
      <c r="L1061" s="1" t="str">
        <f t="shared" si="474"/>
        <v>0</v>
      </c>
      <c r="M1061" s="10">
        <f t="shared" si="475"/>
        <v>0</v>
      </c>
      <c r="N1061" s="1">
        <f t="shared" si="486"/>
        <v>0</v>
      </c>
      <c r="O1061" s="1">
        <f t="shared" si="478"/>
        <v>0</v>
      </c>
      <c r="P1061" s="1">
        <f t="shared" si="476"/>
        <v>0</v>
      </c>
      <c r="Q1061" s="3" t="str">
        <f t="shared" si="477"/>
        <v/>
      </c>
      <c r="T1061" s="13" t="str">
        <f t="shared" si="487"/>
        <v/>
      </c>
      <c r="U1061" s="14" t="str">
        <f t="shared" si="488"/>
        <v/>
      </c>
      <c r="V1061" s="13" t="str">
        <f t="shared" si="489"/>
        <v/>
      </c>
      <c r="W1061" s="13" t="str">
        <f t="shared" si="490"/>
        <v/>
      </c>
      <c r="X1061" s="14" t="str">
        <f t="shared" si="491"/>
        <v/>
      </c>
    </row>
    <row r="1062" spans="2:24" x14ac:dyDescent="0.3">
      <c r="B1062" s="1">
        <f t="shared" si="479"/>
        <v>0</v>
      </c>
      <c r="C1062" s="1">
        <f t="shared" si="480"/>
        <v>0</v>
      </c>
      <c r="D1062" s="10">
        <f t="shared" si="481"/>
        <v>0</v>
      </c>
      <c r="E1062" s="1">
        <f t="shared" si="482"/>
        <v>0</v>
      </c>
      <c r="F1062" s="1">
        <f t="shared" si="483"/>
        <v>0</v>
      </c>
      <c r="G1062" s="1">
        <f t="shared" si="484"/>
        <v>0</v>
      </c>
      <c r="H1062" s="1">
        <f t="shared" si="471"/>
        <v>0</v>
      </c>
      <c r="I1062" s="10">
        <f t="shared" si="485"/>
        <v>0</v>
      </c>
      <c r="J1062" s="1">
        <f t="shared" si="472"/>
        <v>0</v>
      </c>
      <c r="K1062" s="1">
        <f t="shared" si="473"/>
        <v>0</v>
      </c>
      <c r="L1062" s="1" t="str">
        <f t="shared" si="474"/>
        <v>0</v>
      </c>
      <c r="M1062" s="10">
        <f t="shared" si="475"/>
        <v>0</v>
      </c>
      <c r="N1062" s="1">
        <f t="shared" si="486"/>
        <v>0</v>
      </c>
      <c r="O1062" s="1">
        <f t="shared" si="478"/>
        <v>0</v>
      </c>
      <c r="P1062" s="1">
        <f t="shared" si="476"/>
        <v>0</v>
      </c>
      <c r="Q1062" s="3" t="str">
        <f t="shared" si="477"/>
        <v/>
      </c>
      <c r="T1062" s="13" t="str">
        <f t="shared" si="487"/>
        <v/>
      </c>
      <c r="U1062" s="14" t="str">
        <f t="shared" si="488"/>
        <v/>
      </c>
      <c r="V1062" s="13" t="str">
        <f t="shared" si="489"/>
        <v/>
      </c>
      <c r="W1062" s="13" t="str">
        <f t="shared" si="490"/>
        <v/>
      </c>
      <c r="X1062" s="14" t="str">
        <f t="shared" si="491"/>
        <v/>
      </c>
    </row>
    <row r="1063" spans="2:24" x14ac:dyDescent="0.3">
      <c r="B1063" s="1">
        <f t="shared" si="479"/>
        <v>0</v>
      </c>
      <c r="C1063" s="1">
        <f t="shared" si="480"/>
        <v>0</v>
      </c>
      <c r="D1063" s="10">
        <f t="shared" si="481"/>
        <v>0</v>
      </c>
      <c r="E1063" s="1">
        <f t="shared" si="482"/>
        <v>0</v>
      </c>
      <c r="F1063" s="1">
        <f t="shared" si="483"/>
        <v>0</v>
      </c>
      <c r="G1063" s="1">
        <f t="shared" si="484"/>
        <v>0</v>
      </c>
      <c r="H1063" s="1">
        <f t="shared" si="471"/>
        <v>0</v>
      </c>
      <c r="I1063" s="10">
        <f t="shared" si="485"/>
        <v>0</v>
      </c>
      <c r="J1063" s="1">
        <f t="shared" si="472"/>
        <v>0</v>
      </c>
      <c r="K1063" s="1">
        <f t="shared" si="473"/>
        <v>0</v>
      </c>
      <c r="L1063" s="1" t="str">
        <f t="shared" si="474"/>
        <v>0</v>
      </c>
      <c r="M1063" s="10">
        <f t="shared" si="475"/>
        <v>0</v>
      </c>
      <c r="N1063" s="1">
        <f t="shared" si="486"/>
        <v>0</v>
      </c>
      <c r="O1063" s="1">
        <f t="shared" si="478"/>
        <v>0</v>
      </c>
      <c r="P1063" s="1">
        <f t="shared" si="476"/>
        <v>0</v>
      </c>
      <c r="Q1063" s="3" t="str">
        <f t="shared" si="477"/>
        <v/>
      </c>
      <c r="T1063" s="13" t="str">
        <f t="shared" si="487"/>
        <v/>
      </c>
      <c r="U1063" s="14" t="str">
        <f t="shared" si="488"/>
        <v/>
      </c>
      <c r="V1063" s="13" t="str">
        <f t="shared" si="489"/>
        <v/>
      </c>
      <c r="W1063" s="13" t="str">
        <f t="shared" si="490"/>
        <v/>
      </c>
      <c r="X1063" s="14" t="str">
        <f t="shared" si="491"/>
        <v/>
      </c>
    </row>
    <row r="1064" spans="2:24" x14ac:dyDescent="0.3">
      <c r="B1064" s="1">
        <f t="shared" si="479"/>
        <v>0</v>
      </c>
      <c r="C1064" s="1">
        <f t="shared" si="480"/>
        <v>0</v>
      </c>
      <c r="D1064" s="10">
        <f t="shared" si="481"/>
        <v>0</v>
      </c>
      <c r="E1064" s="1">
        <f t="shared" si="482"/>
        <v>0</v>
      </c>
      <c r="F1064" s="1">
        <f t="shared" si="483"/>
        <v>0</v>
      </c>
      <c r="G1064" s="1">
        <f t="shared" si="484"/>
        <v>0</v>
      </c>
      <c r="H1064" s="1">
        <f t="shared" si="471"/>
        <v>0</v>
      </c>
      <c r="I1064" s="10">
        <f t="shared" si="485"/>
        <v>0</v>
      </c>
      <c r="J1064" s="1">
        <f t="shared" si="472"/>
        <v>0</v>
      </c>
      <c r="K1064" s="1">
        <f t="shared" si="473"/>
        <v>0</v>
      </c>
      <c r="L1064" s="1" t="str">
        <f t="shared" si="474"/>
        <v>0</v>
      </c>
      <c r="M1064" s="10">
        <f t="shared" si="475"/>
        <v>0</v>
      </c>
      <c r="N1064" s="1">
        <f t="shared" si="486"/>
        <v>0</v>
      </c>
      <c r="O1064" s="1">
        <f t="shared" si="478"/>
        <v>0</v>
      </c>
      <c r="P1064" s="1">
        <f t="shared" si="476"/>
        <v>0</v>
      </c>
      <c r="Q1064" s="3" t="str">
        <f t="shared" si="477"/>
        <v/>
      </c>
      <c r="T1064" s="13" t="str">
        <f t="shared" si="487"/>
        <v/>
      </c>
      <c r="U1064" s="14" t="str">
        <f t="shared" si="488"/>
        <v/>
      </c>
      <c r="V1064" s="13" t="str">
        <f t="shared" si="489"/>
        <v/>
      </c>
      <c r="W1064" s="13" t="str">
        <f t="shared" si="490"/>
        <v/>
      </c>
      <c r="X1064" s="14" t="str">
        <f t="shared" si="491"/>
        <v/>
      </c>
    </row>
    <row r="1065" spans="2:24" x14ac:dyDescent="0.3">
      <c r="B1065" s="1">
        <f t="shared" si="479"/>
        <v>0</v>
      </c>
      <c r="C1065" s="1">
        <f t="shared" si="480"/>
        <v>0</v>
      </c>
      <c r="D1065" s="10">
        <f t="shared" si="481"/>
        <v>0</v>
      </c>
      <c r="E1065" s="1">
        <f t="shared" si="482"/>
        <v>0</v>
      </c>
      <c r="F1065" s="1">
        <f t="shared" si="483"/>
        <v>0</v>
      </c>
      <c r="G1065" s="1">
        <f t="shared" si="484"/>
        <v>0</v>
      </c>
      <c r="H1065" s="1">
        <f t="shared" si="471"/>
        <v>0</v>
      </c>
      <c r="I1065" s="10">
        <f t="shared" si="485"/>
        <v>0</v>
      </c>
      <c r="J1065" s="1">
        <f t="shared" si="472"/>
        <v>0</v>
      </c>
      <c r="K1065" s="1">
        <f t="shared" si="473"/>
        <v>0</v>
      </c>
      <c r="L1065" s="1" t="str">
        <f t="shared" si="474"/>
        <v>0</v>
      </c>
      <c r="M1065" s="10">
        <f t="shared" si="475"/>
        <v>0</v>
      </c>
      <c r="N1065" s="1">
        <f t="shared" si="486"/>
        <v>0</v>
      </c>
      <c r="O1065" s="1">
        <f t="shared" si="478"/>
        <v>0</v>
      </c>
      <c r="P1065" s="1">
        <f t="shared" si="476"/>
        <v>0</v>
      </c>
      <c r="Q1065" s="3" t="str">
        <f t="shared" si="477"/>
        <v/>
      </c>
      <c r="T1065" s="13" t="str">
        <f t="shared" si="487"/>
        <v/>
      </c>
      <c r="U1065" s="14" t="str">
        <f t="shared" si="488"/>
        <v/>
      </c>
      <c r="V1065" s="13" t="str">
        <f t="shared" si="489"/>
        <v/>
      </c>
      <c r="W1065" s="13" t="str">
        <f t="shared" si="490"/>
        <v/>
      </c>
      <c r="X1065" s="14" t="str">
        <f t="shared" si="491"/>
        <v/>
      </c>
    </row>
    <row r="1066" spans="2:24" x14ac:dyDescent="0.3">
      <c r="B1066" s="1">
        <f t="shared" si="479"/>
        <v>0</v>
      </c>
      <c r="C1066" s="1">
        <f t="shared" si="480"/>
        <v>0</v>
      </c>
      <c r="D1066" s="10">
        <f t="shared" si="481"/>
        <v>0</v>
      </c>
      <c r="E1066" s="1">
        <f t="shared" si="482"/>
        <v>0</v>
      </c>
      <c r="F1066" s="1">
        <f t="shared" si="483"/>
        <v>0</v>
      </c>
      <c r="G1066" s="1">
        <f t="shared" si="484"/>
        <v>0</v>
      </c>
      <c r="H1066" s="1">
        <f t="shared" si="471"/>
        <v>0</v>
      </c>
      <c r="I1066" s="10">
        <f t="shared" si="485"/>
        <v>0</v>
      </c>
      <c r="J1066" s="1">
        <f t="shared" si="472"/>
        <v>0</v>
      </c>
      <c r="K1066" s="1">
        <f t="shared" si="473"/>
        <v>0</v>
      </c>
      <c r="L1066" s="1" t="str">
        <f t="shared" si="474"/>
        <v>0</v>
      </c>
      <c r="M1066" s="10">
        <f t="shared" si="475"/>
        <v>0</v>
      </c>
      <c r="N1066" s="1">
        <f t="shared" si="486"/>
        <v>0</v>
      </c>
      <c r="O1066" s="1">
        <f t="shared" si="478"/>
        <v>0</v>
      </c>
      <c r="P1066" s="1">
        <f t="shared" si="476"/>
        <v>0</v>
      </c>
      <c r="Q1066" s="3" t="str">
        <f t="shared" si="477"/>
        <v/>
      </c>
      <c r="T1066" s="13" t="str">
        <f t="shared" si="487"/>
        <v/>
      </c>
      <c r="U1066" s="14" t="str">
        <f t="shared" si="488"/>
        <v/>
      </c>
      <c r="V1066" s="13" t="str">
        <f t="shared" si="489"/>
        <v/>
      </c>
      <c r="W1066" s="13" t="str">
        <f t="shared" si="490"/>
        <v/>
      </c>
      <c r="X1066" s="14" t="str">
        <f t="shared" si="491"/>
        <v/>
      </c>
    </row>
    <row r="1067" spans="2:24" x14ac:dyDescent="0.3">
      <c r="B1067" s="1">
        <f t="shared" si="479"/>
        <v>0</v>
      </c>
      <c r="C1067" s="1">
        <f t="shared" si="480"/>
        <v>0</v>
      </c>
      <c r="D1067" s="10">
        <f t="shared" si="481"/>
        <v>0</v>
      </c>
      <c r="E1067" s="1">
        <f t="shared" si="482"/>
        <v>0</v>
      </c>
      <c r="F1067" s="1">
        <f t="shared" si="483"/>
        <v>0</v>
      </c>
      <c r="G1067" s="1">
        <f t="shared" si="484"/>
        <v>0</v>
      </c>
      <c r="H1067" s="1">
        <f t="shared" si="471"/>
        <v>0</v>
      </c>
      <c r="I1067" s="10">
        <f t="shared" si="485"/>
        <v>0</v>
      </c>
      <c r="J1067" s="1">
        <f t="shared" si="472"/>
        <v>0</v>
      </c>
      <c r="K1067" s="1">
        <f t="shared" si="473"/>
        <v>0</v>
      </c>
      <c r="L1067" s="1" t="str">
        <f t="shared" si="474"/>
        <v>0</v>
      </c>
      <c r="M1067" s="10">
        <f t="shared" si="475"/>
        <v>0</v>
      </c>
      <c r="N1067" s="1">
        <f t="shared" si="486"/>
        <v>0</v>
      </c>
      <c r="O1067" s="1">
        <f t="shared" si="478"/>
        <v>0</v>
      </c>
      <c r="P1067" s="1">
        <f t="shared" si="476"/>
        <v>0</v>
      </c>
      <c r="Q1067" s="3" t="str">
        <f t="shared" si="477"/>
        <v/>
      </c>
      <c r="T1067" s="13" t="str">
        <f t="shared" si="487"/>
        <v/>
      </c>
      <c r="U1067" s="14" t="str">
        <f t="shared" si="488"/>
        <v/>
      </c>
      <c r="V1067" s="13" t="str">
        <f t="shared" si="489"/>
        <v/>
      </c>
      <c r="W1067" s="13" t="str">
        <f t="shared" si="490"/>
        <v/>
      </c>
      <c r="X1067" s="14" t="str">
        <f t="shared" si="491"/>
        <v/>
      </c>
    </row>
    <row r="1068" spans="2:24" x14ac:dyDescent="0.3">
      <c r="B1068" s="1">
        <f t="shared" si="479"/>
        <v>0</v>
      </c>
      <c r="C1068" s="1">
        <f t="shared" si="480"/>
        <v>0</v>
      </c>
      <c r="D1068" s="10">
        <f t="shared" si="481"/>
        <v>0</v>
      </c>
      <c r="E1068" s="1">
        <f t="shared" si="482"/>
        <v>0</v>
      </c>
      <c r="F1068" s="1">
        <f t="shared" si="483"/>
        <v>0</v>
      </c>
      <c r="G1068" s="1">
        <f t="shared" si="484"/>
        <v>0</v>
      </c>
      <c r="H1068" s="1">
        <f t="shared" si="471"/>
        <v>0</v>
      </c>
      <c r="I1068" s="10">
        <f t="shared" si="485"/>
        <v>0</v>
      </c>
      <c r="J1068" s="1">
        <f t="shared" si="472"/>
        <v>0</v>
      </c>
      <c r="K1068" s="1">
        <f t="shared" si="473"/>
        <v>0</v>
      </c>
      <c r="L1068" s="1" t="str">
        <f t="shared" si="474"/>
        <v>0</v>
      </c>
      <c r="M1068" s="10">
        <f t="shared" si="475"/>
        <v>0</v>
      </c>
      <c r="N1068" s="1">
        <f t="shared" si="486"/>
        <v>0</v>
      </c>
      <c r="O1068" s="1">
        <f t="shared" si="478"/>
        <v>0</v>
      </c>
      <c r="P1068" s="1">
        <f t="shared" si="476"/>
        <v>0</v>
      </c>
      <c r="Q1068" s="3" t="str">
        <f t="shared" si="477"/>
        <v/>
      </c>
      <c r="T1068" s="13" t="str">
        <f t="shared" si="487"/>
        <v/>
      </c>
      <c r="U1068" s="14" t="str">
        <f t="shared" si="488"/>
        <v/>
      </c>
      <c r="V1068" s="13" t="str">
        <f t="shared" si="489"/>
        <v/>
      </c>
      <c r="W1068" s="13" t="str">
        <f t="shared" si="490"/>
        <v/>
      </c>
      <c r="X1068" s="14" t="str">
        <f t="shared" si="491"/>
        <v/>
      </c>
    </row>
    <row r="1069" spans="2:24" x14ac:dyDescent="0.3">
      <c r="B1069" s="1">
        <f t="shared" si="479"/>
        <v>0</v>
      </c>
      <c r="C1069" s="1">
        <f t="shared" si="480"/>
        <v>0</v>
      </c>
      <c r="D1069" s="10">
        <f t="shared" si="481"/>
        <v>0</v>
      </c>
      <c r="E1069" s="1">
        <f t="shared" si="482"/>
        <v>0</v>
      </c>
      <c r="F1069" s="1">
        <f t="shared" si="483"/>
        <v>0</v>
      </c>
      <c r="G1069" s="1">
        <f t="shared" si="484"/>
        <v>0</v>
      </c>
      <c r="H1069" s="1">
        <f t="shared" si="471"/>
        <v>0</v>
      </c>
      <c r="I1069" s="10">
        <f t="shared" si="485"/>
        <v>0</v>
      </c>
      <c r="J1069" s="1">
        <f t="shared" si="472"/>
        <v>0</v>
      </c>
      <c r="K1069" s="1">
        <f t="shared" si="473"/>
        <v>0</v>
      </c>
      <c r="L1069" s="1" t="str">
        <f t="shared" si="474"/>
        <v>0</v>
      </c>
      <c r="M1069" s="10">
        <f t="shared" si="475"/>
        <v>0</v>
      </c>
      <c r="N1069" s="1">
        <f t="shared" si="486"/>
        <v>0</v>
      </c>
      <c r="O1069" s="1">
        <f t="shared" si="478"/>
        <v>0</v>
      </c>
      <c r="P1069" s="1">
        <f t="shared" si="476"/>
        <v>0</v>
      </c>
      <c r="Q1069" s="3" t="str">
        <f t="shared" si="477"/>
        <v/>
      </c>
      <c r="T1069" s="13" t="str">
        <f t="shared" si="487"/>
        <v/>
      </c>
      <c r="U1069" s="14" t="str">
        <f t="shared" si="488"/>
        <v/>
      </c>
      <c r="V1069" s="13" t="str">
        <f t="shared" si="489"/>
        <v/>
      </c>
      <c r="W1069" s="13" t="str">
        <f t="shared" si="490"/>
        <v/>
      </c>
      <c r="X1069" s="14" t="str">
        <f t="shared" si="491"/>
        <v/>
      </c>
    </row>
    <row r="1070" spans="2:24" x14ac:dyDescent="0.3">
      <c r="B1070" s="1">
        <f t="shared" si="479"/>
        <v>0</v>
      </c>
      <c r="C1070" s="1">
        <f t="shared" si="480"/>
        <v>0</v>
      </c>
      <c r="D1070" s="10">
        <f t="shared" si="481"/>
        <v>0</v>
      </c>
      <c r="E1070" s="1">
        <f t="shared" si="482"/>
        <v>0</v>
      </c>
      <c r="F1070" s="1">
        <f t="shared" si="483"/>
        <v>0</v>
      </c>
      <c r="G1070" s="1">
        <f t="shared" si="484"/>
        <v>0</v>
      </c>
      <c r="H1070" s="1">
        <f t="shared" si="471"/>
        <v>0</v>
      </c>
      <c r="I1070" s="10">
        <f t="shared" si="485"/>
        <v>0</v>
      </c>
      <c r="J1070" s="1">
        <f t="shared" si="472"/>
        <v>0</v>
      </c>
      <c r="K1070" s="1">
        <f t="shared" si="473"/>
        <v>0</v>
      </c>
      <c r="L1070" s="1" t="str">
        <f t="shared" si="474"/>
        <v>0</v>
      </c>
      <c r="M1070" s="10">
        <f t="shared" si="475"/>
        <v>0</v>
      </c>
      <c r="N1070" s="1">
        <f t="shared" si="486"/>
        <v>0</v>
      </c>
      <c r="O1070" s="1">
        <f t="shared" si="478"/>
        <v>0</v>
      </c>
      <c r="P1070" s="1">
        <f t="shared" si="476"/>
        <v>0</v>
      </c>
      <c r="Q1070" s="3" t="str">
        <f t="shared" si="477"/>
        <v/>
      </c>
      <c r="T1070" s="13" t="str">
        <f t="shared" si="487"/>
        <v/>
      </c>
      <c r="U1070" s="14" t="str">
        <f t="shared" si="488"/>
        <v/>
      </c>
      <c r="V1070" s="13" t="str">
        <f t="shared" si="489"/>
        <v/>
      </c>
      <c r="W1070" s="13" t="str">
        <f t="shared" si="490"/>
        <v/>
      </c>
      <c r="X1070" s="14" t="str">
        <f t="shared" si="491"/>
        <v/>
      </c>
    </row>
    <row r="1071" spans="2:24" x14ac:dyDescent="0.3">
      <c r="B1071" s="1">
        <f t="shared" si="479"/>
        <v>0</v>
      </c>
      <c r="C1071" s="1">
        <f t="shared" si="480"/>
        <v>0</v>
      </c>
      <c r="D1071" s="10">
        <f t="shared" si="481"/>
        <v>0</v>
      </c>
      <c r="E1071" s="1">
        <f t="shared" si="482"/>
        <v>0</v>
      </c>
      <c r="F1071" s="1">
        <f t="shared" si="483"/>
        <v>0</v>
      </c>
      <c r="G1071" s="1">
        <f t="shared" si="484"/>
        <v>0</v>
      </c>
      <c r="H1071" s="1">
        <f t="shared" si="471"/>
        <v>0</v>
      </c>
      <c r="I1071" s="10">
        <f t="shared" si="485"/>
        <v>0</v>
      </c>
      <c r="J1071" s="1">
        <f t="shared" si="472"/>
        <v>0</v>
      </c>
      <c r="K1071" s="1">
        <f t="shared" si="473"/>
        <v>0</v>
      </c>
      <c r="L1071" s="1" t="str">
        <f t="shared" si="474"/>
        <v>0</v>
      </c>
      <c r="M1071" s="10">
        <f t="shared" si="475"/>
        <v>0</v>
      </c>
      <c r="N1071" s="1">
        <f t="shared" si="486"/>
        <v>0</v>
      </c>
      <c r="O1071" s="1">
        <f t="shared" si="478"/>
        <v>0</v>
      </c>
      <c r="P1071" s="1">
        <f t="shared" si="476"/>
        <v>0</v>
      </c>
      <c r="Q1071" s="3" t="str">
        <f t="shared" si="477"/>
        <v/>
      </c>
      <c r="T1071" s="13" t="str">
        <f t="shared" si="487"/>
        <v/>
      </c>
      <c r="U1071" s="14" t="str">
        <f t="shared" si="488"/>
        <v/>
      </c>
      <c r="V1071" s="13" t="str">
        <f t="shared" si="489"/>
        <v/>
      </c>
      <c r="W1071" s="13" t="str">
        <f t="shared" si="490"/>
        <v/>
      </c>
      <c r="X1071" s="14" t="str">
        <f t="shared" si="491"/>
        <v/>
      </c>
    </row>
    <row r="1072" spans="2:24" x14ac:dyDescent="0.3">
      <c r="B1072" s="1">
        <f t="shared" si="479"/>
        <v>0</v>
      </c>
      <c r="C1072" s="1">
        <f t="shared" si="480"/>
        <v>0</v>
      </c>
      <c r="D1072" s="10">
        <f t="shared" si="481"/>
        <v>0</v>
      </c>
      <c r="E1072" s="1">
        <f t="shared" si="482"/>
        <v>0</v>
      </c>
      <c r="F1072" s="1">
        <f t="shared" si="483"/>
        <v>0</v>
      </c>
      <c r="G1072" s="1">
        <f t="shared" si="484"/>
        <v>0</v>
      </c>
      <c r="H1072" s="1">
        <f t="shared" si="471"/>
        <v>0</v>
      </c>
      <c r="I1072" s="10">
        <f t="shared" si="485"/>
        <v>0</v>
      </c>
      <c r="J1072" s="1">
        <f t="shared" si="472"/>
        <v>0</v>
      </c>
      <c r="K1072" s="1">
        <f t="shared" si="473"/>
        <v>0</v>
      </c>
      <c r="L1072" s="1" t="str">
        <f t="shared" si="474"/>
        <v>0</v>
      </c>
      <c r="M1072" s="10">
        <f t="shared" si="475"/>
        <v>0</v>
      </c>
      <c r="N1072" s="1">
        <f t="shared" si="486"/>
        <v>0</v>
      </c>
      <c r="O1072" s="1">
        <f t="shared" si="478"/>
        <v>0</v>
      </c>
      <c r="P1072" s="1">
        <f t="shared" si="476"/>
        <v>0</v>
      </c>
      <c r="Q1072" s="3" t="str">
        <f t="shared" si="477"/>
        <v/>
      </c>
      <c r="T1072" s="13" t="str">
        <f t="shared" si="487"/>
        <v/>
      </c>
      <c r="U1072" s="14" t="str">
        <f t="shared" si="488"/>
        <v/>
      </c>
      <c r="V1072" s="13" t="str">
        <f t="shared" si="489"/>
        <v/>
      </c>
      <c r="W1072" s="13" t="str">
        <f t="shared" si="490"/>
        <v/>
      </c>
      <c r="X1072" s="14" t="str">
        <f t="shared" si="491"/>
        <v/>
      </c>
    </row>
    <row r="1073" spans="2:24" x14ac:dyDescent="0.3">
      <c r="B1073" s="1">
        <f t="shared" si="479"/>
        <v>0</v>
      </c>
      <c r="C1073" s="1">
        <f t="shared" si="480"/>
        <v>0</v>
      </c>
      <c r="D1073" s="10">
        <f t="shared" si="481"/>
        <v>0</v>
      </c>
      <c r="E1073" s="1">
        <f t="shared" si="482"/>
        <v>0</v>
      </c>
      <c r="F1073" s="1">
        <f t="shared" si="483"/>
        <v>0</v>
      </c>
      <c r="G1073" s="1">
        <f t="shared" si="484"/>
        <v>0</v>
      </c>
      <c r="H1073" s="1">
        <f t="shared" si="471"/>
        <v>0</v>
      </c>
      <c r="I1073" s="10">
        <f t="shared" si="485"/>
        <v>0</v>
      </c>
      <c r="J1073" s="1">
        <f t="shared" si="472"/>
        <v>0</v>
      </c>
      <c r="K1073" s="1">
        <f t="shared" si="473"/>
        <v>0</v>
      </c>
      <c r="L1073" s="1" t="str">
        <f t="shared" si="474"/>
        <v>0</v>
      </c>
      <c r="M1073" s="10">
        <f t="shared" si="475"/>
        <v>0</v>
      </c>
      <c r="N1073" s="1">
        <f t="shared" si="486"/>
        <v>0</v>
      </c>
      <c r="O1073" s="1">
        <f t="shared" si="478"/>
        <v>0</v>
      </c>
      <c r="P1073" s="1">
        <f t="shared" si="476"/>
        <v>0</v>
      </c>
      <c r="Q1073" s="3" t="str">
        <f t="shared" si="477"/>
        <v/>
      </c>
      <c r="T1073" s="13" t="str">
        <f t="shared" si="487"/>
        <v/>
      </c>
      <c r="U1073" s="14" t="str">
        <f t="shared" si="488"/>
        <v/>
      </c>
      <c r="V1073" s="13" t="str">
        <f t="shared" si="489"/>
        <v/>
      </c>
      <c r="W1073" s="13" t="str">
        <f t="shared" si="490"/>
        <v/>
      </c>
      <c r="X1073" s="14" t="str">
        <f t="shared" si="491"/>
        <v/>
      </c>
    </row>
    <row r="1074" spans="2:24" x14ac:dyDescent="0.3">
      <c r="B1074" s="1">
        <f t="shared" si="479"/>
        <v>0</v>
      </c>
      <c r="C1074" s="1">
        <f t="shared" si="480"/>
        <v>0</v>
      </c>
      <c r="D1074" s="10">
        <f t="shared" si="481"/>
        <v>0</v>
      </c>
      <c r="E1074" s="1">
        <f t="shared" si="482"/>
        <v>0</v>
      </c>
      <c r="F1074" s="1">
        <f t="shared" si="483"/>
        <v>0</v>
      </c>
      <c r="G1074" s="1">
        <f t="shared" si="484"/>
        <v>0</v>
      </c>
      <c r="H1074" s="1">
        <f t="shared" si="471"/>
        <v>0</v>
      </c>
      <c r="I1074" s="10">
        <f t="shared" si="485"/>
        <v>0</v>
      </c>
      <c r="J1074" s="1">
        <f t="shared" si="472"/>
        <v>0</v>
      </c>
      <c r="K1074" s="1">
        <f t="shared" si="473"/>
        <v>0</v>
      </c>
      <c r="L1074" s="1" t="str">
        <f t="shared" si="474"/>
        <v>0</v>
      </c>
      <c r="M1074" s="10">
        <f t="shared" si="475"/>
        <v>0</v>
      </c>
      <c r="N1074" s="1">
        <f t="shared" si="486"/>
        <v>0</v>
      </c>
      <c r="O1074" s="1">
        <f t="shared" si="478"/>
        <v>0</v>
      </c>
      <c r="P1074" s="1">
        <f t="shared" si="476"/>
        <v>0</v>
      </c>
      <c r="Q1074" s="3" t="str">
        <f t="shared" si="477"/>
        <v/>
      </c>
      <c r="T1074" s="13" t="str">
        <f t="shared" si="487"/>
        <v/>
      </c>
      <c r="U1074" s="14" t="str">
        <f t="shared" si="488"/>
        <v/>
      </c>
      <c r="V1074" s="13" t="str">
        <f t="shared" si="489"/>
        <v/>
      </c>
      <c r="W1074" s="13" t="str">
        <f t="shared" si="490"/>
        <v/>
      </c>
      <c r="X1074" s="14" t="str">
        <f t="shared" si="491"/>
        <v/>
      </c>
    </row>
    <row r="1075" spans="2:24" x14ac:dyDescent="0.3">
      <c r="B1075" s="1">
        <f t="shared" si="479"/>
        <v>0</v>
      </c>
      <c r="C1075" s="1">
        <f t="shared" si="480"/>
        <v>0</v>
      </c>
      <c r="D1075" s="10">
        <f t="shared" si="481"/>
        <v>0</v>
      </c>
      <c r="E1075" s="1">
        <f t="shared" si="482"/>
        <v>0</v>
      </c>
      <c r="F1075" s="1">
        <f t="shared" si="483"/>
        <v>0</v>
      </c>
      <c r="G1075" s="1">
        <f t="shared" si="484"/>
        <v>0</v>
      </c>
      <c r="H1075" s="1">
        <f t="shared" si="471"/>
        <v>0</v>
      </c>
      <c r="I1075" s="10">
        <f t="shared" si="485"/>
        <v>0</v>
      </c>
      <c r="J1075" s="1">
        <f t="shared" si="472"/>
        <v>0</v>
      </c>
      <c r="K1075" s="1">
        <f t="shared" si="473"/>
        <v>0</v>
      </c>
      <c r="L1075" s="1" t="str">
        <f t="shared" si="474"/>
        <v>0</v>
      </c>
      <c r="M1075" s="10">
        <f t="shared" si="475"/>
        <v>0</v>
      </c>
      <c r="N1075" s="1">
        <f t="shared" si="486"/>
        <v>0</v>
      </c>
      <c r="O1075" s="1">
        <f t="shared" si="478"/>
        <v>0</v>
      </c>
      <c r="P1075" s="1">
        <f t="shared" si="476"/>
        <v>0</v>
      </c>
      <c r="Q1075" s="3" t="str">
        <f t="shared" si="477"/>
        <v/>
      </c>
      <c r="T1075" s="13" t="str">
        <f t="shared" si="487"/>
        <v/>
      </c>
      <c r="U1075" s="14" t="str">
        <f t="shared" si="488"/>
        <v/>
      </c>
      <c r="V1075" s="13" t="str">
        <f t="shared" si="489"/>
        <v/>
      </c>
      <c r="W1075" s="13" t="str">
        <f t="shared" si="490"/>
        <v/>
      </c>
      <c r="X1075" s="14" t="str">
        <f t="shared" si="491"/>
        <v/>
      </c>
    </row>
    <row r="1076" spans="2:24" x14ac:dyDescent="0.3">
      <c r="B1076" s="1">
        <f t="shared" si="479"/>
        <v>0</v>
      </c>
      <c r="C1076" s="1">
        <f t="shared" si="480"/>
        <v>0</v>
      </c>
      <c r="D1076" s="10">
        <f t="shared" si="481"/>
        <v>0</v>
      </c>
      <c r="E1076" s="1">
        <f t="shared" si="482"/>
        <v>0</v>
      </c>
      <c r="F1076" s="1">
        <f t="shared" si="483"/>
        <v>0</v>
      </c>
      <c r="G1076" s="1">
        <f t="shared" si="484"/>
        <v>0</v>
      </c>
      <c r="H1076" s="1">
        <f t="shared" si="471"/>
        <v>0</v>
      </c>
      <c r="I1076" s="10">
        <f t="shared" si="485"/>
        <v>0</v>
      </c>
      <c r="J1076" s="1">
        <f t="shared" si="472"/>
        <v>0</v>
      </c>
      <c r="K1076" s="1">
        <f t="shared" si="473"/>
        <v>0</v>
      </c>
      <c r="L1076" s="1" t="str">
        <f t="shared" si="474"/>
        <v>0</v>
      </c>
      <c r="M1076" s="10">
        <f t="shared" si="475"/>
        <v>0</v>
      </c>
      <c r="N1076" s="1">
        <f t="shared" si="486"/>
        <v>0</v>
      </c>
      <c r="O1076" s="1">
        <f t="shared" si="478"/>
        <v>0</v>
      </c>
      <c r="P1076" s="1">
        <f t="shared" si="476"/>
        <v>0</v>
      </c>
      <c r="Q1076" s="3" t="str">
        <f t="shared" si="477"/>
        <v/>
      </c>
      <c r="T1076" s="13" t="str">
        <f t="shared" si="487"/>
        <v/>
      </c>
      <c r="U1076" s="14" t="str">
        <f t="shared" si="488"/>
        <v/>
      </c>
      <c r="V1076" s="13" t="str">
        <f t="shared" si="489"/>
        <v/>
      </c>
      <c r="W1076" s="13" t="str">
        <f t="shared" si="490"/>
        <v/>
      </c>
      <c r="X1076" s="14" t="str">
        <f t="shared" si="491"/>
        <v/>
      </c>
    </row>
    <row r="1077" spans="2:24" x14ac:dyDescent="0.3">
      <c r="B1077" s="1">
        <f t="shared" si="479"/>
        <v>0</v>
      </c>
      <c r="C1077" s="1">
        <f t="shared" si="480"/>
        <v>0</v>
      </c>
      <c r="D1077" s="10">
        <f t="shared" si="481"/>
        <v>0</v>
      </c>
      <c r="E1077" s="1">
        <f t="shared" si="482"/>
        <v>0</v>
      </c>
      <c r="F1077" s="1">
        <f t="shared" si="483"/>
        <v>0</v>
      </c>
      <c r="G1077" s="1">
        <f t="shared" si="484"/>
        <v>0</v>
      </c>
      <c r="H1077" s="1">
        <f t="shared" ref="H1077:H1140" si="492">IF(AND(F1077&gt;0,F1077&lt;G1077),F1077,G1077)</f>
        <v>0</v>
      </c>
      <c r="I1077" s="10">
        <f t="shared" si="485"/>
        <v>0</v>
      </c>
      <c r="J1077" s="1">
        <f t="shared" ref="J1077:J1140" si="493">IF(AND(F1077&gt;0,F1077&lt;G1077),FIND("=",A1077,F1077)+1,0)</f>
        <v>0</v>
      </c>
      <c r="K1077" s="1">
        <f t="shared" ref="K1077:K1140" si="494">IF(J1077&gt;0,MID(A1077,J1077,G1077-J1077),0)</f>
        <v>0</v>
      </c>
      <c r="L1077" s="1" t="str">
        <f t="shared" ref="L1077:L1140" si="495">IFERROR(RIGHT(K1077,LEN(K1077)-FIND("0x",K1077)-1),DEC2HEX(K1077))</f>
        <v>0</v>
      </c>
      <c r="M1077" s="10">
        <f t="shared" ref="M1077:M1140" si="496">HEX2DEC(L1077)</f>
        <v>0</v>
      </c>
      <c r="N1077" s="1">
        <f t="shared" si="486"/>
        <v>0</v>
      </c>
      <c r="O1077" s="1">
        <f t="shared" si="478"/>
        <v>0</v>
      </c>
      <c r="P1077" s="1">
        <f t="shared" ref="P1077:P1140" si="497">IFERROR(FIND("*/",$A1077,N1077+1),0)</f>
        <v>0</v>
      </c>
      <c r="Q1077" s="3" t="str">
        <f t="shared" si="477"/>
        <v/>
      </c>
      <c r="T1077" s="13" t="str">
        <f t="shared" si="487"/>
        <v/>
      </c>
      <c r="U1077" s="14" t="str">
        <f t="shared" si="488"/>
        <v/>
      </c>
      <c r="V1077" s="13" t="str">
        <f t="shared" si="489"/>
        <v/>
      </c>
      <c r="W1077" s="13" t="str">
        <f t="shared" si="490"/>
        <v/>
      </c>
      <c r="X1077" s="14" t="str">
        <f t="shared" si="491"/>
        <v/>
      </c>
    </row>
    <row r="1078" spans="2:24" x14ac:dyDescent="0.3">
      <c r="B1078" s="1">
        <f t="shared" si="479"/>
        <v>0</v>
      </c>
      <c r="C1078" s="1">
        <f t="shared" si="480"/>
        <v>0</v>
      </c>
      <c r="D1078" s="10">
        <f t="shared" si="481"/>
        <v>0</v>
      </c>
      <c r="E1078" s="1">
        <f t="shared" si="482"/>
        <v>0</v>
      </c>
      <c r="F1078" s="1">
        <f t="shared" si="483"/>
        <v>0</v>
      </c>
      <c r="G1078" s="1">
        <f t="shared" si="484"/>
        <v>0</v>
      </c>
      <c r="H1078" s="1">
        <f t="shared" si="492"/>
        <v>0</v>
      </c>
      <c r="I1078" s="10">
        <f t="shared" si="485"/>
        <v>0</v>
      </c>
      <c r="J1078" s="1">
        <f t="shared" si="493"/>
        <v>0</v>
      </c>
      <c r="K1078" s="1">
        <f t="shared" si="494"/>
        <v>0</v>
      </c>
      <c r="L1078" s="1" t="str">
        <f t="shared" si="495"/>
        <v>0</v>
      </c>
      <c r="M1078" s="10">
        <f t="shared" si="496"/>
        <v>0</v>
      </c>
      <c r="N1078" s="1">
        <f t="shared" si="486"/>
        <v>0</v>
      </c>
      <c r="O1078" s="1">
        <f t="shared" si="478"/>
        <v>0</v>
      </c>
      <c r="P1078" s="1">
        <f t="shared" si="497"/>
        <v>0</v>
      </c>
      <c r="Q1078" s="3" t="str">
        <f t="shared" si="477"/>
        <v/>
      </c>
      <c r="T1078" s="13" t="str">
        <f t="shared" si="487"/>
        <v/>
      </c>
      <c r="U1078" s="14" t="str">
        <f t="shared" si="488"/>
        <v/>
      </c>
      <c r="V1078" s="13" t="str">
        <f t="shared" si="489"/>
        <v/>
      </c>
      <c r="W1078" s="13" t="str">
        <f t="shared" si="490"/>
        <v/>
      </c>
      <c r="X1078" s="14" t="str">
        <f t="shared" si="491"/>
        <v/>
      </c>
    </row>
    <row r="1079" spans="2:24" x14ac:dyDescent="0.3">
      <c r="B1079" s="1">
        <f t="shared" si="479"/>
        <v>0</v>
      </c>
      <c r="C1079" s="1">
        <f t="shared" si="480"/>
        <v>0</v>
      </c>
      <c r="D1079" s="10">
        <f t="shared" si="481"/>
        <v>0</v>
      </c>
      <c r="E1079" s="1">
        <f t="shared" si="482"/>
        <v>0</v>
      </c>
      <c r="F1079" s="1">
        <f t="shared" si="483"/>
        <v>0</v>
      </c>
      <c r="G1079" s="1">
        <f t="shared" si="484"/>
        <v>0</v>
      </c>
      <c r="H1079" s="1">
        <f t="shared" si="492"/>
        <v>0</v>
      </c>
      <c r="I1079" s="10">
        <f t="shared" si="485"/>
        <v>0</v>
      </c>
      <c r="J1079" s="1">
        <f t="shared" si="493"/>
        <v>0</v>
      </c>
      <c r="K1079" s="1">
        <f t="shared" si="494"/>
        <v>0</v>
      </c>
      <c r="L1079" s="1" t="str">
        <f t="shared" si="495"/>
        <v>0</v>
      </c>
      <c r="M1079" s="10">
        <f t="shared" si="496"/>
        <v>0</v>
      </c>
      <c r="N1079" s="1">
        <f t="shared" si="486"/>
        <v>0</v>
      </c>
      <c r="O1079" s="1">
        <f t="shared" si="478"/>
        <v>0</v>
      </c>
      <c r="P1079" s="1">
        <f t="shared" si="497"/>
        <v>0</v>
      </c>
      <c r="Q1079" s="3" t="str">
        <f t="shared" si="477"/>
        <v/>
      </c>
      <c r="T1079" s="13" t="str">
        <f t="shared" si="487"/>
        <v/>
      </c>
      <c r="U1079" s="14" t="str">
        <f t="shared" si="488"/>
        <v/>
      </c>
      <c r="V1079" s="13" t="str">
        <f t="shared" si="489"/>
        <v/>
      </c>
      <c r="W1079" s="13" t="str">
        <f t="shared" si="490"/>
        <v/>
      </c>
      <c r="X1079" s="14" t="str">
        <f t="shared" si="491"/>
        <v/>
      </c>
    </row>
    <row r="1080" spans="2:24" x14ac:dyDescent="0.3">
      <c r="B1080" s="1">
        <f t="shared" si="479"/>
        <v>0</v>
      </c>
      <c r="C1080" s="1">
        <f t="shared" si="480"/>
        <v>0</v>
      </c>
      <c r="D1080" s="10">
        <f t="shared" si="481"/>
        <v>0</v>
      </c>
      <c r="E1080" s="1">
        <f t="shared" si="482"/>
        <v>0</v>
      </c>
      <c r="F1080" s="1">
        <f t="shared" si="483"/>
        <v>0</v>
      </c>
      <c r="G1080" s="1">
        <f t="shared" si="484"/>
        <v>0</v>
      </c>
      <c r="H1080" s="1">
        <f t="shared" si="492"/>
        <v>0</v>
      </c>
      <c r="I1080" s="10">
        <f t="shared" si="485"/>
        <v>0</v>
      </c>
      <c r="J1080" s="1">
        <f t="shared" si="493"/>
        <v>0</v>
      </c>
      <c r="K1080" s="1">
        <f t="shared" si="494"/>
        <v>0</v>
      </c>
      <c r="L1080" s="1" t="str">
        <f t="shared" si="495"/>
        <v>0</v>
      </c>
      <c r="M1080" s="10">
        <f t="shared" si="496"/>
        <v>0</v>
      </c>
      <c r="N1080" s="1">
        <f t="shared" si="486"/>
        <v>0</v>
      </c>
      <c r="O1080" s="1">
        <f t="shared" si="478"/>
        <v>0</v>
      </c>
      <c r="P1080" s="1">
        <f t="shared" si="497"/>
        <v>0</v>
      </c>
      <c r="Q1080" s="3" t="str">
        <f t="shared" si="477"/>
        <v/>
      </c>
      <c r="T1080" s="13" t="str">
        <f t="shared" si="487"/>
        <v/>
      </c>
      <c r="U1080" s="14" t="str">
        <f t="shared" si="488"/>
        <v/>
      </c>
      <c r="V1080" s="13" t="str">
        <f t="shared" si="489"/>
        <v/>
      </c>
      <c r="W1080" s="13" t="str">
        <f t="shared" si="490"/>
        <v/>
      </c>
      <c r="X1080" s="14" t="str">
        <f t="shared" si="491"/>
        <v/>
      </c>
    </row>
    <row r="1081" spans="2:24" x14ac:dyDescent="0.3">
      <c r="B1081" s="1">
        <f t="shared" si="479"/>
        <v>0</v>
      </c>
      <c r="C1081" s="1">
        <f t="shared" si="480"/>
        <v>0</v>
      </c>
      <c r="D1081" s="10">
        <f t="shared" si="481"/>
        <v>0</v>
      </c>
      <c r="E1081" s="1">
        <f t="shared" si="482"/>
        <v>0</v>
      </c>
      <c r="F1081" s="1">
        <f t="shared" si="483"/>
        <v>0</v>
      </c>
      <c r="G1081" s="1">
        <f t="shared" si="484"/>
        <v>0</v>
      </c>
      <c r="H1081" s="1">
        <f t="shared" si="492"/>
        <v>0</v>
      </c>
      <c r="I1081" s="10">
        <f t="shared" si="485"/>
        <v>0</v>
      </c>
      <c r="J1081" s="1">
        <f t="shared" si="493"/>
        <v>0</v>
      </c>
      <c r="K1081" s="1">
        <f t="shared" si="494"/>
        <v>0</v>
      </c>
      <c r="L1081" s="1" t="str">
        <f t="shared" si="495"/>
        <v>0</v>
      </c>
      <c r="M1081" s="10">
        <f t="shared" si="496"/>
        <v>0</v>
      </c>
      <c r="N1081" s="1">
        <f t="shared" si="486"/>
        <v>0</v>
      </c>
      <c r="O1081" s="1">
        <f t="shared" si="478"/>
        <v>0</v>
      </c>
      <c r="P1081" s="1">
        <f t="shared" si="497"/>
        <v>0</v>
      </c>
      <c r="Q1081" s="3" t="str">
        <f t="shared" si="477"/>
        <v/>
      </c>
      <c r="T1081" s="13" t="str">
        <f t="shared" si="487"/>
        <v/>
      </c>
      <c r="U1081" s="14" t="str">
        <f t="shared" si="488"/>
        <v/>
      </c>
      <c r="V1081" s="13" t="str">
        <f t="shared" si="489"/>
        <v/>
      </c>
      <c r="W1081" s="13" t="str">
        <f t="shared" si="490"/>
        <v/>
      </c>
      <c r="X1081" s="14" t="str">
        <f t="shared" si="491"/>
        <v/>
      </c>
    </row>
    <row r="1082" spans="2:24" x14ac:dyDescent="0.3">
      <c r="B1082" s="1">
        <f t="shared" si="479"/>
        <v>0</v>
      </c>
      <c r="C1082" s="1">
        <f t="shared" si="480"/>
        <v>0</v>
      </c>
      <c r="D1082" s="10">
        <f t="shared" si="481"/>
        <v>0</v>
      </c>
      <c r="E1082" s="1">
        <f t="shared" si="482"/>
        <v>0</v>
      </c>
      <c r="F1082" s="1">
        <f t="shared" si="483"/>
        <v>0</v>
      </c>
      <c r="G1082" s="1">
        <f t="shared" si="484"/>
        <v>0</v>
      </c>
      <c r="H1082" s="1">
        <f t="shared" si="492"/>
        <v>0</v>
      </c>
      <c r="I1082" s="10">
        <f t="shared" si="485"/>
        <v>0</v>
      </c>
      <c r="J1082" s="1">
        <f t="shared" si="493"/>
        <v>0</v>
      </c>
      <c r="K1082" s="1">
        <f t="shared" si="494"/>
        <v>0</v>
      </c>
      <c r="L1082" s="1" t="str">
        <f t="shared" si="495"/>
        <v>0</v>
      </c>
      <c r="M1082" s="10">
        <f t="shared" si="496"/>
        <v>0</v>
      </c>
      <c r="N1082" s="1">
        <f t="shared" si="486"/>
        <v>0</v>
      </c>
      <c r="O1082" s="1">
        <f t="shared" si="478"/>
        <v>0</v>
      </c>
      <c r="P1082" s="1">
        <f t="shared" si="497"/>
        <v>0</v>
      </c>
      <c r="Q1082" s="3" t="str">
        <f t="shared" si="477"/>
        <v/>
      </c>
      <c r="T1082" s="13" t="str">
        <f t="shared" si="487"/>
        <v/>
      </c>
      <c r="U1082" s="14" t="str">
        <f t="shared" si="488"/>
        <v/>
      </c>
      <c r="V1082" s="13" t="str">
        <f t="shared" si="489"/>
        <v/>
      </c>
      <c r="W1082" s="13" t="str">
        <f t="shared" si="490"/>
        <v/>
      </c>
      <c r="X1082" s="14" t="str">
        <f t="shared" si="491"/>
        <v/>
      </c>
    </row>
    <row r="1083" spans="2:24" x14ac:dyDescent="0.3">
      <c r="B1083" s="1">
        <f t="shared" si="479"/>
        <v>0</v>
      </c>
      <c r="C1083" s="1">
        <f t="shared" si="480"/>
        <v>0</v>
      </c>
      <c r="D1083" s="10">
        <f t="shared" si="481"/>
        <v>0</v>
      </c>
      <c r="E1083" s="1">
        <f t="shared" si="482"/>
        <v>0</v>
      </c>
      <c r="F1083" s="1">
        <f t="shared" si="483"/>
        <v>0</v>
      </c>
      <c r="G1083" s="1">
        <f t="shared" si="484"/>
        <v>0</v>
      </c>
      <c r="H1083" s="1">
        <f t="shared" si="492"/>
        <v>0</v>
      </c>
      <c r="I1083" s="10">
        <f t="shared" si="485"/>
        <v>0</v>
      </c>
      <c r="J1083" s="1">
        <f t="shared" si="493"/>
        <v>0</v>
      </c>
      <c r="K1083" s="1">
        <f t="shared" si="494"/>
        <v>0</v>
      </c>
      <c r="L1083" s="1" t="str">
        <f t="shared" si="495"/>
        <v>0</v>
      </c>
      <c r="M1083" s="10">
        <f t="shared" si="496"/>
        <v>0</v>
      </c>
      <c r="N1083" s="1">
        <f t="shared" si="486"/>
        <v>0</v>
      </c>
      <c r="O1083" s="1">
        <f t="shared" si="478"/>
        <v>0</v>
      </c>
      <c r="P1083" s="1">
        <f t="shared" si="497"/>
        <v>0</v>
      </c>
      <c r="Q1083" s="3" t="str">
        <f t="shared" si="477"/>
        <v/>
      </c>
      <c r="T1083" s="13" t="str">
        <f t="shared" si="487"/>
        <v/>
      </c>
      <c r="U1083" s="14" t="str">
        <f t="shared" si="488"/>
        <v/>
      </c>
      <c r="V1083" s="13" t="str">
        <f t="shared" si="489"/>
        <v/>
      </c>
      <c r="W1083" s="13" t="str">
        <f t="shared" si="490"/>
        <v/>
      </c>
      <c r="X1083" s="14" t="str">
        <f t="shared" si="491"/>
        <v/>
      </c>
    </row>
    <row r="1084" spans="2:24" x14ac:dyDescent="0.3">
      <c r="B1084" s="1">
        <f t="shared" si="479"/>
        <v>0</v>
      </c>
      <c r="C1084" s="1">
        <f t="shared" si="480"/>
        <v>0</v>
      </c>
      <c r="D1084" s="10">
        <f t="shared" si="481"/>
        <v>0</v>
      </c>
      <c r="E1084" s="1">
        <f t="shared" si="482"/>
        <v>0</v>
      </c>
      <c r="F1084" s="1">
        <f t="shared" si="483"/>
        <v>0</v>
      </c>
      <c r="G1084" s="1">
        <f t="shared" si="484"/>
        <v>0</v>
      </c>
      <c r="H1084" s="1">
        <f t="shared" si="492"/>
        <v>0</v>
      </c>
      <c r="I1084" s="10">
        <f t="shared" si="485"/>
        <v>0</v>
      </c>
      <c r="J1084" s="1">
        <f t="shared" si="493"/>
        <v>0</v>
      </c>
      <c r="K1084" s="1">
        <f t="shared" si="494"/>
        <v>0</v>
      </c>
      <c r="L1084" s="1" t="str">
        <f t="shared" si="495"/>
        <v>0</v>
      </c>
      <c r="M1084" s="10">
        <f t="shared" si="496"/>
        <v>0</v>
      </c>
      <c r="N1084" s="1">
        <f t="shared" si="486"/>
        <v>0</v>
      </c>
      <c r="O1084" s="1">
        <f t="shared" si="478"/>
        <v>0</v>
      </c>
      <c r="P1084" s="1">
        <f t="shared" si="497"/>
        <v>0</v>
      </c>
      <c r="Q1084" s="3" t="str">
        <f t="shared" si="477"/>
        <v/>
      </c>
      <c r="T1084" s="13" t="str">
        <f t="shared" si="487"/>
        <v/>
      </c>
      <c r="U1084" s="14" t="str">
        <f t="shared" si="488"/>
        <v/>
      </c>
      <c r="V1084" s="13" t="str">
        <f t="shared" si="489"/>
        <v/>
      </c>
      <c r="W1084" s="13" t="str">
        <f t="shared" si="490"/>
        <v/>
      </c>
      <c r="X1084" s="14" t="str">
        <f t="shared" si="491"/>
        <v/>
      </c>
    </row>
    <row r="1085" spans="2:24" x14ac:dyDescent="0.3">
      <c r="B1085" s="1">
        <f t="shared" si="479"/>
        <v>0</v>
      </c>
      <c r="C1085" s="1">
        <f t="shared" si="480"/>
        <v>0</v>
      </c>
      <c r="D1085" s="10">
        <f t="shared" si="481"/>
        <v>0</v>
      </c>
      <c r="E1085" s="1">
        <f t="shared" si="482"/>
        <v>0</v>
      </c>
      <c r="F1085" s="1">
        <f t="shared" si="483"/>
        <v>0</v>
      </c>
      <c r="G1085" s="1">
        <f t="shared" si="484"/>
        <v>0</v>
      </c>
      <c r="H1085" s="1">
        <f t="shared" si="492"/>
        <v>0</v>
      </c>
      <c r="I1085" s="10">
        <f t="shared" si="485"/>
        <v>0</v>
      </c>
      <c r="J1085" s="1">
        <f t="shared" si="493"/>
        <v>0</v>
      </c>
      <c r="K1085" s="1">
        <f t="shared" si="494"/>
        <v>0</v>
      </c>
      <c r="L1085" s="1" t="str">
        <f t="shared" si="495"/>
        <v>0</v>
      </c>
      <c r="M1085" s="10">
        <f t="shared" si="496"/>
        <v>0</v>
      </c>
      <c r="N1085" s="1">
        <f t="shared" si="486"/>
        <v>0</v>
      </c>
      <c r="O1085" s="1">
        <f t="shared" si="478"/>
        <v>0</v>
      </c>
      <c r="P1085" s="1">
        <f t="shared" si="497"/>
        <v>0</v>
      </c>
      <c r="Q1085" s="3" t="str">
        <f t="shared" si="477"/>
        <v/>
      </c>
      <c r="T1085" s="13" t="str">
        <f t="shared" si="487"/>
        <v/>
      </c>
      <c r="U1085" s="14" t="str">
        <f t="shared" si="488"/>
        <v/>
      </c>
      <c r="V1085" s="13" t="str">
        <f t="shared" si="489"/>
        <v/>
      </c>
      <c r="W1085" s="13" t="str">
        <f t="shared" si="490"/>
        <v/>
      </c>
      <c r="X1085" s="14" t="str">
        <f t="shared" si="491"/>
        <v/>
      </c>
    </row>
    <row r="1086" spans="2:24" x14ac:dyDescent="0.3">
      <c r="B1086" s="1">
        <f t="shared" si="479"/>
        <v>0</v>
      </c>
      <c r="C1086" s="1">
        <f t="shared" si="480"/>
        <v>0</v>
      </c>
      <c r="D1086" s="10">
        <f t="shared" si="481"/>
        <v>0</v>
      </c>
      <c r="E1086" s="1">
        <f t="shared" si="482"/>
        <v>0</v>
      </c>
      <c r="F1086" s="1">
        <f t="shared" si="483"/>
        <v>0</v>
      </c>
      <c r="G1086" s="1">
        <f t="shared" si="484"/>
        <v>0</v>
      </c>
      <c r="H1086" s="1">
        <f t="shared" si="492"/>
        <v>0</v>
      </c>
      <c r="I1086" s="10">
        <f t="shared" si="485"/>
        <v>0</v>
      </c>
      <c r="J1086" s="1">
        <f t="shared" si="493"/>
        <v>0</v>
      </c>
      <c r="K1086" s="1">
        <f t="shared" si="494"/>
        <v>0</v>
      </c>
      <c r="L1086" s="1" t="str">
        <f t="shared" si="495"/>
        <v>0</v>
      </c>
      <c r="M1086" s="10">
        <f t="shared" si="496"/>
        <v>0</v>
      </c>
      <c r="N1086" s="1">
        <f t="shared" si="486"/>
        <v>0</v>
      </c>
      <c r="O1086" s="1">
        <f t="shared" si="478"/>
        <v>0</v>
      </c>
      <c r="P1086" s="1">
        <f t="shared" si="497"/>
        <v>0</v>
      </c>
      <c r="Q1086" s="3" t="str">
        <f t="shared" si="477"/>
        <v/>
      </c>
      <c r="T1086" s="13" t="str">
        <f t="shared" si="487"/>
        <v/>
      </c>
      <c r="U1086" s="14" t="str">
        <f t="shared" si="488"/>
        <v/>
      </c>
      <c r="V1086" s="13" t="str">
        <f t="shared" si="489"/>
        <v/>
      </c>
      <c r="W1086" s="13" t="str">
        <f t="shared" si="490"/>
        <v/>
      </c>
      <c r="X1086" s="14" t="str">
        <f t="shared" si="491"/>
        <v/>
      </c>
    </row>
    <row r="1087" spans="2:24" x14ac:dyDescent="0.3">
      <c r="B1087" s="1">
        <f t="shared" si="479"/>
        <v>0</v>
      </c>
      <c r="C1087" s="1">
        <f t="shared" si="480"/>
        <v>0</v>
      </c>
      <c r="D1087" s="10">
        <f t="shared" si="481"/>
        <v>0</v>
      </c>
      <c r="E1087" s="1">
        <f t="shared" si="482"/>
        <v>0</v>
      </c>
      <c r="F1087" s="1">
        <f t="shared" si="483"/>
        <v>0</v>
      </c>
      <c r="G1087" s="1">
        <f t="shared" si="484"/>
        <v>0</v>
      </c>
      <c r="H1087" s="1">
        <f t="shared" si="492"/>
        <v>0</v>
      </c>
      <c r="I1087" s="10">
        <f t="shared" si="485"/>
        <v>0</v>
      </c>
      <c r="J1087" s="1">
        <f t="shared" si="493"/>
        <v>0</v>
      </c>
      <c r="K1087" s="1">
        <f t="shared" si="494"/>
        <v>0</v>
      </c>
      <c r="L1087" s="1" t="str">
        <f t="shared" si="495"/>
        <v>0</v>
      </c>
      <c r="M1087" s="10">
        <f t="shared" si="496"/>
        <v>0</v>
      </c>
      <c r="N1087" s="1">
        <f t="shared" si="486"/>
        <v>0</v>
      </c>
      <c r="O1087" s="1">
        <f t="shared" si="478"/>
        <v>0</v>
      </c>
      <c r="P1087" s="1">
        <f t="shared" si="497"/>
        <v>0</v>
      </c>
      <c r="Q1087" s="3" t="str">
        <f t="shared" si="477"/>
        <v/>
      </c>
      <c r="T1087" s="13" t="str">
        <f t="shared" si="487"/>
        <v/>
      </c>
      <c r="U1087" s="14" t="str">
        <f t="shared" si="488"/>
        <v/>
      </c>
      <c r="V1087" s="13" t="str">
        <f t="shared" si="489"/>
        <v/>
      </c>
      <c r="W1087" s="13" t="str">
        <f t="shared" si="490"/>
        <v/>
      </c>
      <c r="X1087" s="14" t="str">
        <f t="shared" si="491"/>
        <v/>
      </c>
    </row>
    <row r="1088" spans="2:24" x14ac:dyDescent="0.3">
      <c r="B1088" s="1">
        <f t="shared" si="479"/>
        <v>0</v>
      </c>
      <c r="C1088" s="1">
        <f t="shared" si="480"/>
        <v>0</v>
      </c>
      <c r="D1088" s="10">
        <f t="shared" si="481"/>
        <v>0</v>
      </c>
      <c r="E1088" s="1">
        <f t="shared" si="482"/>
        <v>0</v>
      </c>
      <c r="F1088" s="1">
        <f t="shared" si="483"/>
        <v>0</v>
      </c>
      <c r="G1088" s="1">
        <f t="shared" si="484"/>
        <v>0</v>
      </c>
      <c r="H1088" s="1">
        <f t="shared" si="492"/>
        <v>0</v>
      </c>
      <c r="I1088" s="10">
        <f t="shared" si="485"/>
        <v>0</v>
      </c>
      <c r="J1088" s="1">
        <f t="shared" si="493"/>
        <v>0</v>
      </c>
      <c r="K1088" s="1">
        <f t="shared" si="494"/>
        <v>0</v>
      </c>
      <c r="L1088" s="1" t="str">
        <f t="shared" si="495"/>
        <v>0</v>
      </c>
      <c r="M1088" s="10">
        <f t="shared" si="496"/>
        <v>0</v>
      </c>
      <c r="N1088" s="1">
        <f t="shared" si="486"/>
        <v>0</v>
      </c>
      <c r="O1088" s="1">
        <f t="shared" si="478"/>
        <v>0</v>
      </c>
      <c r="P1088" s="1">
        <f t="shared" si="497"/>
        <v>0</v>
      </c>
      <c r="Q1088" s="3" t="str">
        <f t="shared" si="477"/>
        <v/>
      </c>
      <c r="T1088" s="13" t="str">
        <f t="shared" si="487"/>
        <v/>
      </c>
      <c r="U1088" s="14" t="str">
        <f t="shared" si="488"/>
        <v/>
      </c>
      <c r="V1088" s="13" t="str">
        <f t="shared" si="489"/>
        <v/>
      </c>
      <c r="W1088" s="13" t="str">
        <f t="shared" si="490"/>
        <v/>
      </c>
      <c r="X1088" s="14" t="str">
        <f t="shared" si="491"/>
        <v/>
      </c>
    </row>
    <row r="1089" spans="2:24" x14ac:dyDescent="0.3">
      <c r="B1089" s="1">
        <f t="shared" si="479"/>
        <v>0</v>
      </c>
      <c r="C1089" s="1">
        <f t="shared" si="480"/>
        <v>0</v>
      </c>
      <c r="D1089" s="10">
        <f t="shared" si="481"/>
        <v>0</v>
      </c>
      <c r="E1089" s="1">
        <f t="shared" si="482"/>
        <v>0</v>
      </c>
      <c r="F1089" s="1">
        <f t="shared" si="483"/>
        <v>0</v>
      </c>
      <c r="G1089" s="1">
        <f t="shared" si="484"/>
        <v>0</v>
      </c>
      <c r="H1089" s="1">
        <f t="shared" si="492"/>
        <v>0</v>
      </c>
      <c r="I1089" s="10">
        <f t="shared" si="485"/>
        <v>0</v>
      </c>
      <c r="J1089" s="1">
        <f t="shared" si="493"/>
        <v>0</v>
      </c>
      <c r="K1089" s="1">
        <f t="shared" si="494"/>
        <v>0</v>
      </c>
      <c r="L1089" s="1" t="str">
        <f t="shared" si="495"/>
        <v>0</v>
      </c>
      <c r="M1089" s="10">
        <f t="shared" si="496"/>
        <v>0</v>
      </c>
      <c r="N1089" s="1">
        <f t="shared" si="486"/>
        <v>0</v>
      </c>
      <c r="O1089" s="1">
        <f t="shared" si="478"/>
        <v>0</v>
      </c>
      <c r="P1089" s="1">
        <f t="shared" si="497"/>
        <v>0</v>
      </c>
      <c r="Q1089" s="3" t="str">
        <f t="shared" si="477"/>
        <v/>
      </c>
      <c r="T1089" s="13" t="str">
        <f t="shared" si="487"/>
        <v/>
      </c>
      <c r="U1089" s="14" t="str">
        <f t="shared" si="488"/>
        <v/>
      </c>
      <c r="V1089" s="13" t="str">
        <f t="shared" si="489"/>
        <v/>
      </c>
      <c r="W1089" s="13" t="str">
        <f t="shared" si="490"/>
        <v/>
      </c>
      <c r="X1089" s="14" t="str">
        <f t="shared" si="491"/>
        <v/>
      </c>
    </row>
    <row r="1090" spans="2:24" x14ac:dyDescent="0.3">
      <c r="B1090" s="1">
        <f t="shared" si="479"/>
        <v>0</v>
      </c>
      <c r="C1090" s="1">
        <f t="shared" si="480"/>
        <v>0</v>
      </c>
      <c r="D1090" s="10">
        <f t="shared" si="481"/>
        <v>0</v>
      </c>
      <c r="E1090" s="1">
        <f t="shared" si="482"/>
        <v>0</v>
      </c>
      <c r="F1090" s="1">
        <f t="shared" si="483"/>
        <v>0</v>
      </c>
      <c r="G1090" s="1">
        <f t="shared" si="484"/>
        <v>0</v>
      </c>
      <c r="H1090" s="1">
        <f t="shared" si="492"/>
        <v>0</v>
      </c>
      <c r="I1090" s="10">
        <f t="shared" si="485"/>
        <v>0</v>
      </c>
      <c r="J1090" s="1">
        <f t="shared" si="493"/>
        <v>0</v>
      </c>
      <c r="K1090" s="1">
        <f t="shared" si="494"/>
        <v>0</v>
      </c>
      <c r="L1090" s="1" t="str">
        <f t="shared" si="495"/>
        <v>0</v>
      </c>
      <c r="M1090" s="10">
        <f t="shared" si="496"/>
        <v>0</v>
      </c>
      <c r="N1090" s="1">
        <f t="shared" si="486"/>
        <v>0</v>
      </c>
      <c r="O1090" s="1">
        <f t="shared" si="478"/>
        <v>0</v>
      </c>
      <c r="P1090" s="1">
        <f t="shared" si="497"/>
        <v>0</v>
      </c>
      <c r="Q1090" s="3" t="str">
        <f t="shared" si="477"/>
        <v/>
      </c>
      <c r="T1090" s="13" t="str">
        <f t="shared" si="487"/>
        <v/>
      </c>
      <c r="U1090" s="14" t="str">
        <f t="shared" si="488"/>
        <v/>
      </c>
      <c r="V1090" s="13" t="str">
        <f t="shared" si="489"/>
        <v/>
      </c>
      <c r="W1090" s="13" t="str">
        <f t="shared" si="490"/>
        <v/>
      </c>
      <c r="X1090" s="14" t="str">
        <f t="shared" si="491"/>
        <v/>
      </c>
    </row>
    <row r="1091" spans="2:24" x14ac:dyDescent="0.3">
      <c r="B1091" s="1">
        <f t="shared" si="479"/>
        <v>0</v>
      </c>
      <c r="C1091" s="1">
        <f t="shared" si="480"/>
        <v>0</v>
      </c>
      <c r="D1091" s="10">
        <f t="shared" si="481"/>
        <v>0</v>
      </c>
      <c r="E1091" s="1">
        <f t="shared" si="482"/>
        <v>0</v>
      </c>
      <c r="F1091" s="1">
        <f t="shared" si="483"/>
        <v>0</v>
      </c>
      <c r="G1091" s="1">
        <f t="shared" si="484"/>
        <v>0</v>
      </c>
      <c r="H1091" s="1">
        <f t="shared" si="492"/>
        <v>0</v>
      </c>
      <c r="I1091" s="10">
        <f t="shared" si="485"/>
        <v>0</v>
      </c>
      <c r="J1091" s="1">
        <f t="shared" si="493"/>
        <v>0</v>
      </c>
      <c r="K1091" s="1">
        <f t="shared" si="494"/>
        <v>0</v>
      </c>
      <c r="L1091" s="1" t="str">
        <f t="shared" si="495"/>
        <v>0</v>
      </c>
      <c r="M1091" s="10">
        <f t="shared" si="496"/>
        <v>0</v>
      </c>
      <c r="N1091" s="1">
        <f t="shared" si="486"/>
        <v>0</v>
      </c>
      <c r="O1091" s="1">
        <f t="shared" si="478"/>
        <v>0</v>
      </c>
      <c r="P1091" s="1">
        <f t="shared" si="497"/>
        <v>0</v>
      </c>
      <c r="Q1091" s="3" t="str">
        <f t="shared" si="477"/>
        <v/>
      </c>
      <c r="T1091" s="13" t="str">
        <f t="shared" si="487"/>
        <v/>
      </c>
      <c r="U1091" s="14" t="str">
        <f t="shared" si="488"/>
        <v/>
      </c>
      <c r="V1091" s="13" t="str">
        <f t="shared" si="489"/>
        <v/>
      </c>
      <c r="W1091" s="13" t="str">
        <f t="shared" si="490"/>
        <v/>
      </c>
      <c r="X1091" s="14" t="str">
        <f t="shared" si="491"/>
        <v/>
      </c>
    </row>
    <row r="1092" spans="2:24" x14ac:dyDescent="0.3">
      <c r="B1092" s="1">
        <f t="shared" si="479"/>
        <v>0</v>
      </c>
      <c r="C1092" s="1">
        <f t="shared" si="480"/>
        <v>0</v>
      </c>
      <c r="D1092" s="10">
        <f t="shared" si="481"/>
        <v>0</v>
      </c>
      <c r="E1092" s="1">
        <f t="shared" si="482"/>
        <v>0</v>
      </c>
      <c r="F1092" s="1">
        <f t="shared" si="483"/>
        <v>0</v>
      </c>
      <c r="G1092" s="1">
        <f t="shared" si="484"/>
        <v>0</v>
      </c>
      <c r="H1092" s="1">
        <f t="shared" si="492"/>
        <v>0</v>
      </c>
      <c r="I1092" s="10">
        <f t="shared" si="485"/>
        <v>0</v>
      </c>
      <c r="J1092" s="1">
        <f t="shared" si="493"/>
        <v>0</v>
      </c>
      <c r="K1092" s="1">
        <f t="shared" si="494"/>
        <v>0</v>
      </c>
      <c r="L1092" s="1" t="str">
        <f t="shared" si="495"/>
        <v>0</v>
      </c>
      <c r="M1092" s="10">
        <f t="shared" si="496"/>
        <v>0</v>
      </c>
      <c r="N1092" s="1">
        <f t="shared" si="486"/>
        <v>0</v>
      </c>
      <c r="O1092" s="1">
        <f t="shared" si="478"/>
        <v>0</v>
      </c>
      <c r="P1092" s="1">
        <f t="shared" si="497"/>
        <v>0</v>
      </c>
      <c r="Q1092" s="3" t="str">
        <f t="shared" ref="Q1092:Q1155" si="498">IF($N1092&gt;0,MID($A1092,($N1092+$O1092),$P1092-($N1092+$O1092)),"")</f>
        <v/>
      </c>
      <c r="T1092" s="13" t="str">
        <f t="shared" si="487"/>
        <v/>
      </c>
      <c r="U1092" s="14" t="str">
        <f t="shared" si="488"/>
        <v/>
      </c>
      <c r="V1092" s="13" t="str">
        <f t="shared" si="489"/>
        <v/>
      </c>
      <c r="W1092" s="13" t="str">
        <f t="shared" si="490"/>
        <v/>
      </c>
      <c r="X1092" s="14" t="str">
        <f t="shared" si="491"/>
        <v/>
      </c>
    </row>
    <row r="1093" spans="2:24" x14ac:dyDescent="0.3">
      <c r="B1093" s="1">
        <f t="shared" si="479"/>
        <v>0</v>
      </c>
      <c r="C1093" s="1">
        <f t="shared" si="480"/>
        <v>0</v>
      </c>
      <c r="D1093" s="10">
        <f t="shared" si="481"/>
        <v>0</v>
      </c>
      <c r="E1093" s="1">
        <f t="shared" si="482"/>
        <v>0</v>
      </c>
      <c r="F1093" s="1">
        <f t="shared" si="483"/>
        <v>0</v>
      </c>
      <c r="G1093" s="1">
        <f t="shared" si="484"/>
        <v>0</v>
      </c>
      <c r="H1093" s="1">
        <f t="shared" si="492"/>
        <v>0</v>
      </c>
      <c r="I1093" s="10">
        <f t="shared" si="485"/>
        <v>0</v>
      </c>
      <c r="J1093" s="1">
        <f t="shared" si="493"/>
        <v>0</v>
      </c>
      <c r="K1093" s="1">
        <f t="shared" si="494"/>
        <v>0</v>
      </c>
      <c r="L1093" s="1" t="str">
        <f t="shared" si="495"/>
        <v>0</v>
      </c>
      <c r="M1093" s="10">
        <f t="shared" si="496"/>
        <v>0</v>
      </c>
      <c r="N1093" s="1">
        <f t="shared" si="486"/>
        <v>0</v>
      </c>
      <c r="O1093" s="1">
        <f t="shared" ref="O1093:O1156" si="499">IFERROR(FIND("#",$A1093)+1-N1093,0)</f>
        <v>0</v>
      </c>
      <c r="P1093" s="1">
        <f t="shared" si="497"/>
        <v>0</v>
      </c>
      <c r="Q1093" s="3" t="str">
        <f t="shared" si="498"/>
        <v/>
      </c>
      <c r="T1093" s="13" t="str">
        <f t="shared" si="487"/>
        <v/>
      </c>
      <c r="U1093" s="14" t="str">
        <f t="shared" si="488"/>
        <v/>
      </c>
      <c r="V1093" s="13" t="str">
        <f t="shared" si="489"/>
        <v/>
      </c>
      <c r="W1093" s="13" t="str">
        <f t="shared" si="490"/>
        <v/>
      </c>
      <c r="X1093" s="14" t="str">
        <f t="shared" si="491"/>
        <v/>
      </c>
    </row>
    <row r="1094" spans="2:24" x14ac:dyDescent="0.3">
      <c r="B1094" s="1">
        <f t="shared" si="479"/>
        <v>0</v>
      </c>
      <c r="C1094" s="1">
        <f t="shared" si="480"/>
        <v>0</v>
      </c>
      <c r="D1094" s="10">
        <f t="shared" si="481"/>
        <v>0</v>
      </c>
      <c r="E1094" s="1">
        <f t="shared" si="482"/>
        <v>0</v>
      </c>
      <c r="F1094" s="1">
        <f t="shared" si="483"/>
        <v>0</v>
      </c>
      <c r="G1094" s="1">
        <f t="shared" si="484"/>
        <v>0</v>
      </c>
      <c r="H1094" s="1">
        <f t="shared" si="492"/>
        <v>0</v>
      </c>
      <c r="I1094" s="10">
        <f t="shared" si="485"/>
        <v>0</v>
      </c>
      <c r="J1094" s="1">
        <f t="shared" si="493"/>
        <v>0</v>
      </c>
      <c r="K1094" s="1">
        <f t="shared" si="494"/>
        <v>0</v>
      </c>
      <c r="L1094" s="1" t="str">
        <f t="shared" si="495"/>
        <v>0</v>
      </c>
      <c r="M1094" s="10">
        <f t="shared" si="496"/>
        <v>0</v>
      </c>
      <c r="N1094" s="1">
        <f t="shared" si="486"/>
        <v>0</v>
      </c>
      <c r="O1094" s="1">
        <f t="shared" si="499"/>
        <v>0</v>
      </c>
      <c r="P1094" s="1">
        <f t="shared" si="497"/>
        <v>0</v>
      </c>
      <c r="Q1094" s="3" t="str">
        <f t="shared" si="498"/>
        <v/>
      </c>
      <c r="T1094" s="13" t="str">
        <f t="shared" si="487"/>
        <v/>
      </c>
      <c r="U1094" s="14" t="str">
        <f t="shared" si="488"/>
        <v/>
      </c>
      <c r="V1094" s="13" t="str">
        <f t="shared" si="489"/>
        <v/>
      </c>
      <c r="W1094" s="13" t="str">
        <f t="shared" si="490"/>
        <v/>
      </c>
      <c r="X1094" s="14" t="str">
        <f t="shared" si="491"/>
        <v/>
      </c>
    </row>
    <row r="1095" spans="2:24" x14ac:dyDescent="0.3">
      <c r="B1095" s="1">
        <f t="shared" ref="B1095:B1158" si="500">IFERROR(FIND("UP_SET(",$A1095)+7,0)</f>
        <v>0</v>
      </c>
      <c r="C1095" s="1">
        <f t="shared" ref="C1095:C1158" si="501">IF($B1095&gt;0,FIND(",",$A1095,$B1095),0)</f>
        <v>0</v>
      </c>
      <c r="D1095" s="10">
        <f t="shared" ref="D1095:D1158" si="502">IF($B1095&gt;0,MID($A1095,$B1095,$C1095-$B1095),0)</f>
        <v>0</v>
      </c>
      <c r="E1095" s="1">
        <f t="shared" ref="E1095:E1158" si="503">IF($B1095&gt;0,FIND("Up",$A1095,$C1095),0)</f>
        <v>0</v>
      </c>
      <c r="F1095" s="1">
        <f t="shared" ref="F1095:F1158" si="504">IF($B1095&gt;0,IFERROR(FIND(",",$A1095,$E1095),0),0)</f>
        <v>0</v>
      </c>
      <c r="G1095" s="1">
        <f t="shared" ref="G1095:G1158" si="505">IF($B1095&gt;0,FIND(")",$A1095,$B1095),0)</f>
        <v>0</v>
      </c>
      <c r="H1095" s="1">
        <f t="shared" si="492"/>
        <v>0</v>
      </c>
      <c r="I1095" s="10">
        <f t="shared" ref="I1095:I1158" si="506">IF($B1095&gt;0,MID($A1095,$E1095,$H1095-$E1095),0)</f>
        <v>0</v>
      </c>
      <c r="J1095" s="1">
        <f t="shared" si="493"/>
        <v>0</v>
      </c>
      <c r="K1095" s="1">
        <f t="shared" si="494"/>
        <v>0</v>
      </c>
      <c r="L1095" s="1" t="str">
        <f t="shared" si="495"/>
        <v>0</v>
      </c>
      <c r="M1095" s="10">
        <f t="shared" si="496"/>
        <v>0</v>
      </c>
      <c r="N1095" s="1">
        <f t="shared" ref="N1095:N1158" si="507">IFERROR(FIND("/*",$A1095)+2,0)</f>
        <v>0</v>
      </c>
      <c r="O1095" s="1">
        <f t="shared" si="499"/>
        <v>0</v>
      </c>
      <c r="P1095" s="1">
        <f t="shared" si="497"/>
        <v>0</v>
      </c>
      <c r="Q1095" s="3" t="str">
        <f t="shared" si="498"/>
        <v/>
      </c>
      <c r="T1095" s="13" t="str">
        <f t="shared" si="487"/>
        <v/>
      </c>
      <c r="U1095" s="14" t="str">
        <f t="shared" si="488"/>
        <v/>
      </c>
      <c r="V1095" s="13" t="str">
        <f t="shared" si="489"/>
        <v/>
      </c>
      <c r="W1095" s="13" t="str">
        <f t="shared" si="490"/>
        <v/>
      </c>
      <c r="X1095" s="14" t="str">
        <f t="shared" si="491"/>
        <v/>
      </c>
    </row>
    <row r="1096" spans="2:24" x14ac:dyDescent="0.3">
      <c r="B1096" s="1">
        <f t="shared" si="500"/>
        <v>0</v>
      </c>
      <c r="C1096" s="1">
        <f t="shared" si="501"/>
        <v>0</v>
      </c>
      <c r="D1096" s="10">
        <f t="shared" si="502"/>
        <v>0</v>
      </c>
      <c r="E1096" s="1">
        <f t="shared" si="503"/>
        <v>0</v>
      </c>
      <c r="F1096" s="1">
        <f t="shared" si="504"/>
        <v>0</v>
      </c>
      <c r="G1096" s="1">
        <f t="shared" si="505"/>
        <v>0</v>
      </c>
      <c r="H1096" s="1">
        <f t="shared" si="492"/>
        <v>0</v>
      </c>
      <c r="I1096" s="10">
        <f t="shared" si="506"/>
        <v>0</v>
      </c>
      <c r="J1096" s="1">
        <f t="shared" si="493"/>
        <v>0</v>
      </c>
      <c r="K1096" s="1">
        <f t="shared" si="494"/>
        <v>0</v>
      </c>
      <c r="L1096" s="1" t="str">
        <f t="shared" si="495"/>
        <v>0</v>
      </c>
      <c r="M1096" s="10">
        <f t="shared" si="496"/>
        <v>0</v>
      </c>
      <c r="N1096" s="1">
        <f t="shared" si="507"/>
        <v>0</v>
      </c>
      <c r="O1096" s="1">
        <f t="shared" si="499"/>
        <v>0</v>
      </c>
      <c r="P1096" s="1">
        <f t="shared" si="497"/>
        <v>0</v>
      </c>
      <c r="Q1096" s="3" t="str">
        <f t="shared" si="498"/>
        <v/>
      </c>
      <c r="T1096" s="13" t="str">
        <f t="shared" si="487"/>
        <v/>
      </c>
      <c r="U1096" s="14" t="str">
        <f t="shared" si="488"/>
        <v/>
      </c>
      <c r="V1096" s="13" t="str">
        <f t="shared" si="489"/>
        <v/>
      </c>
      <c r="W1096" s="13" t="str">
        <f t="shared" si="490"/>
        <v/>
      </c>
      <c r="X1096" s="14" t="str">
        <f t="shared" si="491"/>
        <v/>
      </c>
    </row>
    <row r="1097" spans="2:24" x14ac:dyDescent="0.3">
      <c r="B1097" s="1">
        <f t="shared" si="500"/>
        <v>0</v>
      </c>
      <c r="C1097" s="1">
        <f t="shared" si="501"/>
        <v>0</v>
      </c>
      <c r="D1097" s="10">
        <f t="shared" si="502"/>
        <v>0</v>
      </c>
      <c r="E1097" s="1">
        <f t="shared" si="503"/>
        <v>0</v>
      </c>
      <c r="F1097" s="1">
        <f t="shared" si="504"/>
        <v>0</v>
      </c>
      <c r="G1097" s="1">
        <f t="shared" si="505"/>
        <v>0</v>
      </c>
      <c r="H1097" s="1">
        <f t="shared" si="492"/>
        <v>0</v>
      </c>
      <c r="I1097" s="10">
        <f t="shared" si="506"/>
        <v>0</v>
      </c>
      <c r="J1097" s="1">
        <f t="shared" si="493"/>
        <v>0</v>
      </c>
      <c r="K1097" s="1">
        <f t="shared" si="494"/>
        <v>0</v>
      </c>
      <c r="L1097" s="1" t="str">
        <f t="shared" si="495"/>
        <v>0</v>
      </c>
      <c r="M1097" s="10">
        <f t="shared" si="496"/>
        <v>0</v>
      </c>
      <c r="N1097" s="1">
        <f t="shared" si="507"/>
        <v>0</v>
      </c>
      <c r="O1097" s="1">
        <f t="shared" si="499"/>
        <v>0</v>
      </c>
      <c r="P1097" s="1">
        <f t="shared" si="497"/>
        <v>0</v>
      </c>
      <c r="Q1097" s="3" t="str">
        <f t="shared" si="498"/>
        <v/>
      </c>
      <c r="T1097" s="13" t="str">
        <f t="shared" si="487"/>
        <v/>
      </c>
      <c r="U1097" s="14" t="str">
        <f t="shared" si="488"/>
        <v/>
      </c>
      <c r="V1097" s="13" t="str">
        <f t="shared" si="489"/>
        <v/>
      </c>
      <c r="W1097" s="13" t="str">
        <f t="shared" si="490"/>
        <v/>
      </c>
      <c r="X1097" s="14" t="str">
        <f t="shared" si="491"/>
        <v/>
      </c>
    </row>
    <row r="1098" spans="2:24" x14ac:dyDescent="0.3">
      <c r="B1098" s="1">
        <f t="shared" si="500"/>
        <v>0</v>
      </c>
      <c r="C1098" s="1">
        <f t="shared" si="501"/>
        <v>0</v>
      </c>
      <c r="D1098" s="10">
        <f t="shared" si="502"/>
        <v>0</v>
      </c>
      <c r="E1098" s="1">
        <f t="shared" si="503"/>
        <v>0</v>
      </c>
      <c r="F1098" s="1">
        <f t="shared" si="504"/>
        <v>0</v>
      </c>
      <c r="G1098" s="1">
        <f t="shared" si="505"/>
        <v>0</v>
      </c>
      <c r="H1098" s="1">
        <f t="shared" si="492"/>
        <v>0</v>
      </c>
      <c r="I1098" s="10">
        <f t="shared" si="506"/>
        <v>0</v>
      </c>
      <c r="J1098" s="1">
        <f t="shared" si="493"/>
        <v>0</v>
      </c>
      <c r="K1098" s="1">
        <f t="shared" si="494"/>
        <v>0</v>
      </c>
      <c r="L1098" s="1" t="str">
        <f t="shared" si="495"/>
        <v>0</v>
      </c>
      <c r="M1098" s="10">
        <f t="shared" si="496"/>
        <v>0</v>
      </c>
      <c r="N1098" s="1">
        <f t="shared" si="507"/>
        <v>0</v>
      </c>
      <c r="O1098" s="1">
        <f t="shared" si="499"/>
        <v>0</v>
      </c>
      <c r="P1098" s="1">
        <f t="shared" si="497"/>
        <v>0</v>
      </c>
      <c r="Q1098" s="3" t="str">
        <f t="shared" si="498"/>
        <v/>
      </c>
      <c r="T1098" s="13" t="str">
        <f t="shared" si="487"/>
        <v/>
      </c>
      <c r="U1098" s="14" t="str">
        <f t="shared" si="488"/>
        <v/>
      </c>
      <c r="V1098" s="13" t="str">
        <f t="shared" si="489"/>
        <v/>
      </c>
      <c r="W1098" s="13" t="str">
        <f t="shared" si="490"/>
        <v/>
      </c>
      <c r="X1098" s="14" t="str">
        <f t="shared" si="491"/>
        <v/>
      </c>
    </row>
    <row r="1099" spans="2:24" x14ac:dyDescent="0.3">
      <c r="B1099" s="1">
        <f t="shared" si="500"/>
        <v>0</v>
      </c>
      <c r="C1099" s="1">
        <f t="shared" si="501"/>
        <v>0</v>
      </c>
      <c r="D1099" s="10">
        <f t="shared" si="502"/>
        <v>0</v>
      </c>
      <c r="E1099" s="1">
        <f t="shared" si="503"/>
        <v>0</v>
      </c>
      <c r="F1099" s="1">
        <f t="shared" si="504"/>
        <v>0</v>
      </c>
      <c r="G1099" s="1">
        <f t="shared" si="505"/>
        <v>0</v>
      </c>
      <c r="H1099" s="1">
        <f t="shared" si="492"/>
        <v>0</v>
      </c>
      <c r="I1099" s="10">
        <f t="shared" si="506"/>
        <v>0</v>
      </c>
      <c r="J1099" s="1">
        <f t="shared" si="493"/>
        <v>0</v>
      </c>
      <c r="K1099" s="1">
        <f t="shared" si="494"/>
        <v>0</v>
      </c>
      <c r="L1099" s="1" t="str">
        <f t="shared" si="495"/>
        <v>0</v>
      </c>
      <c r="M1099" s="10">
        <f t="shared" si="496"/>
        <v>0</v>
      </c>
      <c r="N1099" s="1">
        <f t="shared" si="507"/>
        <v>0</v>
      </c>
      <c r="O1099" s="1">
        <f t="shared" si="499"/>
        <v>0</v>
      </c>
      <c r="P1099" s="1">
        <f t="shared" si="497"/>
        <v>0</v>
      </c>
      <c r="Q1099" s="3" t="str">
        <f t="shared" si="498"/>
        <v/>
      </c>
      <c r="T1099" s="13" t="str">
        <f t="shared" si="487"/>
        <v/>
      </c>
      <c r="U1099" s="14" t="str">
        <f t="shared" si="488"/>
        <v/>
      </c>
      <c r="V1099" s="13" t="str">
        <f t="shared" si="489"/>
        <v/>
      </c>
      <c r="W1099" s="13" t="str">
        <f t="shared" si="490"/>
        <v/>
      </c>
      <c r="X1099" s="14" t="str">
        <f t="shared" si="491"/>
        <v/>
      </c>
    </row>
    <row r="1100" spans="2:24" x14ac:dyDescent="0.3">
      <c r="B1100" s="1">
        <f t="shared" si="500"/>
        <v>0</v>
      </c>
      <c r="C1100" s="1">
        <f t="shared" si="501"/>
        <v>0</v>
      </c>
      <c r="D1100" s="10">
        <f t="shared" si="502"/>
        <v>0</v>
      </c>
      <c r="E1100" s="1">
        <f t="shared" si="503"/>
        <v>0</v>
      </c>
      <c r="F1100" s="1">
        <f t="shared" si="504"/>
        <v>0</v>
      </c>
      <c r="G1100" s="1">
        <f t="shared" si="505"/>
        <v>0</v>
      </c>
      <c r="H1100" s="1">
        <f t="shared" si="492"/>
        <v>0</v>
      </c>
      <c r="I1100" s="10">
        <f t="shared" si="506"/>
        <v>0</v>
      </c>
      <c r="J1100" s="1">
        <f t="shared" si="493"/>
        <v>0</v>
      </c>
      <c r="K1100" s="1">
        <f t="shared" si="494"/>
        <v>0</v>
      </c>
      <c r="L1100" s="1" t="str">
        <f t="shared" si="495"/>
        <v>0</v>
      </c>
      <c r="M1100" s="10">
        <f t="shared" si="496"/>
        <v>0</v>
      </c>
      <c r="N1100" s="1">
        <f t="shared" si="507"/>
        <v>0</v>
      </c>
      <c r="O1100" s="1">
        <f t="shared" si="499"/>
        <v>0</v>
      </c>
      <c r="P1100" s="1">
        <f t="shared" si="497"/>
        <v>0</v>
      </c>
      <c r="Q1100" s="3" t="str">
        <f t="shared" si="498"/>
        <v/>
      </c>
      <c r="T1100" s="13" t="str">
        <f t="shared" si="487"/>
        <v/>
      </c>
      <c r="U1100" s="14" t="str">
        <f t="shared" si="488"/>
        <v/>
      </c>
      <c r="V1100" s="13" t="str">
        <f t="shared" si="489"/>
        <v/>
      </c>
      <c r="W1100" s="13" t="str">
        <f t="shared" si="490"/>
        <v/>
      </c>
      <c r="X1100" s="14" t="str">
        <f t="shared" si="491"/>
        <v/>
      </c>
    </row>
    <row r="1101" spans="2:24" x14ac:dyDescent="0.3">
      <c r="B1101" s="1">
        <f t="shared" si="500"/>
        <v>0</v>
      </c>
      <c r="C1101" s="1">
        <f t="shared" si="501"/>
        <v>0</v>
      </c>
      <c r="D1101" s="10">
        <f t="shared" si="502"/>
        <v>0</v>
      </c>
      <c r="E1101" s="1">
        <f t="shared" si="503"/>
        <v>0</v>
      </c>
      <c r="F1101" s="1">
        <f t="shared" si="504"/>
        <v>0</v>
      </c>
      <c r="G1101" s="1">
        <f t="shared" si="505"/>
        <v>0</v>
      </c>
      <c r="H1101" s="1">
        <f t="shared" si="492"/>
        <v>0</v>
      </c>
      <c r="I1101" s="10">
        <f t="shared" si="506"/>
        <v>0</v>
      </c>
      <c r="J1101" s="1">
        <f t="shared" si="493"/>
        <v>0</v>
      </c>
      <c r="K1101" s="1">
        <f t="shared" si="494"/>
        <v>0</v>
      </c>
      <c r="L1101" s="1" t="str">
        <f t="shared" si="495"/>
        <v>0</v>
      </c>
      <c r="M1101" s="10">
        <f t="shared" si="496"/>
        <v>0</v>
      </c>
      <c r="N1101" s="1">
        <f t="shared" si="507"/>
        <v>0</v>
      </c>
      <c r="O1101" s="1">
        <f t="shared" si="499"/>
        <v>0</v>
      </c>
      <c r="P1101" s="1">
        <f t="shared" si="497"/>
        <v>0</v>
      </c>
      <c r="Q1101" s="3" t="str">
        <f t="shared" si="498"/>
        <v/>
      </c>
      <c r="T1101" s="13" t="str">
        <f t="shared" si="487"/>
        <v/>
      </c>
      <c r="U1101" s="14" t="str">
        <f t="shared" si="488"/>
        <v/>
      </c>
      <c r="V1101" s="13" t="str">
        <f t="shared" si="489"/>
        <v/>
      </c>
      <c r="W1101" s="13" t="str">
        <f t="shared" si="490"/>
        <v/>
      </c>
      <c r="X1101" s="14" t="str">
        <f t="shared" si="491"/>
        <v/>
      </c>
    </row>
    <row r="1102" spans="2:24" x14ac:dyDescent="0.3">
      <c r="B1102" s="1">
        <f t="shared" si="500"/>
        <v>0</v>
      </c>
      <c r="C1102" s="1">
        <f t="shared" si="501"/>
        <v>0</v>
      </c>
      <c r="D1102" s="10">
        <f t="shared" si="502"/>
        <v>0</v>
      </c>
      <c r="E1102" s="1">
        <f t="shared" si="503"/>
        <v>0</v>
      </c>
      <c r="F1102" s="1">
        <f t="shared" si="504"/>
        <v>0</v>
      </c>
      <c r="G1102" s="1">
        <f t="shared" si="505"/>
        <v>0</v>
      </c>
      <c r="H1102" s="1">
        <f t="shared" si="492"/>
        <v>0</v>
      </c>
      <c r="I1102" s="10">
        <f t="shared" si="506"/>
        <v>0</v>
      </c>
      <c r="J1102" s="1">
        <f t="shared" si="493"/>
        <v>0</v>
      </c>
      <c r="K1102" s="1">
        <f t="shared" si="494"/>
        <v>0</v>
      </c>
      <c r="L1102" s="1" t="str">
        <f t="shared" si="495"/>
        <v>0</v>
      </c>
      <c r="M1102" s="10">
        <f t="shared" si="496"/>
        <v>0</v>
      </c>
      <c r="N1102" s="1">
        <f t="shared" si="507"/>
        <v>0</v>
      </c>
      <c r="O1102" s="1">
        <f t="shared" si="499"/>
        <v>0</v>
      </c>
      <c r="P1102" s="1">
        <f t="shared" si="497"/>
        <v>0</v>
      </c>
      <c r="Q1102" s="3" t="str">
        <f t="shared" si="498"/>
        <v/>
      </c>
      <c r="T1102" s="13" t="str">
        <f t="shared" si="487"/>
        <v/>
      </c>
      <c r="U1102" s="14" t="str">
        <f t="shared" si="488"/>
        <v/>
      </c>
      <c r="V1102" s="13" t="str">
        <f t="shared" si="489"/>
        <v/>
      </c>
      <c r="W1102" s="13" t="str">
        <f t="shared" si="490"/>
        <v/>
      </c>
      <c r="X1102" s="14" t="str">
        <f t="shared" si="491"/>
        <v/>
      </c>
    </row>
    <row r="1103" spans="2:24" x14ac:dyDescent="0.3">
      <c r="B1103" s="1">
        <f t="shared" si="500"/>
        <v>0</v>
      </c>
      <c r="C1103" s="1">
        <f t="shared" si="501"/>
        <v>0</v>
      </c>
      <c r="D1103" s="10">
        <f t="shared" si="502"/>
        <v>0</v>
      </c>
      <c r="E1103" s="1">
        <f t="shared" si="503"/>
        <v>0</v>
      </c>
      <c r="F1103" s="1">
        <f t="shared" si="504"/>
        <v>0</v>
      </c>
      <c r="G1103" s="1">
        <f t="shared" si="505"/>
        <v>0</v>
      </c>
      <c r="H1103" s="1">
        <f t="shared" si="492"/>
        <v>0</v>
      </c>
      <c r="I1103" s="10">
        <f t="shared" si="506"/>
        <v>0</v>
      </c>
      <c r="J1103" s="1">
        <f t="shared" si="493"/>
        <v>0</v>
      </c>
      <c r="K1103" s="1">
        <f t="shared" si="494"/>
        <v>0</v>
      </c>
      <c r="L1103" s="1" t="str">
        <f t="shared" si="495"/>
        <v>0</v>
      </c>
      <c r="M1103" s="10">
        <f t="shared" si="496"/>
        <v>0</v>
      </c>
      <c r="N1103" s="1">
        <f t="shared" si="507"/>
        <v>0</v>
      </c>
      <c r="O1103" s="1">
        <f t="shared" si="499"/>
        <v>0</v>
      </c>
      <c r="P1103" s="1">
        <f t="shared" si="497"/>
        <v>0</v>
      </c>
      <c r="Q1103" s="3" t="str">
        <f t="shared" si="498"/>
        <v/>
      </c>
      <c r="T1103" s="13" t="str">
        <f t="shared" si="487"/>
        <v/>
      </c>
      <c r="U1103" s="14" t="str">
        <f t="shared" si="488"/>
        <v/>
      </c>
      <c r="V1103" s="13" t="str">
        <f t="shared" si="489"/>
        <v/>
      </c>
      <c r="W1103" s="13" t="str">
        <f t="shared" si="490"/>
        <v/>
      </c>
      <c r="X1103" s="14" t="str">
        <f t="shared" si="491"/>
        <v/>
      </c>
    </row>
    <row r="1104" spans="2:24" x14ac:dyDescent="0.3">
      <c r="B1104" s="1">
        <f t="shared" si="500"/>
        <v>0</v>
      </c>
      <c r="C1104" s="1">
        <f t="shared" si="501"/>
        <v>0</v>
      </c>
      <c r="D1104" s="10">
        <f t="shared" si="502"/>
        <v>0</v>
      </c>
      <c r="E1104" s="1">
        <f t="shared" si="503"/>
        <v>0</v>
      </c>
      <c r="F1104" s="1">
        <f t="shared" si="504"/>
        <v>0</v>
      </c>
      <c r="G1104" s="1">
        <f t="shared" si="505"/>
        <v>0</v>
      </c>
      <c r="H1104" s="1">
        <f t="shared" si="492"/>
        <v>0</v>
      </c>
      <c r="I1104" s="10">
        <f t="shared" si="506"/>
        <v>0</v>
      </c>
      <c r="J1104" s="1">
        <f t="shared" si="493"/>
        <v>0</v>
      </c>
      <c r="K1104" s="1">
        <f t="shared" si="494"/>
        <v>0</v>
      </c>
      <c r="L1104" s="1" t="str">
        <f t="shared" si="495"/>
        <v>0</v>
      </c>
      <c r="M1104" s="10">
        <f t="shared" si="496"/>
        <v>0</v>
      </c>
      <c r="N1104" s="1">
        <f t="shared" si="507"/>
        <v>0</v>
      </c>
      <c r="O1104" s="1">
        <f t="shared" si="499"/>
        <v>0</v>
      </c>
      <c r="P1104" s="1">
        <f t="shared" si="497"/>
        <v>0</v>
      </c>
      <c r="Q1104" s="3" t="str">
        <f t="shared" si="498"/>
        <v/>
      </c>
      <c r="T1104" s="13" t="str">
        <f t="shared" si="487"/>
        <v/>
      </c>
      <c r="U1104" s="14" t="str">
        <f t="shared" si="488"/>
        <v/>
      </c>
      <c r="V1104" s="13" t="str">
        <f t="shared" si="489"/>
        <v/>
      </c>
      <c r="W1104" s="13" t="str">
        <f t="shared" si="490"/>
        <v/>
      </c>
      <c r="X1104" s="14" t="str">
        <f t="shared" si="491"/>
        <v/>
      </c>
    </row>
    <row r="1105" spans="2:24" x14ac:dyDescent="0.3">
      <c r="B1105" s="1">
        <f t="shared" si="500"/>
        <v>0</v>
      </c>
      <c r="C1105" s="1">
        <f t="shared" si="501"/>
        <v>0</v>
      </c>
      <c r="D1105" s="10">
        <f t="shared" si="502"/>
        <v>0</v>
      </c>
      <c r="E1105" s="1">
        <f t="shared" si="503"/>
        <v>0</v>
      </c>
      <c r="F1105" s="1">
        <f t="shared" si="504"/>
        <v>0</v>
      </c>
      <c r="G1105" s="1">
        <f t="shared" si="505"/>
        <v>0</v>
      </c>
      <c r="H1105" s="1">
        <f t="shared" si="492"/>
        <v>0</v>
      </c>
      <c r="I1105" s="10">
        <f t="shared" si="506"/>
        <v>0</v>
      </c>
      <c r="J1105" s="1">
        <f t="shared" si="493"/>
        <v>0</v>
      </c>
      <c r="K1105" s="1">
        <f t="shared" si="494"/>
        <v>0</v>
      </c>
      <c r="L1105" s="1" t="str">
        <f t="shared" si="495"/>
        <v>0</v>
      </c>
      <c r="M1105" s="10">
        <f t="shared" si="496"/>
        <v>0</v>
      </c>
      <c r="N1105" s="1">
        <f t="shared" si="507"/>
        <v>0</v>
      </c>
      <c r="O1105" s="1">
        <f t="shared" si="499"/>
        <v>0</v>
      </c>
      <c r="P1105" s="1">
        <f t="shared" si="497"/>
        <v>0</v>
      </c>
      <c r="Q1105" s="3" t="str">
        <f t="shared" si="498"/>
        <v/>
      </c>
      <c r="T1105" s="13" t="str">
        <f t="shared" si="487"/>
        <v/>
      </c>
      <c r="U1105" s="14" t="str">
        <f t="shared" si="488"/>
        <v/>
      </c>
      <c r="V1105" s="13" t="str">
        <f t="shared" si="489"/>
        <v/>
      </c>
      <c r="W1105" s="13" t="str">
        <f t="shared" si="490"/>
        <v/>
      </c>
      <c r="X1105" s="14" t="str">
        <f t="shared" si="491"/>
        <v/>
      </c>
    </row>
    <row r="1106" spans="2:24" x14ac:dyDescent="0.3">
      <c r="B1106" s="1">
        <f t="shared" si="500"/>
        <v>0</v>
      </c>
      <c r="C1106" s="1">
        <f t="shared" si="501"/>
        <v>0</v>
      </c>
      <c r="D1106" s="10">
        <f t="shared" si="502"/>
        <v>0</v>
      </c>
      <c r="E1106" s="1">
        <f t="shared" si="503"/>
        <v>0</v>
      </c>
      <c r="F1106" s="1">
        <f t="shared" si="504"/>
        <v>0</v>
      </c>
      <c r="G1106" s="1">
        <f t="shared" si="505"/>
        <v>0</v>
      </c>
      <c r="H1106" s="1">
        <f t="shared" si="492"/>
        <v>0</v>
      </c>
      <c r="I1106" s="10">
        <f t="shared" si="506"/>
        <v>0</v>
      </c>
      <c r="J1106" s="1">
        <f t="shared" si="493"/>
        <v>0</v>
      </c>
      <c r="K1106" s="1">
        <f t="shared" si="494"/>
        <v>0</v>
      </c>
      <c r="L1106" s="1" t="str">
        <f t="shared" si="495"/>
        <v>0</v>
      </c>
      <c r="M1106" s="10">
        <f t="shared" si="496"/>
        <v>0</v>
      </c>
      <c r="N1106" s="1">
        <f t="shared" si="507"/>
        <v>0</v>
      </c>
      <c r="O1106" s="1">
        <f t="shared" si="499"/>
        <v>0</v>
      </c>
      <c r="P1106" s="1">
        <f t="shared" si="497"/>
        <v>0</v>
      </c>
      <c r="Q1106" s="3" t="str">
        <f t="shared" si="498"/>
        <v/>
      </c>
      <c r="T1106" s="13" t="str">
        <f t="shared" si="487"/>
        <v/>
      </c>
      <c r="U1106" s="14" t="str">
        <f t="shared" si="488"/>
        <v/>
      </c>
      <c r="V1106" s="13" t="str">
        <f t="shared" si="489"/>
        <v/>
      </c>
      <c r="W1106" s="13" t="str">
        <f t="shared" si="490"/>
        <v/>
      </c>
      <c r="X1106" s="14" t="str">
        <f t="shared" si="491"/>
        <v/>
      </c>
    </row>
    <row r="1107" spans="2:24" x14ac:dyDescent="0.3">
      <c r="B1107" s="1">
        <f t="shared" si="500"/>
        <v>0</v>
      </c>
      <c r="C1107" s="1">
        <f t="shared" si="501"/>
        <v>0</v>
      </c>
      <c r="D1107" s="10">
        <f t="shared" si="502"/>
        <v>0</v>
      </c>
      <c r="E1107" s="1">
        <f t="shared" si="503"/>
        <v>0</v>
      </c>
      <c r="F1107" s="1">
        <f t="shared" si="504"/>
        <v>0</v>
      </c>
      <c r="G1107" s="1">
        <f t="shared" si="505"/>
        <v>0</v>
      </c>
      <c r="H1107" s="1">
        <f t="shared" si="492"/>
        <v>0</v>
      </c>
      <c r="I1107" s="10">
        <f t="shared" si="506"/>
        <v>0</v>
      </c>
      <c r="J1107" s="1">
        <f t="shared" si="493"/>
        <v>0</v>
      </c>
      <c r="K1107" s="1">
        <f t="shared" si="494"/>
        <v>0</v>
      </c>
      <c r="L1107" s="1" t="str">
        <f t="shared" si="495"/>
        <v>0</v>
      </c>
      <c r="M1107" s="10">
        <f t="shared" si="496"/>
        <v>0</v>
      </c>
      <c r="N1107" s="1">
        <f t="shared" si="507"/>
        <v>0</v>
      </c>
      <c r="O1107" s="1">
        <f t="shared" si="499"/>
        <v>0</v>
      </c>
      <c r="P1107" s="1">
        <f t="shared" si="497"/>
        <v>0</v>
      </c>
      <c r="Q1107" s="3" t="str">
        <f t="shared" si="498"/>
        <v/>
      </c>
      <c r="T1107" s="13" t="str">
        <f t="shared" ref="T1107:T1170" si="508">IF(A1107="",IF(A1106="","",$T$1),IF(O1107=1,"#",IF(B1107=0,"*",DEC2HEX(R1107))))</f>
        <v/>
      </c>
      <c r="U1107" s="14" t="str">
        <f t="shared" ref="U1107:U1170" si="509">IF(A1107="",IF(A1106="","",$U$1),  IF(B1107=0,Q1107,I1107)  )</f>
        <v/>
      </c>
      <c r="V1107" s="13" t="str">
        <f t="shared" ref="V1107:V1170" si="510">IF(U1107=$U$1,"",IF(A1107="",IF(A1106="","",1),  IF(B1107=0,1,D1107)  ))</f>
        <v/>
      </c>
      <c r="W1107" s="13" t="str">
        <f t="shared" ref="W1107:W1170" si="511">IF(U1107=$U$1,"",IF(A1107="",IF(A1106="","",0),  IF(C1107=0,0,0)  ))</f>
        <v/>
      </c>
      <c r="X1107" s="14" t="str">
        <f t="shared" ref="X1107:X1170" si="512">IF(U1107=$U$1,"",IF(U1107="","",IF(B1107&gt;0,IF(Q1107&lt;&gt;"",Q1107,"No description"),"-")))</f>
        <v/>
      </c>
    </row>
    <row r="1108" spans="2:24" x14ac:dyDescent="0.3">
      <c r="B1108" s="1">
        <f t="shared" si="500"/>
        <v>0</v>
      </c>
      <c r="C1108" s="1">
        <f t="shared" si="501"/>
        <v>0</v>
      </c>
      <c r="D1108" s="10">
        <f t="shared" si="502"/>
        <v>0</v>
      </c>
      <c r="E1108" s="1">
        <f t="shared" si="503"/>
        <v>0</v>
      </c>
      <c r="F1108" s="1">
        <f t="shared" si="504"/>
        <v>0</v>
      </c>
      <c r="G1108" s="1">
        <f t="shared" si="505"/>
        <v>0</v>
      </c>
      <c r="H1108" s="1">
        <f t="shared" si="492"/>
        <v>0</v>
      </c>
      <c r="I1108" s="10">
        <f t="shared" si="506"/>
        <v>0</v>
      </c>
      <c r="J1108" s="1">
        <f t="shared" si="493"/>
        <v>0</v>
      </c>
      <c r="K1108" s="1">
        <f t="shared" si="494"/>
        <v>0</v>
      </c>
      <c r="L1108" s="1" t="str">
        <f t="shared" si="495"/>
        <v>0</v>
      </c>
      <c r="M1108" s="10">
        <f t="shared" si="496"/>
        <v>0</v>
      </c>
      <c r="N1108" s="1">
        <f t="shared" si="507"/>
        <v>0</v>
      </c>
      <c r="O1108" s="1">
        <f t="shared" si="499"/>
        <v>0</v>
      </c>
      <c r="P1108" s="1">
        <f t="shared" si="497"/>
        <v>0</v>
      </c>
      <c r="Q1108" s="3" t="str">
        <f t="shared" si="498"/>
        <v/>
      </c>
      <c r="T1108" s="13" t="str">
        <f t="shared" si="508"/>
        <v/>
      </c>
      <c r="U1108" s="14" t="str">
        <f t="shared" si="509"/>
        <v/>
      </c>
      <c r="V1108" s="13" t="str">
        <f t="shared" si="510"/>
        <v/>
      </c>
      <c r="W1108" s="13" t="str">
        <f t="shared" si="511"/>
        <v/>
      </c>
      <c r="X1108" s="14" t="str">
        <f t="shared" si="512"/>
        <v/>
      </c>
    </row>
    <row r="1109" spans="2:24" x14ac:dyDescent="0.3">
      <c r="B1109" s="1">
        <f t="shared" si="500"/>
        <v>0</v>
      </c>
      <c r="C1109" s="1">
        <f t="shared" si="501"/>
        <v>0</v>
      </c>
      <c r="D1109" s="10">
        <f t="shared" si="502"/>
        <v>0</v>
      </c>
      <c r="E1109" s="1">
        <f t="shared" si="503"/>
        <v>0</v>
      </c>
      <c r="F1109" s="1">
        <f t="shared" si="504"/>
        <v>0</v>
      </c>
      <c r="G1109" s="1">
        <f t="shared" si="505"/>
        <v>0</v>
      </c>
      <c r="H1109" s="1">
        <f t="shared" si="492"/>
        <v>0</v>
      </c>
      <c r="I1109" s="10">
        <f t="shared" si="506"/>
        <v>0</v>
      </c>
      <c r="J1109" s="1">
        <f t="shared" si="493"/>
        <v>0</v>
      </c>
      <c r="K1109" s="1">
        <f t="shared" si="494"/>
        <v>0</v>
      </c>
      <c r="L1109" s="1" t="str">
        <f t="shared" si="495"/>
        <v>0</v>
      </c>
      <c r="M1109" s="10">
        <f t="shared" si="496"/>
        <v>0</v>
      </c>
      <c r="N1109" s="1">
        <f t="shared" si="507"/>
        <v>0</v>
      </c>
      <c r="O1109" s="1">
        <f t="shared" si="499"/>
        <v>0</v>
      </c>
      <c r="P1109" s="1">
        <f t="shared" si="497"/>
        <v>0</v>
      </c>
      <c r="Q1109" s="3" t="str">
        <f t="shared" si="498"/>
        <v/>
      </c>
      <c r="T1109" s="13" t="str">
        <f t="shared" si="508"/>
        <v/>
      </c>
      <c r="U1109" s="14" t="str">
        <f t="shared" si="509"/>
        <v/>
      </c>
      <c r="V1109" s="13" t="str">
        <f t="shared" si="510"/>
        <v/>
      </c>
      <c r="W1109" s="13" t="str">
        <f t="shared" si="511"/>
        <v/>
      </c>
      <c r="X1109" s="14" t="str">
        <f t="shared" si="512"/>
        <v/>
      </c>
    </row>
    <row r="1110" spans="2:24" x14ac:dyDescent="0.3">
      <c r="B1110" s="1">
        <f t="shared" si="500"/>
        <v>0</v>
      </c>
      <c r="C1110" s="1">
        <f t="shared" si="501"/>
        <v>0</v>
      </c>
      <c r="D1110" s="10">
        <f t="shared" si="502"/>
        <v>0</v>
      </c>
      <c r="E1110" s="1">
        <f t="shared" si="503"/>
        <v>0</v>
      </c>
      <c r="F1110" s="1">
        <f t="shared" si="504"/>
        <v>0</v>
      </c>
      <c r="G1110" s="1">
        <f t="shared" si="505"/>
        <v>0</v>
      </c>
      <c r="H1110" s="1">
        <f t="shared" si="492"/>
        <v>0</v>
      </c>
      <c r="I1110" s="10">
        <f t="shared" si="506"/>
        <v>0</v>
      </c>
      <c r="J1110" s="1">
        <f t="shared" si="493"/>
        <v>0</v>
      </c>
      <c r="K1110" s="1">
        <f t="shared" si="494"/>
        <v>0</v>
      </c>
      <c r="L1110" s="1" t="str">
        <f t="shared" si="495"/>
        <v>0</v>
      </c>
      <c r="M1110" s="10">
        <f t="shared" si="496"/>
        <v>0</v>
      </c>
      <c r="N1110" s="1">
        <f t="shared" si="507"/>
        <v>0</v>
      </c>
      <c r="O1110" s="1">
        <f t="shared" si="499"/>
        <v>0</v>
      </c>
      <c r="P1110" s="1">
        <f t="shared" si="497"/>
        <v>0</v>
      </c>
      <c r="Q1110" s="3" t="str">
        <f t="shared" si="498"/>
        <v/>
      </c>
      <c r="T1110" s="13" t="str">
        <f t="shared" si="508"/>
        <v/>
      </c>
      <c r="U1110" s="14" t="str">
        <f t="shared" si="509"/>
        <v/>
      </c>
      <c r="V1110" s="13" t="str">
        <f t="shared" si="510"/>
        <v/>
      </c>
      <c r="W1110" s="13" t="str">
        <f t="shared" si="511"/>
        <v/>
      </c>
      <c r="X1110" s="14" t="str">
        <f t="shared" si="512"/>
        <v/>
      </c>
    </row>
    <row r="1111" spans="2:24" x14ac:dyDescent="0.3">
      <c r="B1111" s="1">
        <f t="shared" si="500"/>
        <v>0</v>
      </c>
      <c r="C1111" s="1">
        <f t="shared" si="501"/>
        <v>0</v>
      </c>
      <c r="D1111" s="10">
        <f t="shared" si="502"/>
        <v>0</v>
      </c>
      <c r="E1111" s="1">
        <f t="shared" si="503"/>
        <v>0</v>
      </c>
      <c r="F1111" s="1">
        <f t="shared" si="504"/>
        <v>0</v>
      </c>
      <c r="G1111" s="1">
        <f t="shared" si="505"/>
        <v>0</v>
      </c>
      <c r="H1111" s="1">
        <f t="shared" si="492"/>
        <v>0</v>
      </c>
      <c r="I1111" s="10">
        <f t="shared" si="506"/>
        <v>0</v>
      </c>
      <c r="J1111" s="1">
        <f t="shared" si="493"/>
        <v>0</v>
      </c>
      <c r="K1111" s="1">
        <f t="shared" si="494"/>
        <v>0</v>
      </c>
      <c r="L1111" s="1" t="str">
        <f t="shared" si="495"/>
        <v>0</v>
      </c>
      <c r="M1111" s="10">
        <f t="shared" si="496"/>
        <v>0</v>
      </c>
      <c r="N1111" s="1">
        <f t="shared" si="507"/>
        <v>0</v>
      </c>
      <c r="O1111" s="1">
        <f t="shared" si="499"/>
        <v>0</v>
      </c>
      <c r="P1111" s="1">
        <f t="shared" si="497"/>
        <v>0</v>
      </c>
      <c r="Q1111" s="3" t="str">
        <f t="shared" si="498"/>
        <v/>
      </c>
      <c r="T1111" s="13" t="str">
        <f t="shared" si="508"/>
        <v/>
      </c>
      <c r="U1111" s="14" t="str">
        <f t="shared" si="509"/>
        <v/>
      </c>
      <c r="V1111" s="13" t="str">
        <f t="shared" si="510"/>
        <v/>
      </c>
      <c r="W1111" s="13" t="str">
        <f t="shared" si="511"/>
        <v/>
      </c>
      <c r="X1111" s="14" t="str">
        <f t="shared" si="512"/>
        <v/>
      </c>
    </row>
    <row r="1112" spans="2:24" x14ac:dyDescent="0.3">
      <c r="B1112" s="1">
        <f t="shared" si="500"/>
        <v>0</v>
      </c>
      <c r="C1112" s="1">
        <f t="shared" si="501"/>
        <v>0</v>
      </c>
      <c r="D1112" s="10">
        <f t="shared" si="502"/>
        <v>0</v>
      </c>
      <c r="E1112" s="1">
        <f t="shared" si="503"/>
        <v>0</v>
      </c>
      <c r="F1112" s="1">
        <f t="shared" si="504"/>
        <v>0</v>
      </c>
      <c r="G1112" s="1">
        <f t="shared" si="505"/>
        <v>0</v>
      </c>
      <c r="H1112" s="1">
        <f t="shared" si="492"/>
        <v>0</v>
      </c>
      <c r="I1112" s="10">
        <f t="shared" si="506"/>
        <v>0</v>
      </c>
      <c r="J1112" s="1">
        <f t="shared" si="493"/>
        <v>0</v>
      </c>
      <c r="K1112" s="1">
        <f t="shared" si="494"/>
        <v>0</v>
      </c>
      <c r="L1112" s="1" t="str">
        <f t="shared" si="495"/>
        <v>0</v>
      </c>
      <c r="M1112" s="10">
        <f t="shared" si="496"/>
        <v>0</v>
      </c>
      <c r="N1112" s="1">
        <f t="shared" si="507"/>
        <v>0</v>
      </c>
      <c r="O1112" s="1">
        <f t="shared" si="499"/>
        <v>0</v>
      </c>
      <c r="P1112" s="1">
        <f t="shared" si="497"/>
        <v>0</v>
      </c>
      <c r="Q1112" s="3" t="str">
        <f t="shared" si="498"/>
        <v/>
      </c>
      <c r="T1112" s="13" t="str">
        <f t="shared" si="508"/>
        <v/>
      </c>
      <c r="U1112" s="14" t="str">
        <f t="shared" si="509"/>
        <v/>
      </c>
      <c r="V1112" s="13" t="str">
        <f t="shared" si="510"/>
        <v/>
      </c>
      <c r="W1112" s="13" t="str">
        <f t="shared" si="511"/>
        <v/>
      </c>
      <c r="X1112" s="14" t="str">
        <f t="shared" si="512"/>
        <v/>
      </c>
    </row>
    <row r="1113" spans="2:24" x14ac:dyDescent="0.3">
      <c r="B1113" s="1">
        <f t="shared" si="500"/>
        <v>0</v>
      </c>
      <c r="C1113" s="1">
        <f t="shared" si="501"/>
        <v>0</v>
      </c>
      <c r="D1113" s="10">
        <f t="shared" si="502"/>
        <v>0</v>
      </c>
      <c r="E1113" s="1">
        <f t="shared" si="503"/>
        <v>0</v>
      </c>
      <c r="F1113" s="1">
        <f t="shared" si="504"/>
        <v>0</v>
      </c>
      <c r="G1113" s="1">
        <f t="shared" si="505"/>
        <v>0</v>
      </c>
      <c r="H1113" s="1">
        <f t="shared" si="492"/>
        <v>0</v>
      </c>
      <c r="I1113" s="10">
        <f t="shared" si="506"/>
        <v>0</v>
      </c>
      <c r="J1113" s="1">
        <f t="shared" si="493"/>
        <v>0</v>
      </c>
      <c r="K1113" s="1">
        <f t="shared" si="494"/>
        <v>0</v>
      </c>
      <c r="L1113" s="1" t="str">
        <f t="shared" si="495"/>
        <v>0</v>
      </c>
      <c r="M1113" s="10">
        <f t="shared" si="496"/>
        <v>0</v>
      </c>
      <c r="N1113" s="1">
        <f t="shared" si="507"/>
        <v>0</v>
      </c>
      <c r="O1113" s="1">
        <f t="shared" si="499"/>
        <v>0</v>
      </c>
      <c r="P1113" s="1">
        <f t="shared" si="497"/>
        <v>0</v>
      </c>
      <c r="Q1113" s="3" t="str">
        <f t="shared" si="498"/>
        <v/>
      </c>
      <c r="T1113" s="13" t="str">
        <f t="shared" si="508"/>
        <v/>
      </c>
      <c r="U1113" s="14" t="str">
        <f t="shared" si="509"/>
        <v/>
      </c>
      <c r="V1113" s="13" t="str">
        <f t="shared" si="510"/>
        <v/>
      </c>
      <c r="W1113" s="13" t="str">
        <f t="shared" si="511"/>
        <v/>
      </c>
      <c r="X1113" s="14" t="str">
        <f t="shared" si="512"/>
        <v/>
      </c>
    </row>
    <row r="1114" spans="2:24" x14ac:dyDescent="0.3">
      <c r="B1114" s="1">
        <f t="shared" si="500"/>
        <v>0</v>
      </c>
      <c r="C1114" s="1">
        <f t="shared" si="501"/>
        <v>0</v>
      </c>
      <c r="D1114" s="10">
        <f t="shared" si="502"/>
        <v>0</v>
      </c>
      <c r="E1114" s="1">
        <f t="shared" si="503"/>
        <v>0</v>
      </c>
      <c r="F1114" s="1">
        <f t="shared" si="504"/>
        <v>0</v>
      </c>
      <c r="G1114" s="1">
        <f t="shared" si="505"/>
        <v>0</v>
      </c>
      <c r="H1114" s="1">
        <f t="shared" si="492"/>
        <v>0</v>
      </c>
      <c r="I1114" s="10">
        <f t="shared" si="506"/>
        <v>0</v>
      </c>
      <c r="J1114" s="1">
        <f t="shared" si="493"/>
        <v>0</v>
      </c>
      <c r="K1114" s="1">
        <f t="shared" si="494"/>
        <v>0</v>
      </c>
      <c r="L1114" s="1" t="str">
        <f t="shared" si="495"/>
        <v>0</v>
      </c>
      <c r="M1114" s="10">
        <f t="shared" si="496"/>
        <v>0</v>
      </c>
      <c r="N1114" s="1">
        <f t="shared" si="507"/>
        <v>0</v>
      </c>
      <c r="O1114" s="1">
        <f t="shared" si="499"/>
        <v>0</v>
      </c>
      <c r="P1114" s="1">
        <f t="shared" si="497"/>
        <v>0</v>
      </c>
      <c r="Q1114" s="3" t="str">
        <f t="shared" si="498"/>
        <v/>
      </c>
      <c r="T1114" s="13" t="str">
        <f t="shared" si="508"/>
        <v/>
      </c>
      <c r="U1114" s="14" t="str">
        <f t="shared" si="509"/>
        <v/>
      </c>
      <c r="V1114" s="13" t="str">
        <f t="shared" si="510"/>
        <v/>
      </c>
      <c r="W1114" s="13" t="str">
        <f t="shared" si="511"/>
        <v/>
      </c>
      <c r="X1114" s="14" t="str">
        <f t="shared" si="512"/>
        <v/>
      </c>
    </row>
    <row r="1115" spans="2:24" x14ac:dyDescent="0.3">
      <c r="B1115" s="1">
        <f t="shared" si="500"/>
        <v>0</v>
      </c>
      <c r="C1115" s="1">
        <f t="shared" si="501"/>
        <v>0</v>
      </c>
      <c r="D1115" s="10">
        <f t="shared" si="502"/>
        <v>0</v>
      </c>
      <c r="E1115" s="1">
        <f t="shared" si="503"/>
        <v>0</v>
      </c>
      <c r="F1115" s="1">
        <f t="shared" si="504"/>
        <v>0</v>
      </c>
      <c r="G1115" s="1">
        <f t="shared" si="505"/>
        <v>0</v>
      </c>
      <c r="H1115" s="1">
        <f t="shared" si="492"/>
        <v>0</v>
      </c>
      <c r="I1115" s="10">
        <f t="shared" si="506"/>
        <v>0</v>
      </c>
      <c r="J1115" s="1">
        <f t="shared" si="493"/>
        <v>0</v>
      </c>
      <c r="K1115" s="1">
        <f t="shared" si="494"/>
        <v>0</v>
      </c>
      <c r="L1115" s="1" t="str">
        <f t="shared" si="495"/>
        <v>0</v>
      </c>
      <c r="M1115" s="10">
        <f t="shared" si="496"/>
        <v>0</v>
      </c>
      <c r="N1115" s="1">
        <f t="shared" si="507"/>
        <v>0</v>
      </c>
      <c r="O1115" s="1">
        <f t="shared" si="499"/>
        <v>0</v>
      </c>
      <c r="P1115" s="1">
        <f t="shared" si="497"/>
        <v>0</v>
      </c>
      <c r="Q1115" s="3" t="str">
        <f t="shared" si="498"/>
        <v/>
      </c>
      <c r="T1115" s="13" t="str">
        <f t="shared" si="508"/>
        <v/>
      </c>
      <c r="U1115" s="14" t="str">
        <f t="shared" si="509"/>
        <v/>
      </c>
      <c r="V1115" s="13" t="str">
        <f t="shared" si="510"/>
        <v/>
      </c>
      <c r="W1115" s="13" t="str">
        <f t="shared" si="511"/>
        <v/>
      </c>
      <c r="X1115" s="14" t="str">
        <f t="shared" si="512"/>
        <v/>
      </c>
    </row>
    <row r="1116" spans="2:24" x14ac:dyDescent="0.3">
      <c r="B1116" s="1">
        <f t="shared" si="500"/>
        <v>0</v>
      </c>
      <c r="C1116" s="1">
        <f t="shared" si="501"/>
        <v>0</v>
      </c>
      <c r="D1116" s="10">
        <f t="shared" si="502"/>
        <v>0</v>
      </c>
      <c r="E1116" s="1">
        <f t="shared" si="503"/>
        <v>0</v>
      </c>
      <c r="F1116" s="1">
        <f t="shared" si="504"/>
        <v>0</v>
      </c>
      <c r="G1116" s="1">
        <f t="shared" si="505"/>
        <v>0</v>
      </c>
      <c r="H1116" s="1">
        <f t="shared" si="492"/>
        <v>0</v>
      </c>
      <c r="I1116" s="10">
        <f t="shared" si="506"/>
        <v>0</v>
      </c>
      <c r="J1116" s="1">
        <f t="shared" si="493"/>
        <v>0</v>
      </c>
      <c r="K1116" s="1">
        <f t="shared" si="494"/>
        <v>0</v>
      </c>
      <c r="L1116" s="1" t="str">
        <f t="shared" si="495"/>
        <v>0</v>
      </c>
      <c r="M1116" s="10">
        <f t="shared" si="496"/>
        <v>0</v>
      </c>
      <c r="N1116" s="1">
        <f t="shared" si="507"/>
        <v>0</v>
      </c>
      <c r="O1116" s="1">
        <f t="shared" si="499"/>
        <v>0</v>
      </c>
      <c r="P1116" s="1">
        <f t="shared" si="497"/>
        <v>0</v>
      </c>
      <c r="Q1116" s="3" t="str">
        <f t="shared" si="498"/>
        <v/>
      </c>
      <c r="T1116" s="13" t="str">
        <f t="shared" si="508"/>
        <v/>
      </c>
      <c r="U1116" s="14" t="str">
        <f t="shared" si="509"/>
        <v/>
      </c>
      <c r="V1116" s="13" t="str">
        <f t="shared" si="510"/>
        <v/>
      </c>
      <c r="W1116" s="13" t="str">
        <f t="shared" si="511"/>
        <v/>
      </c>
      <c r="X1116" s="14" t="str">
        <f t="shared" si="512"/>
        <v/>
      </c>
    </row>
    <row r="1117" spans="2:24" x14ac:dyDescent="0.3">
      <c r="B1117" s="1">
        <f t="shared" si="500"/>
        <v>0</v>
      </c>
      <c r="C1117" s="1">
        <f t="shared" si="501"/>
        <v>0</v>
      </c>
      <c r="D1117" s="10">
        <f t="shared" si="502"/>
        <v>0</v>
      </c>
      <c r="E1117" s="1">
        <f t="shared" si="503"/>
        <v>0</v>
      </c>
      <c r="F1117" s="1">
        <f t="shared" si="504"/>
        <v>0</v>
      </c>
      <c r="G1117" s="1">
        <f t="shared" si="505"/>
        <v>0</v>
      </c>
      <c r="H1117" s="1">
        <f t="shared" si="492"/>
        <v>0</v>
      </c>
      <c r="I1117" s="10">
        <f t="shared" si="506"/>
        <v>0</v>
      </c>
      <c r="J1117" s="1">
        <f t="shared" si="493"/>
        <v>0</v>
      </c>
      <c r="K1117" s="1">
        <f t="shared" si="494"/>
        <v>0</v>
      </c>
      <c r="L1117" s="1" t="str">
        <f t="shared" si="495"/>
        <v>0</v>
      </c>
      <c r="M1117" s="10">
        <f t="shared" si="496"/>
        <v>0</v>
      </c>
      <c r="N1117" s="1">
        <f t="shared" si="507"/>
        <v>0</v>
      </c>
      <c r="O1117" s="1">
        <f t="shared" si="499"/>
        <v>0</v>
      </c>
      <c r="P1117" s="1">
        <f t="shared" si="497"/>
        <v>0</v>
      </c>
      <c r="Q1117" s="3" t="str">
        <f t="shared" si="498"/>
        <v/>
      </c>
      <c r="T1117" s="13" t="str">
        <f t="shared" si="508"/>
        <v/>
      </c>
      <c r="U1117" s="14" t="str">
        <f t="shared" si="509"/>
        <v/>
      </c>
      <c r="V1117" s="13" t="str">
        <f t="shared" si="510"/>
        <v/>
      </c>
      <c r="W1117" s="13" t="str">
        <f t="shared" si="511"/>
        <v/>
      </c>
      <c r="X1117" s="14" t="str">
        <f t="shared" si="512"/>
        <v/>
      </c>
    </row>
    <row r="1118" spans="2:24" x14ac:dyDescent="0.3">
      <c r="B1118" s="1">
        <f t="shared" si="500"/>
        <v>0</v>
      </c>
      <c r="C1118" s="1">
        <f t="shared" si="501"/>
        <v>0</v>
      </c>
      <c r="D1118" s="10">
        <f t="shared" si="502"/>
        <v>0</v>
      </c>
      <c r="E1118" s="1">
        <f t="shared" si="503"/>
        <v>0</v>
      </c>
      <c r="F1118" s="1">
        <f t="shared" si="504"/>
        <v>0</v>
      </c>
      <c r="G1118" s="1">
        <f t="shared" si="505"/>
        <v>0</v>
      </c>
      <c r="H1118" s="1">
        <f t="shared" si="492"/>
        <v>0</v>
      </c>
      <c r="I1118" s="10">
        <f t="shared" si="506"/>
        <v>0</v>
      </c>
      <c r="J1118" s="1">
        <f t="shared" si="493"/>
        <v>0</v>
      </c>
      <c r="K1118" s="1">
        <f t="shared" si="494"/>
        <v>0</v>
      </c>
      <c r="L1118" s="1" t="str">
        <f t="shared" si="495"/>
        <v>0</v>
      </c>
      <c r="M1118" s="10">
        <f t="shared" si="496"/>
        <v>0</v>
      </c>
      <c r="N1118" s="1">
        <f t="shared" si="507"/>
        <v>0</v>
      </c>
      <c r="O1118" s="1">
        <f t="shared" si="499"/>
        <v>0</v>
      </c>
      <c r="P1118" s="1">
        <f t="shared" si="497"/>
        <v>0</v>
      </c>
      <c r="Q1118" s="3" t="str">
        <f t="shared" si="498"/>
        <v/>
      </c>
      <c r="T1118" s="13" t="str">
        <f t="shared" si="508"/>
        <v/>
      </c>
      <c r="U1118" s="14" t="str">
        <f t="shared" si="509"/>
        <v/>
      </c>
      <c r="V1118" s="13" t="str">
        <f t="shared" si="510"/>
        <v/>
      </c>
      <c r="W1118" s="13" t="str">
        <f t="shared" si="511"/>
        <v/>
      </c>
      <c r="X1118" s="14" t="str">
        <f t="shared" si="512"/>
        <v/>
      </c>
    </row>
    <row r="1119" spans="2:24" x14ac:dyDescent="0.3">
      <c r="B1119" s="1">
        <f t="shared" si="500"/>
        <v>0</v>
      </c>
      <c r="C1119" s="1">
        <f t="shared" si="501"/>
        <v>0</v>
      </c>
      <c r="D1119" s="10">
        <f t="shared" si="502"/>
        <v>0</v>
      </c>
      <c r="E1119" s="1">
        <f t="shared" si="503"/>
        <v>0</v>
      </c>
      <c r="F1119" s="1">
        <f t="shared" si="504"/>
        <v>0</v>
      </c>
      <c r="G1119" s="1">
        <f t="shared" si="505"/>
        <v>0</v>
      </c>
      <c r="H1119" s="1">
        <f t="shared" si="492"/>
        <v>0</v>
      </c>
      <c r="I1119" s="10">
        <f t="shared" si="506"/>
        <v>0</v>
      </c>
      <c r="J1119" s="1">
        <f t="shared" si="493"/>
        <v>0</v>
      </c>
      <c r="K1119" s="1">
        <f t="shared" si="494"/>
        <v>0</v>
      </c>
      <c r="L1119" s="1" t="str">
        <f t="shared" si="495"/>
        <v>0</v>
      </c>
      <c r="M1119" s="10">
        <f t="shared" si="496"/>
        <v>0</v>
      </c>
      <c r="N1119" s="1">
        <f t="shared" si="507"/>
        <v>0</v>
      </c>
      <c r="O1119" s="1">
        <f t="shared" si="499"/>
        <v>0</v>
      </c>
      <c r="P1119" s="1">
        <f t="shared" si="497"/>
        <v>0</v>
      </c>
      <c r="Q1119" s="3" t="str">
        <f t="shared" si="498"/>
        <v/>
      </c>
      <c r="T1119" s="13" t="str">
        <f t="shared" si="508"/>
        <v/>
      </c>
      <c r="U1119" s="14" t="str">
        <f t="shared" si="509"/>
        <v/>
      </c>
      <c r="V1119" s="13" t="str">
        <f t="shared" si="510"/>
        <v/>
      </c>
      <c r="W1119" s="13" t="str">
        <f t="shared" si="511"/>
        <v/>
      </c>
      <c r="X1119" s="14" t="str">
        <f t="shared" si="512"/>
        <v/>
      </c>
    </row>
    <row r="1120" spans="2:24" x14ac:dyDescent="0.3">
      <c r="B1120" s="1">
        <f t="shared" si="500"/>
        <v>0</v>
      </c>
      <c r="C1120" s="1">
        <f t="shared" si="501"/>
        <v>0</v>
      </c>
      <c r="D1120" s="10">
        <f t="shared" si="502"/>
        <v>0</v>
      </c>
      <c r="E1120" s="1">
        <f t="shared" si="503"/>
        <v>0</v>
      </c>
      <c r="F1120" s="1">
        <f t="shared" si="504"/>
        <v>0</v>
      </c>
      <c r="G1120" s="1">
        <f t="shared" si="505"/>
        <v>0</v>
      </c>
      <c r="H1120" s="1">
        <f t="shared" si="492"/>
        <v>0</v>
      </c>
      <c r="I1120" s="10">
        <f t="shared" si="506"/>
        <v>0</v>
      </c>
      <c r="J1120" s="1">
        <f t="shared" si="493"/>
        <v>0</v>
      </c>
      <c r="K1120" s="1">
        <f t="shared" si="494"/>
        <v>0</v>
      </c>
      <c r="L1120" s="1" t="str">
        <f t="shared" si="495"/>
        <v>0</v>
      </c>
      <c r="M1120" s="10">
        <f t="shared" si="496"/>
        <v>0</v>
      </c>
      <c r="N1120" s="1">
        <f t="shared" si="507"/>
        <v>0</v>
      </c>
      <c r="O1120" s="1">
        <f t="shared" si="499"/>
        <v>0</v>
      </c>
      <c r="P1120" s="1">
        <f t="shared" si="497"/>
        <v>0</v>
      </c>
      <c r="Q1120" s="3" t="str">
        <f t="shared" si="498"/>
        <v/>
      </c>
      <c r="T1120" s="13" t="str">
        <f t="shared" si="508"/>
        <v/>
      </c>
      <c r="U1120" s="14" t="str">
        <f t="shared" si="509"/>
        <v/>
      </c>
      <c r="V1120" s="13" t="str">
        <f t="shared" si="510"/>
        <v/>
      </c>
      <c r="W1120" s="13" t="str">
        <f t="shared" si="511"/>
        <v/>
      </c>
      <c r="X1120" s="14" t="str">
        <f t="shared" si="512"/>
        <v/>
      </c>
    </row>
    <row r="1121" spans="2:24" x14ac:dyDescent="0.3">
      <c r="B1121" s="1">
        <f t="shared" si="500"/>
        <v>0</v>
      </c>
      <c r="C1121" s="1">
        <f t="shared" si="501"/>
        <v>0</v>
      </c>
      <c r="D1121" s="10">
        <f t="shared" si="502"/>
        <v>0</v>
      </c>
      <c r="E1121" s="1">
        <f t="shared" si="503"/>
        <v>0</v>
      </c>
      <c r="F1121" s="1">
        <f t="shared" si="504"/>
        <v>0</v>
      </c>
      <c r="G1121" s="1">
        <f t="shared" si="505"/>
        <v>0</v>
      </c>
      <c r="H1121" s="1">
        <f t="shared" si="492"/>
        <v>0</v>
      </c>
      <c r="I1121" s="10">
        <f t="shared" si="506"/>
        <v>0</v>
      </c>
      <c r="J1121" s="1">
        <f t="shared" si="493"/>
        <v>0</v>
      </c>
      <c r="K1121" s="1">
        <f t="shared" si="494"/>
        <v>0</v>
      </c>
      <c r="L1121" s="1" t="str">
        <f t="shared" si="495"/>
        <v>0</v>
      </c>
      <c r="M1121" s="10">
        <f t="shared" si="496"/>
        <v>0</v>
      </c>
      <c r="N1121" s="1">
        <f t="shared" si="507"/>
        <v>0</v>
      </c>
      <c r="O1121" s="1">
        <f t="shared" si="499"/>
        <v>0</v>
      </c>
      <c r="P1121" s="1">
        <f t="shared" si="497"/>
        <v>0</v>
      </c>
      <c r="Q1121" s="3" t="str">
        <f t="shared" si="498"/>
        <v/>
      </c>
      <c r="T1121" s="13" t="str">
        <f t="shared" si="508"/>
        <v/>
      </c>
      <c r="U1121" s="14" t="str">
        <f t="shared" si="509"/>
        <v/>
      </c>
      <c r="V1121" s="13" t="str">
        <f t="shared" si="510"/>
        <v/>
      </c>
      <c r="W1121" s="13" t="str">
        <f t="shared" si="511"/>
        <v/>
      </c>
      <c r="X1121" s="14" t="str">
        <f t="shared" si="512"/>
        <v/>
      </c>
    </row>
    <row r="1122" spans="2:24" x14ac:dyDescent="0.3">
      <c r="B1122" s="1">
        <f t="shared" si="500"/>
        <v>0</v>
      </c>
      <c r="C1122" s="1">
        <f t="shared" si="501"/>
        <v>0</v>
      </c>
      <c r="D1122" s="10">
        <f t="shared" si="502"/>
        <v>0</v>
      </c>
      <c r="E1122" s="1">
        <f t="shared" si="503"/>
        <v>0</v>
      </c>
      <c r="F1122" s="1">
        <f t="shared" si="504"/>
        <v>0</v>
      </c>
      <c r="G1122" s="1">
        <f t="shared" si="505"/>
        <v>0</v>
      </c>
      <c r="H1122" s="1">
        <f t="shared" si="492"/>
        <v>0</v>
      </c>
      <c r="I1122" s="10">
        <f t="shared" si="506"/>
        <v>0</v>
      </c>
      <c r="J1122" s="1">
        <f t="shared" si="493"/>
        <v>0</v>
      </c>
      <c r="K1122" s="1">
        <f t="shared" si="494"/>
        <v>0</v>
      </c>
      <c r="L1122" s="1" t="str">
        <f t="shared" si="495"/>
        <v>0</v>
      </c>
      <c r="M1122" s="10">
        <f t="shared" si="496"/>
        <v>0</v>
      </c>
      <c r="N1122" s="1">
        <f t="shared" si="507"/>
        <v>0</v>
      </c>
      <c r="O1122" s="1">
        <f t="shared" si="499"/>
        <v>0</v>
      </c>
      <c r="P1122" s="1">
        <f t="shared" si="497"/>
        <v>0</v>
      </c>
      <c r="Q1122" s="3" t="str">
        <f t="shared" si="498"/>
        <v/>
      </c>
      <c r="T1122" s="13" t="str">
        <f t="shared" si="508"/>
        <v/>
      </c>
      <c r="U1122" s="14" t="str">
        <f t="shared" si="509"/>
        <v/>
      </c>
      <c r="V1122" s="13" t="str">
        <f t="shared" si="510"/>
        <v/>
      </c>
      <c r="W1122" s="13" t="str">
        <f t="shared" si="511"/>
        <v/>
      </c>
      <c r="X1122" s="14" t="str">
        <f t="shared" si="512"/>
        <v/>
      </c>
    </row>
    <row r="1123" spans="2:24" x14ac:dyDescent="0.3">
      <c r="B1123" s="1">
        <f t="shared" si="500"/>
        <v>0</v>
      </c>
      <c r="C1123" s="1">
        <f t="shared" si="501"/>
        <v>0</v>
      </c>
      <c r="D1123" s="10">
        <f t="shared" si="502"/>
        <v>0</v>
      </c>
      <c r="E1123" s="1">
        <f t="shared" si="503"/>
        <v>0</v>
      </c>
      <c r="F1123" s="1">
        <f t="shared" si="504"/>
        <v>0</v>
      </c>
      <c r="G1123" s="1">
        <f t="shared" si="505"/>
        <v>0</v>
      </c>
      <c r="H1123" s="1">
        <f t="shared" si="492"/>
        <v>0</v>
      </c>
      <c r="I1123" s="10">
        <f t="shared" si="506"/>
        <v>0</v>
      </c>
      <c r="J1123" s="1">
        <f t="shared" si="493"/>
        <v>0</v>
      </c>
      <c r="K1123" s="1">
        <f t="shared" si="494"/>
        <v>0</v>
      </c>
      <c r="L1123" s="1" t="str">
        <f t="shared" si="495"/>
        <v>0</v>
      </c>
      <c r="M1123" s="10">
        <f t="shared" si="496"/>
        <v>0</v>
      </c>
      <c r="N1123" s="1">
        <f t="shared" si="507"/>
        <v>0</v>
      </c>
      <c r="O1123" s="1">
        <f t="shared" si="499"/>
        <v>0</v>
      </c>
      <c r="P1123" s="1">
        <f t="shared" si="497"/>
        <v>0</v>
      </c>
      <c r="Q1123" s="3" t="str">
        <f t="shared" si="498"/>
        <v/>
      </c>
      <c r="T1123" s="13" t="str">
        <f t="shared" si="508"/>
        <v/>
      </c>
      <c r="U1123" s="14" t="str">
        <f t="shared" si="509"/>
        <v/>
      </c>
      <c r="V1123" s="13" t="str">
        <f t="shared" si="510"/>
        <v/>
      </c>
      <c r="W1123" s="13" t="str">
        <f t="shared" si="511"/>
        <v/>
      </c>
      <c r="X1123" s="14" t="str">
        <f t="shared" si="512"/>
        <v/>
      </c>
    </row>
    <row r="1124" spans="2:24" x14ac:dyDescent="0.3">
      <c r="B1124" s="1">
        <f t="shared" si="500"/>
        <v>0</v>
      </c>
      <c r="C1124" s="1">
        <f t="shared" si="501"/>
        <v>0</v>
      </c>
      <c r="D1124" s="10">
        <f t="shared" si="502"/>
        <v>0</v>
      </c>
      <c r="E1124" s="1">
        <f t="shared" si="503"/>
        <v>0</v>
      </c>
      <c r="F1124" s="1">
        <f t="shared" si="504"/>
        <v>0</v>
      </c>
      <c r="G1124" s="1">
        <f t="shared" si="505"/>
        <v>0</v>
      </c>
      <c r="H1124" s="1">
        <f t="shared" si="492"/>
        <v>0</v>
      </c>
      <c r="I1124" s="10">
        <f t="shared" si="506"/>
        <v>0</v>
      </c>
      <c r="J1124" s="1">
        <f t="shared" si="493"/>
        <v>0</v>
      </c>
      <c r="K1124" s="1">
        <f t="shared" si="494"/>
        <v>0</v>
      </c>
      <c r="L1124" s="1" t="str">
        <f t="shared" si="495"/>
        <v>0</v>
      </c>
      <c r="M1124" s="10">
        <f t="shared" si="496"/>
        <v>0</v>
      </c>
      <c r="N1124" s="1">
        <f t="shared" si="507"/>
        <v>0</v>
      </c>
      <c r="O1124" s="1">
        <f t="shared" si="499"/>
        <v>0</v>
      </c>
      <c r="P1124" s="1">
        <f t="shared" si="497"/>
        <v>0</v>
      </c>
      <c r="Q1124" s="3" t="str">
        <f t="shared" si="498"/>
        <v/>
      </c>
      <c r="T1124" s="13" t="str">
        <f t="shared" si="508"/>
        <v/>
      </c>
      <c r="U1124" s="14" t="str">
        <f t="shared" si="509"/>
        <v/>
      </c>
      <c r="V1124" s="13" t="str">
        <f t="shared" si="510"/>
        <v/>
      </c>
      <c r="W1124" s="13" t="str">
        <f t="shared" si="511"/>
        <v/>
      </c>
      <c r="X1124" s="14" t="str">
        <f t="shared" si="512"/>
        <v/>
      </c>
    </row>
    <row r="1125" spans="2:24" x14ac:dyDescent="0.3">
      <c r="B1125" s="1">
        <f t="shared" si="500"/>
        <v>0</v>
      </c>
      <c r="C1125" s="1">
        <f t="shared" si="501"/>
        <v>0</v>
      </c>
      <c r="D1125" s="10">
        <f t="shared" si="502"/>
        <v>0</v>
      </c>
      <c r="E1125" s="1">
        <f t="shared" si="503"/>
        <v>0</v>
      </c>
      <c r="F1125" s="1">
        <f t="shared" si="504"/>
        <v>0</v>
      </c>
      <c r="G1125" s="1">
        <f t="shared" si="505"/>
        <v>0</v>
      </c>
      <c r="H1125" s="1">
        <f t="shared" si="492"/>
        <v>0</v>
      </c>
      <c r="I1125" s="10">
        <f t="shared" si="506"/>
        <v>0</v>
      </c>
      <c r="J1125" s="1">
        <f t="shared" si="493"/>
        <v>0</v>
      </c>
      <c r="K1125" s="1">
        <f t="shared" si="494"/>
        <v>0</v>
      </c>
      <c r="L1125" s="1" t="str">
        <f t="shared" si="495"/>
        <v>0</v>
      </c>
      <c r="M1125" s="10">
        <f t="shared" si="496"/>
        <v>0</v>
      </c>
      <c r="N1125" s="1">
        <f t="shared" si="507"/>
        <v>0</v>
      </c>
      <c r="O1125" s="1">
        <f t="shared" si="499"/>
        <v>0</v>
      </c>
      <c r="P1125" s="1">
        <f t="shared" si="497"/>
        <v>0</v>
      </c>
      <c r="Q1125" s="3" t="str">
        <f t="shared" si="498"/>
        <v/>
      </c>
      <c r="T1125" s="13" t="str">
        <f t="shared" si="508"/>
        <v/>
      </c>
      <c r="U1125" s="14" t="str">
        <f t="shared" si="509"/>
        <v/>
      </c>
      <c r="V1125" s="13" t="str">
        <f t="shared" si="510"/>
        <v/>
      </c>
      <c r="W1125" s="13" t="str">
        <f t="shared" si="511"/>
        <v/>
      </c>
      <c r="X1125" s="14" t="str">
        <f t="shared" si="512"/>
        <v/>
      </c>
    </row>
    <row r="1126" spans="2:24" x14ac:dyDescent="0.3">
      <c r="B1126" s="1">
        <f t="shared" si="500"/>
        <v>0</v>
      </c>
      <c r="C1126" s="1">
        <f t="shared" si="501"/>
        <v>0</v>
      </c>
      <c r="D1126" s="10">
        <f t="shared" si="502"/>
        <v>0</v>
      </c>
      <c r="E1126" s="1">
        <f t="shared" si="503"/>
        <v>0</v>
      </c>
      <c r="F1126" s="1">
        <f t="shared" si="504"/>
        <v>0</v>
      </c>
      <c r="G1126" s="1">
        <f t="shared" si="505"/>
        <v>0</v>
      </c>
      <c r="H1126" s="1">
        <f t="shared" si="492"/>
        <v>0</v>
      </c>
      <c r="I1126" s="10">
        <f t="shared" si="506"/>
        <v>0</v>
      </c>
      <c r="J1126" s="1">
        <f t="shared" si="493"/>
        <v>0</v>
      </c>
      <c r="K1126" s="1">
        <f t="shared" si="494"/>
        <v>0</v>
      </c>
      <c r="L1126" s="1" t="str">
        <f t="shared" si="495"/>
        <v>0</v>
      </c>
      <c r="M1126" s="10">
        <f t="shared" si="496"/>
        <v>0</v>
      </c>
      <c r="N1126" s="1">
        <f t="shared" si="507"/>
        <v>0</v>
      </c>
      <c r="O1126" s="1">
        <f t="shared" si="499"/>
        <v>0</v>
      </c>
      <c r="P1126" s="1">
        <f t="shared" si="497"/>
        <v>0</v>
      </c>
      <c r="Q1126" s="3" t="str">
        <f t="shared" si="498"/>
        <v/>
      </c>
      <c r="T1126" s="13" t="str">
        <f t="shared" si="508"/>
        <v/>
      </c>
      <c r="U1126" s="14" t="str">
        <f t="shared" si="509"/>
        <v/>
      </c>
      <c r="V1126" s="13" t="str">
        <f t="shared" si="510"/>
        <v/>
      </c>
      <c r="W1126" s="13" t="str">
        <f t="shared" si="511"/>
        <v/>
      </c>
      <c r="X1126" s="14" t="str">
        <f t="shared" si="512"/>
        <v/>
      </c>
    </row>
    <row r="1127" spans="2:24" x14ac:dyDescent="0.3">
      <c r="B1127" s="1">
        <f t="shared" si="500"/>
        <v>0</v>
      </c>
      <c r="C1127" s="1">
        <f t="shared" si="501"/>
        <v>0</v>
      </c>
      <c r="D1127" s="10">
        <f t="shared" si="502"/>
        <v>0</v>
      </c>
      <c r="E1127" s="1">
        <f t="shared" si="503"/>
        <v>0</v>
      </c>
      <c r="F1127" s="1">
        <f t="shared" si="504"/>
        <v>0</v>
      </c>
      <c r="G1127" s="1">
        <f t="shared" si="505"/>
        <v>0</v>
      </c>
      <c r="H1127" s="1">
        <f t="shared" si="492"/>
        <v>0</v>
      </c>
      <c r="I1127" s="10">
        <f t="shared" si="506"/>
        <v>0</v>
      </c>
      <c r="J1127" s="1">
        <f t="shared" si="493"/>
        <v>0</v>
      </c>
      <c r="K1127" s="1">
        <f t="shared" si="494"/>
        <v>0</v>
      </c>
      <c r="L1127" s="1" t="str">
        <f t="shared" si="495"/>
        <v>0</v>
      </c>
      <c r="M1127" s="10">
        <f t="shared" si="496"/>
        <v>0</v>
      </c>
      <c r="N1127" s="1">
        <f t="shared" si="507"/>
        <v>0</v>
      </c>
      <c r="O1127" s="1">
        <f t="shared" si="499"/>
        <v>0</v>
      </c>
      <c r="P1127" s="1">
        <f t="shared" si="497"/>
        <v>0</v>
      </c>
      <c r="Q1127" s="3" t="str">
        <f t="shared" si="498"/>
        <v/>
      </c>
      <c r="T1127" s="13" t="str">
        <f t="shared" si="508"/>
        <v/>
      </c>
      <c r="U1127" s="14" t="str">
        <f t="shared" si="509"/>
        <v/>
      </c>
      <c r="V1127" s="13" t="str">
        <f t="shared" si="510"/>
        <v/>
      </c>
      <c r="W1127" s="13" t="str">
        <f t="shared" si="511"/>
        <v/>
      </c>
      <c r="X1127" s="14" t="str">
        <f t="shared" si="512"/>
        <v/>
      </c>
    </row>
    <row r="1128" spans="2:24" x14ac:dyDescent="0.3">
      <c r="B1128" s="1">
        <f t="shared" si="500"/>
        <v>0</v>
      </c>
      <c r="C1128" s="1">
        <f t="shared" si="501"/>
        <v>0</v>
      </c>
      <c r="D1128" s="10">
        <f t="shared" si="502"/>
        <v>0</v>
      </c>
      <c r="E1128" s="1">
        <f t="shared" si="503"/>
        <v>0</v>
      </c>
      <c r="F1128" s="1">
        <f t="shared" si="504"/>
        <v>0</v>
      </c>
      <c r="G1128" s="1">
        <f t="shared" si="505"/>
        <v>0</v>
      </c>
      <c r="H1128" s="1">
        <f t="shared" si="492"/>
        <v>0</v>
      </c>
      <c r="I1128" s="10">
        <f t="shared" si="506"/>
        <v>0</v>
      </c>
      <c r="J1128" s="1">
        <f t="shared" si="493"/>
        <v>0</v>
      </c>
      <c r="K1128" s="1">
        <f t="shared" si="494"/>
        <v>0</v>
      </c>
      <c r="L1128" s="1" t="str">
        <f t="shared" si="495"/>
        <v>0</v>
      </c>
      <c r="M1128" s="10">
        <f t="shared" si="496"/>
        <v>0</v>
      </c>
      <c r="N1128" s="1">
        <f t="shared" si="507"/>
        <v>0</v>
      </c>
      <c r="O1128" s="1">
        <f t="shared" si="499"/>
        <v>0</v>
      </c>
      <c r="P1128" s="1">
        <f t="shared" si="497"/>
        <v>0</v>
      </c>
      <c r="Q1128" s="3" t="str">
        <f t="shared" si="498"/>
        <v/>
      </c>
      <c r="T1128" s="13" t="str">
        <f t="shared" si="508"/>
        <v/>
      </c>
      <c r="U1128" s="14" t="str">
        <f t="shared" si="509"/>
        <v/>
      </c>
      <c r="V1128" s="13" t="str">
        <f t="shared" si="510"/>
        <v/>
      </c>
      <c r="W1128" s="13" t="str">
        <f t="shared" si="511"/>
        <v/>
      </c>
      <c r="X1128" s="14" t="str">
        <f t="shared" si="512"/>
        <v/>
      </c>
    </row>
    <row r="1129" spans="2:24" x14ac:dyDescent="0.3">
      <c r="B1129" s="1">
        <f t="shared" si="500"/>
        <v>0</v>
      </c>
      <c r="C1129" s="1">
        <f t="shared" si="501"/>
        <v>0</v>
      </c>
      <c r="D1129" s="10">
        <f t="shared" si="502"/>
        <v>0</v>
      </c>
      <c r="E1129" s="1">
        <f t="shared" si="503"/>
        <v>0</v>
      </c>
      <c r="F1129" s="1">
        <f t="shared" si="504"/>
        <v>0</v>
      </c>
      <c r="G1129" s="1">
        <f t="shared" si="505"/>
        <v>0</v>
      </c>
      <c r="H1129" s="1">
        <f t="shared" si="492"/>
        <v>0</v>
      </c>
      <c r="I1129" s="10">
        <f t="shared" si="506"/>
        <v>0</v>
      </c>
      <c r="J1129" s="1">
        <f t="shared" si="493"/>
        <v>0</v>
      </c>
      <c r="K1129" s="1">
        <f t="shared" si="494"/>
        <v>0</v>
      </c>
      <c r="L1129" s="1" t="str">
        <f t="shared" si="495"/>
        <v>0</v>
      </c>
      <c r="M1129" s="10">
        <f t="shared" si="496"/>
        <v>0</v>
      </c>
      <c r="N1129" s="1">
        <f t="shared" si="507"/>
        <v>0</v>
      </c>
      <c r="O1129" s="1">
        <f t="shared" si="499"/>
        <v>0</v>
      </c>
      <c r="P1129" s="1">
        <f t="shared" si="497"/>
        <v>0</v>
      </c>
      <c r="Q1129" s="3" t="str">
        <f t="shared" si="498"/>
        <v/>
      </c>
      <c r="T1129" s="13" t="str">
        <f t="shared" si="508"/>
        <v/>
      </c>
      <c r="U1129" s="14" t="str">
        <f t="shared" si="509"/>
        <v/>
      </c>
      <c r="V1129" s="13" t="str">
        <f t="shared" si="510"/>
        <v/>
      </c>
      <c r="W1129" s="13" t="str">
        <f t="shared" si="511"/>
        <v/>
      </c>
      <c r="X1129" s="14" t="str">
        <f t="shared" si="512"/>
        <v/>
      </c>
    </row>
    <row r="1130" spans="2:24" x14ac:dyDescent="0.3">
      <c r="B1130" s="1">
        <f t="shared" si="500"/>
        <v>0</v>
      </c>
      <c r="C1130" s="1">
        <f t="shared" si="501"/>
        <v>0</v>
      </c>
      <c r="D1130" s="10">
        <f t="shared" si="502"/>
        <v>0</v>
      </c>
      <c r="E1130" s="1">
        <f t="shared" si="503"/>
        <v>0</v>
      </c>
      <c r="F1130" s="1">
        <f t="shared" si="504"/>
        <v>0</v>
      </c>
      <c r="G1130" s="1">
        <f t="shared" si="505"/>
        <v>0</v>
      </c>
      <c r="H1130" s="1">
        <f t="shared" si="492"/>
        <v>0</v>
      </c>
      <c r="I1130" s="10">
        <f t="shared" si="506"/>
        <v>0</v>
      </c>
      <c r="J1130" s="1">
        <f t="shared" si="493"/>
        <v>0</v>
      </c>
      <c r="K1130" s="1">
        <f t="shared" si="494"/>
        <v>0</v>
      </c>
      <c r="L1130" s="1" t="str">
        <f t="shared" si="495"/>
        <v>0</v>
      </c>
      <c r="M1130" s="10">
        <f t="shared" si="496"/>
        <v>0</v>
      </c>
      <c r="N1130" s="1">
        <f t="shared" si="507"/>
        <v>0</v>
      </c>
      <c r="O1130" s="1">
        <f t="shared" si="499"/>
        <v>0</v>
      </c>
      <c r="P1130" s="1">
        <f t="shared" si="497"/>
        <v>0</v>
      </c>
      <c r="Q1130" s="3" t="str">
        <f t="shared" si="498"/>
        <v/>
      </c>
      <c r="T1130" s="13" t="str">
        <f t="shared" si="508"/>
        <v/>
      </c>
      <c r="U1130" s="14" t="str">
        <f t="shared" si="509"/>
        <v/>
      </c>
      <c r="V1130" s="13" t="str">
        <f t="shared" si="510"/>
        <v/>
      </c>
      <c r="W1130" s="13" t="str">
        <f t="shared" si="511"/>
        <v/>
      </c>
      <c r="X1130" s="14" t="str">
        <f t="shared" si="512"/>
        <v/>
      </c>
    </row>
    <row r="1131" spans="2:24" x14ac:dyDescent="0.3">
      <c r="B1131" s="1">
        <f t="shared" si="500"/>
        <v>0</v>
      </c>
      <c r="C1131" s="1">
        <f t="shared" si="501"/>
        <v>0</v>
      </c>
      <c r="D1131" s="10">
        <f t="shared" si="502"/>
        <v>0</v>
      </c>
      <c r="E1131" s="1">
        <f t="shared" si="503"/>
        <v>0</v>
      </c>
      <c r="F1131" s="1">
        <f t="shared" si="504"/>
        <v>0</v>
      </c>
      <c r="G1131" s="1">
        <f t="shared" si="505"/>
        <v>0</v>
      </c>
      <c r="H1131" s="1">
        <f t="shared" si="492"/>
        <v>0</v>
      </c>
      <c r="I1131" s="10">
        <f t="shared" si="506"/>
        <v>0</v>
      </c>
      <c r="J1131" s="1">
        <f t="shared" si="493"/>
        <v>0</v>
      </c>
      <c r="K1131" s="1">
        <f t="shared" si="494"/>
        <v>0</v>
      </c>
      <c r="L1131" s="1" t="str">
        <f t="shared" si="495"/>
        <v>0</v>
      </c>
      <c r="M1131" s="10">
        <f t="shared" si="496"/>
        <v>0</v>
      </c>
      <c r="N1131" s="1">
        <f t="shared" si="507"/>
        <v>0</v>
      </c>
      <c r="O1131" s="1">
        <f t="shared" si="499"/>
        <v>0</v>
      </c>
      <c r="P1131" s="1">
        <f t="shared" si="497"/>
        <v>0</v>
      </c>
      <c r="Q1131" s="3" t="str">
        <f t="shared" si="498"/>
        <v/>
      </c>
      <c r="T1131" s="13" t="str">
        <f t="shared" si="508"/>
        <v/>
      </c>
      <c r="U1131" s="14" t="str">
        <f t="shared" si="509"/>
        <v/>
      </c>
      <c r="V1131" s="13" t="str">
        <f t="shared" si="510"/>
        <v/>
      </c>
      <c r="W1131" s="13" t="str">
        <f t="shared" si="511"/>
        <v/>
      </c>
      <c r="X1131" s="14" t="str">
        <f t="shared" si="512"/>
        <v/>
      </c>
    </row>
    <row r="1132" spans="2:24" x14ac:dyDescent="0.3">
      <c r="B1132" s="1">
        <f t="shared" si="500"/>
        <v>0</v>
      </c>
      <c r="C1132" s="1">
        <f t="shared" si="501"/>
        <v>0</v>
      </c>
      <c r="D1132" s="10">
        <f t="shared" si="502"/>
        <v>0</v>
      </c>
      <c r="E1132" s="1">
        <f t="shared" si="503"/>
        <v>0</v>
      </c>
      <c r="F1132" s="1">
        <f t="shared" si="504"/>
        <v>0</v>
      </c>
      <c r="G1132" s="1">
        <f t="shared" si="505"/>
        <v>0</v>
      </c>
      <c r="H1132" s="1">
        <f t="shared" si="492"/>
        <v>0</v>
      </c>
      <c r="I1132" s="10">
        <f t="shared" si="506"/>
        <v>0</v>
      </c>
      <c r="J1132" s="1">
        <f t="shared" si="493"/>
        <v>0</v>
      </c>
      <c r="K1132" s="1">
        <f t="shared" si="494"/>
        <v>0</v>
      </c>
      <c r="L1132" s="1" t="str">
        <f t="shared" si="495"/>
        <v>0</v>
      </c>
      <c r="M1132" s="10">
        <f t="shared" si="496"/>
        <v>0</v>
      </c>
      <c r="N1132" s="1">
        <f t="shared" si="507"/>
        <v>0</v>
      </c>
      <c r="O1132" s="1">
        <f t="shared" si="499"/>
        <v>0</v>
      </c>
      <c r="P1132" s="1">
        <f t="shared" si="497"/>
        <v>0</v>
      </c>
      <c r="Q1132" s="3" t="str">
        <f t="shared" si="498"/>
        <v/>
      </c>
      <c r="T1132" s="13" t="str">
        <f t="shared" si="508"/>
        <v/>
      </c>
      <c r="U1132" s="14" t="str">
        <f t="shared" si="509"/>
        <v/>
      </c>
      <c r="V1132" s="13" t="str">
        <f t="shared" si="510"/>
        <v/>
      </c>
      <c r="W1132" s="13" t="str">
        <f t="shared" si="511"/>
        <v/>
      </c>
      <c r="X1132" s="14" t="str">
        <f t="shared" si="512"/>
        <v/>
      </c>
    </row>
    <row r="1133" spans="2:24" x14ac:dyDescent="0.3">
      <c r="B1133" s="1">
        <f t="shared" si="500"/>
        <v>0</v>
      </c>
      <c r="C1133" s="1">
        <f t="shared" si="501"/>
        <v>0</v>
      </c>
      <c r="D1133" s="10">
        <f t="shared" si="502"/>
        <v>0</v>
      </c>
      <c r="E1133" s="1">
        <f t="shared" si="503"/>
        <v>0</v>
      </c>
      <c r="F1133" s="1">
        <f t="shared" si="504"/>
        <v>0</v>
      </c>
      <c r="G1133" s="1">
        <f t="shared" si="505"/>
        <v>0</v>
      </c>
      <c r="H1133" s="1">
        <f t="shared" si="492"/>
        <v>0</v>
      </c>
      <c r="I1133" s="10">
        <f t="shared" si="506"/>
        <v>0</v>
      </c>
      <c r="J1133" s="1">
        <f t="shared" si="493"/>
        <v>0</v>
      </c>
      <c r="K1133" s="1">
        <f t="shared" si="494"/>
        <v>0</v>
      </c>
      <c r="L1133" s="1" t="str">
        <f t="shared" si="495"/>
        <v>0</v>
      </c>
      <c r="M1133" s="10">
        <f t="shared" si="496"/>
        <v>0</v>
      </c>
      <c r="N1133" s="1">
        <f t="shared" si="507"/>
        <v>0</v>
      </c>
      <c r="O1133" s="1">
        <f t="shared" si="499"/>
        <v>0</v>
      </c>
      <c r="P1133" s="1">
        <f t="shared" si="497"/>
        <v>0</v>
      </c>
      <c r="Q1133" s="3" t="str">
        <f t="shared" si="498"/>
        <v/>
      </c>
      <c r="T1133" s="13" t="str">
        <f t="shared" si="508"/>
        <v/>
      </c>
      <c r="U1133" s="14" t="str">
        <f t="shared" si="509"/>
        <v/>
      </c>
      <c r="V1133" s="13" t="str">
        <f t="shared" si="510"/>
        <v/>
      </c>
      <c r="W1133" s="13" t="str">
        <f t="shared" si="511"/>
        <v/>
      </c>
      <c r="X1133" s="14" t="str">
        <f t="shared" si="512"/>
        <v/>
      </c>
    </row>
    <row r="1134" spans="2:24" x14ac:dyDescent="0.3">
      <c r="B1134" s="1">
        <f t="shared" si="500"/>
        <v>0</v>
      </c>
      <c r="C1134" s="1">
        <f t="shared" si="501"/>
        <v>0</v>
      </c>
      <c r="D1134" s="10">
        <f t="shared" si="502"/>
        <v>0</v>
      </c>
      <c r="E1134" s="1">
        <f t="shared" si="503"/>
        <v>0</v>
      </c>
      <c r="F1134" s="1">
        <f t="shared" si="504"/>
        <v>0</v>
      </c>
      <c r="G1134" s="1">
        <f t="shared" si="505"/>
        <v>0</v>
      </c>
      <c r="H1134" s="1">
        <f t="shared" si="492"/>
        <v>0</v>
      </c>
      <c r="I1134" s="10">
        <f t="shared" si="506"/>
        <v>0</v>
      </c>
      <c r="J1134" s="1">
        <f t="shared" si="493"/>
        <v>0</v>
      </c>
      <c r="K1134" s="1">
        <f t="shared" si="494"/>
        <v>0</v>
      </c>
      <c r="L1134" s="1" t="str">
        <f t="shared" si="495"/>
        <v>0</v>
      </c>
      <c r="M1134" s="10">
        <f t="shared" si="496"/>
        <v>0</v>
      </c>
      <c r="N1134" s="1">
        <f t="shared" si="507"/>
        <v>0</v>
      </c>
      <c r="O1134" s="1">
        <f t="shared" si="499"/>
        <v>0</v>
      </c>
      <c r="P1134" s="1">
        <f t="shared" si="497"/>
        <v>0</v>
      </c>
      <c r="Q1134" s="3" t="str">
        <f t="shared" si="498"/>
        <v/>
      </c>
      <c r="T1134" s="13" t="str">
        <f t="shared" si="508"/>
        <v/>
      </c>
      <c r="U1134" s="14" t="str">
        <f t="shared" si="509"/>
        <v/>
      </c>
      <c r="V1134" s="13" t="str">
        <f t="shared" si="510"/>
        <v/>
      </c>
      <c r="W1134" s="13" t="str">
        <f t="shared" si="511"/>
        <v/>
      </c>
      <c r="X1134" s="14" t="str">
        <f t="shared" si="512"/>
        <v/>
      </c>
    </row>
    <row r="1135" spans="2:24" x14ac:dyDescent="0.3">
      <c r="B1135" s="1">
        <f t="shared" si="500"/>
        <v>0</v>
      </c>
      <c r="C1135" s="1">
        <f t="shared" si="501"/>
        <v>0</v>
      </c>
      <c r="D1135" s="10">
        <f t="shared" si="502"/>
        <v>0</v>
      </c>
      <c r="E1135" s="1">
        <f t="shared" si="503"/>
        <v>0</v>
      </c>
      <c r="F1135" s="1">
        <f t="shared" si="504"/>
        <v>0</v>
      </c>
      <c r="G1135" s="1">
        <f t="shared" si="505"/>
        <v>0</v>
      </c>
      <c r="H1135" s="1">
        <f t="shared" si="492"/>
        <v>0</v>
      </c>
      <c r="I1135" s="10">
        <f t="shared" si="506"/>
        <v>0</v>
      </c>
      <c r="J1135" s="1">
        <f t="shared" si="493"/>
        <v>0</v>
      </c>
      <c r="K1135" s="1">
        <f t="shared" si="494"/>
        <v>0</v>
      </c>
      <c r="L1135" s="1" t="str">
        <f t="shared" si="495"/>
        <v>0</v>
      </c>
      <c r="M1135" s="10">
        <f t="shared" si="496"/>
        <v>0</v>
      </c>
      <c r="N1135" s="1">
        <f t="shared" si="507"/>
        <v>0</v>
      </c>
      <c r="O1135" s="1">
        <f t="shared" si="499"/>
        <v>0</v>
      </c>
      <c r="P1135" s="1">
        <f t="shared" si="497"/>
        <v>0</v>
      </c>
      <c r="Q1135" s="3" t="str">
        <f t="shared" si="498"/>
        <v/>
      </c>
      <c r="T1135" s="13" t="str">
        <f t="shared" si="508"/>
        <v/>
      </c>
      <c r="U1135" s="14" t="str">
        <f t="shared" si="509"/>
        <v/>
      </c>
      <c r="V1135" s="13" t="str">
        <f t="shared" si="510"/>
        <v/>
      </c>
      <c r="W1135" s="13" t="str">
        <f t="shared" si="511"/>
        <v/>
      </c>
      <c r="X1135" s="14" t="str">
        <f t="shared" si="512"/>
        <v/>
      </c>
    </row>
    <row r="1136" spans="2:24" x14ac:dyDescent="0.3">
      <c r="B1136" s="1">
        <f t="shared" si="500"/>
        <v>0</v>
      </c>
      <c r="C1136" s="1">
        <f t="shared" si="501"/>
        <v>0</v>
      </c>
      <c r="D1136" s="10">
        <f t="shared" si="502"/>
        <v>0</v>
      </c>
      <c r="E1136" s="1">
        <f t="shared" si="503"/>
        <v>0</v>
      </c>
      <c r="F1136" s="1">
        <f t="shared" si="504"/>
        <v>0</v>
      </c>
      <c r="G1136" s="1">
        <f t="shared" si="505"/>
        <v>0</v>
      </c>
      <c r="H1136" s="1">
        <f t="shared" si="492"/>
        <v>0</v>
      </c>
      <c r="I1136" s="10">
        <f t="shared" si="506"/>
        <v>0</v>
      </c>
      <c r="J1136" s="1">
        <f t="shared" si="493"/>
        <v>0</v>
      </c>
      <c r="K1136" s="1">
        <f t="shared" si="494"/>
        <v>0</v>
      </c>
      <c r="L1136" s="1" t="str">
        <f t="shared" si="495"/>
        <v>0</v>
      </c>
      <c r="M1136" s="10">
        <f t="shared" si="496"/>
        <v>0</v>
      </c>
      <c r="N1136" s="1">
        <f t="shared" si="507"/>
        <v>0</v>
      </c>
      <c r="O1136" s="1">
        <f t="shared" si="499"/>
        <v>0</v>
      </c>
      <c r="P1136" s="1">
        <f t="shared" si="497"/>
        <v>0</v>
      </c>
      <c r="Q1136" s="3" t="str">
        <f t="shared" si="498"/>
        <v/>
      </c>
      <c r="T1136" s="13" t="str">
        <f t="shared" si="508"/>
        <v/>
      </c>
      <c r="U1136" s="14" t="str">
        <f t="shared" si="509"/>
        <v/>
      </c>
      <c r="V1136" s="13" t="str">
        <f t="shared" si="510"/>
        <v/>
      </c>
      <c r="W1136" s="13" t="str">
        <f t="shared" si="511"/>
        <v/>
      </c>
      <c r="X1136" s="14" t="str">
        <f t="shared" si="512"/>
        <v/>
      </c>
    </row>
    <row r="1137" spans="2:24" x14ac:dyDescent="0.3">
      <c r="B1137" s="1">
        <f t="shared" si="500"/>
        <v>0</v>
      </c>
      <c r="C1137" s="1">
        <f t="shared" si="501"/>
        <v>0</v>
      </c>
      <c r="D1137" s="10">
        <f t="shared" si="502"/>
        <v>0</v>
      </c>
      <c r="E1137" s="1">
        <f t="shared" si="503"/>
        <v>0</v>
      </c>
      <c r="F1137" s="1">
        <f t="shared" si="504"/>
        <v>0</v>
      </c>
      <c r="G1137" s="1">
        <f t="shared" si="505"/>
        <v>0</v>
      </c>
      <c r="H1137" s="1">
        <f t="shared" si="492"/>
        <v>0</v>
      </c>
      <c r="I1137" s="10">
        <f t="shared" si="506"/>
        <v>0</v>
      </c>
      <c r="J1137" s="1">
        <f t="shared" si="493"/>
        <v>0</v>
      </c>
      <c r="K1137" s="1">
        <f t="shared" si="494"/>
        <v>0</v>
      </c>
      <c r="L1137" s="1" t="str">
        <f t="shared" si="495"/>
        <v>0</v>
      </c>
      <c r="M1137" s="10">
        <f t="shared" si="496"/>
        <v>0</v>
      </c>
      <c r="N1137" s="1">
        <f t="shared" si="507"/>
        <v>0</v>
      </c>
      <c r="O1137" s="1">
        <f t="shared" si="499"/>
        <v>0</v>
      </c>
      <c r="P1137" s="1">
        <f t="shared" si="497"/>
        <v>0</v>
      </c>
      <c r="Q1137" s="3" t="str">
        <f t="shared" si="498"/>
        <v/>
      </c>
      <c r="T1137" s="13" t="str">
        <f t="shared" si="508"/>
        <v/>
      </c>
      <c r="U1137" s="14" t="str">
        <f t="shared" si="509"/>
        <v/>
      </c>
      <c r="V1137" s="13" t="str">
        <f t="shared" si="510"/>
        <v/>
      </c>
      <c r="W1137" s="13" t="str">
        <f t="shared" si="511"/>
        <v/>
      </c>
      <c r="X1137" s="14" t="str">
        <f t="shared" si="512"/>
        <v/>
      </c>
    </row>
    <row r="1138" spans="2:24" x14ac:dyDescent="0.3">
      <c r="B1138" s="1">
        <f t="shared" si="500"/>
        <v>0</v>
      </c>
      <c r="C1138" s="1">
        <f t="shared" si="501"/>
        <v>0</v>
      </c>
      <c r="D1138" s="10">
        <f t="shared" si="502"/>
        <v>0</v>
      </c>
      <c r="E1138" s="1">
        <f t="shared" si="503"/>
        <v>0</v>
      </c>
      <c r="F1138" s="1">
        <f t="shared" si="504"/>
        <v>0</v>
      </c>
      <c r="G1138" s="1">
        <f t="shared" si="505"/>
        <v>0</v>
      </c>
      <c r="H1138" s="1">
        <f t="shared" si="492"/>
        <v>0</v>
      </c>
      <c r="I1138" s="10">
        <f t="shared" si="506"/>
        <v>0</v>
      </c>
      <c r="J1138" s="1">
        <f t="shared" si="493"/>
        <v>0</v>
      </c>
      <c r="K1138" s="1">
        <f t="shared" si="494"/>
        <v>0</v>
      </c>
      <c r="L1138" s="1" t="str">
        <f t="shared" si="495"/>
        <v>0</v>
      </c>
      <c r="M1138" s="10">
        <f t="shared" si="496"/>
        <v>0</v>
      </c>
      <c r="N1138" s="1">
        <f t="shared" si="507"/>
        <v>0</v>
      </c>
      <c r="O1138" s="1">
        <f t="shared" si="499"/>
        <v>0</v>
      </c>
      <c r="P1138" s="1">
        <f t="shared" si="497"/>
        <v>0</v>
      </c>
      <c r="Q1138" s="3" t="str">
        <f t="shared" si="498"/>
        <v/>
      </c>
      <c r="T1138" s="13" t="str">
        <f t="shared" si="508"/>
        <v/>
      </c>
      <c r="U1138" s="14" t="str">
        <f t="shared" si="509"/>
        <v/>
      </c>
      <c r="V1138" s="13" t="str">
        <f t="shared" si="510"/>
        <v/>
      </c>
      <c r="W1138" s="13" t="str">
        <f t="shared" si="511"/>
        <v/>
      </c>
      <c r="X1138" s="14" t="str">
        <f t="shared" si="512"/>
        <v/>
      </c>
    </row>
    <row r="1139" spans="2:24" x14ac:dyDescent="0.3">
      <c r="B1139" s="1">
        <f t="shared" si="500"/>
        <v>0</v>
      </c>
      <c r="C1139" s="1">
        <f t="shared" si="501"/>
        <v>0</v>
      </c>
      <c r="D1139" s="10">
        <f t="shared" si="502"/>
        <v>0</v>
      </c>
      <c r="E1139" s="1">
        <f t="shared" si="503"/>
        <v>0</v>
      </c>
      <c r="F1139" s="1">
        <f t="shared" si="504"/>
        <v>0</v>
      </c>
      <c r="G1139" s="1">
        <f t="shared" si="505"/>
        <v>0</v>
      </c>
      <c r="H1139" s="1">
        <f t="shared" si="492"/>
        <v>0</v>
      </c>
      <c r="I1139" s="10">
        <f t="shared" si="506"/>
        <v>0</v>
      </c>
      <c r="J1139" s="1">
        <f t="shared" si="493"/>
        <v>0</v>
      </c>
      <c r="K1139" s="1">
        <f t="shared" si="494"/>
        <v>0</v>
      </c>
      <c r="L1139" s="1" t="str">
        <f t="shared" si="495"/>
        <v>0</v>
      </c>
      <c r="M1139" s="10">
        <f t="shared" si="496"/>
        <v>0</v>
      </c>
      <c r="N1139" s="1">
        <f t="shared" si="507"/>
        <v>0</v>
      </c>
      <c r="O1139" s="1">
        <f t="shared" si="499"/>
        <v>0</v>
      </c>
      <c r="P1139" s="1">
        <f t="shared" si="497"/>
        <v>0</v>
      </c>
      <c r="Q1139" s="3" t="str">
        <f t="shared" si="498"/>
        <v/>
      </c>
      <c r="T1139" s="13" t="str">
        <f t="shared" si="508"/>
        <v/>
      </c>
      <c r="U1139" s="14" t="str">
        <f t="shared" si="509"/>
        <v/>
      </c>
      <c r="V1139" s="13" t="str">
        <f t="shared" si="510"/>
        <v/>
      </c>
      <c r="W1139" s="13" t="str">
        <f t="shared" si="511"/>
        <v/>
      </c>
      <c r="X1139" s="14" t="str">
        <f t="shared" si="512"/>
        <v/>
      </c>
    </row>
    <row r="1140" spans="2:24" x14ac:dyDescent="0.3">
      <c r="B1140" s="1">
        <f t="shared" si="500"/>
        <v>0</v>
      </c>
      <c r="C1140" s="1">
        <f t="shared" si="501"/>
        <v>0</v>
      </c>
      <c r="D1140" s="10">
        <f t="shared" si="502"/>
        <v>0</v>
      </c>
      <c r="E1140" s="1">
        <f t="shared" si="503"/>
        <v>0</v>
      </c>
      <c r="F1140" s="1">
        <f t="shared" si="504"/>
        <v>0</v>
      </c>
      <c r="G1140" s="1">
        <f t="shared" si="505"/>
        <v>0</v>
      </c>
      <c r="H1140" s="1">
        <f t="shared" si="492"/>
        <v>0</v>
      </c>
      <c r="I1140" s="10">
        <f t="shared" si="506"/>
        <v>0</v>
      </c>
      <c r="J1140" s="1">
        <f t="shared" si="493"/>
        <v>0</v>
      </c>
      <c r="K1140" s="1">
        <f t="shared" si="494"/>
        <v>0</v>
      </c>
      <c r="L1140" s="1" t="str">
        <f t="shared" si="495"/>
        <v>0</v>
      </c>
      <c r="M1140" s="10">
        <f t="shared" si="496"/>
        <v>0</v>
      </c>
      <c r="N1140" s="1">
        <f t="shared" si="507"/>
        <v>0</v>
      </c>
      <c r="O1140" s="1">
        <f t="shared" si="499"/>
        <v>0</v>
      </c>
      <c r="P1140" s="1">
        <f t="shared" si="497"/>
        <v>0</v>
      </c>
      <c r="Q1140" s="3" t="str">
        <f t="shared" si="498"/>
        <v/>
      </c>
      <c r="T1140" s="13" t="str">
        <f t="shared" si="508"/>
        <v/>
      </c>
      <c r="U1140" s="14" t="str">
        <f t="shared" si="509"/>
        <v/>
      </c>
      <c r="V1140" s="13" t="str">
        <f t="shared" si="510"/>
        <v/>
      </c>
      <c r="W1140" s="13" t="str">
        <f t="shared" si="511"/>
        <v/>
      </c>
      <c r="X1140" s="14" t="str">
        <f t="shared" si="512"/>
        <v/>
      </c>
    </row>
    <row r="1141" spans="2:24" x14ac:dyDescent="0.3">
      <c r="B1141" s="1">
        <f t="shared" si="500"/>
        <v>0</v>
      </c>
      <c r="C1141" s="1">
        <f t="shared" si="501"/>
        <v>0</v>
      </c>
      <c r="D1141" s="10">
        <f t="shared" si="502"/>
        <v>0</v>
      </c>
      <c r="E1141" s="1">
        <f t="shared" si="503"/>
        <v>0</v>
      </c>
      <c r="F1141" s="1">
        <f t="shared" si="504"/>
        <v>0</v>
      </c>
      <c r="G1141" s="1">
        <f t="shared" si="505"/>
        <v>0</v>
      </c>
      <c r="H1141" s="1">
        <f t="shared" ref="H1141:H1204" si="513">IF(AND(F1141&gt;0,F1141&lt;G1141),F1141,G1141)</f>
        <v>0</v>
      </c>
      <c r="I1141" s="10">
        <f t="shared" si="506"/>
        <v>0</v>
      </c>
      <c r="J1141" s="1">
        <f t="shared" ref="J1141:J1204" si="514">IF(AND(F1141&gt;0,F1141&lt;G1141),FIND("=",A1141,F1141)+1,0)</f>
        <v>0</v>
      </c>
      <c r="K1141" s="1">
        <f t="shared" ref="K1141:K1204" si="515">IF(J1141&gt;0,MID(A1141,J1141,G1141-J1141),0)</f>
        <v>0</v>
      </c>
      <c r="L1141" s="1" t="str">
        <f t="shared" ref="L1141:L1204" si="516">IFERROR(RIGHT(K1141,LEN(K1141)-FIND("0x",K1141)-1),DEC2HEX(K1141))</f>
        <v>0</v>
      </c>
      <c r="M1141" s="10">
        <f t="shared" ref="M1141:M1204" si="517">HEX2DEC(L1141)</f>
        <v>0</v>
      </c>
      <c r="N1141" s="1">
        <f t="shared" si="507"/>
        <v>0</v>
      </c>
      <c r="O1141" s="1">
        <f t="shared" si="499"/>
        <v>0</v>
      </c>
      <c r="P1141" s="1">
        <f t="shared" ref="P1141:P1204" si="518">IFERROR(FIND("*/",$A1141,N1141+1),0)</f>
        <v>0</v>
      </c>
      <c r="Q1141" s="3" t="str">
        <f t="shared" si="498"/>
        <v/>
      </c>
      <c r="T1141" s="13" t="str">
        <f t="shared" si="508"/>
        <v/>
      </c>
      <c r="U1141" s="14" t="str">
        <f t="shared" si="509"/>
        <v/>
      </c>
      <c r="V1141" s="13" t="str">
        <f t="shared" si="510"/>
        <v/>
      </c>
      <c r="W1141" s="13" t="str">
        <f t="shared" si="511"/>
        <v/>
      </c>
      <c r="X1141" s="14" t="str">
        <f t="shared" si="512"/>
        <v/>
      </c>
    </row>
    <row r="1142" spans="2:24" x14ac:dyDescent="0.3">
      <c r="B1142" s="1">
        <f t="shared" si="500"/>
        <v>0</v>
      </c>
      <c r="C1142" s="1">
        <f t="shared" si="501"/>
        <v>0</v>
      </c>
      <c r="D1142" s="10">
        <f t="shared" si="502"/>
        <v>0</v>
      </c>
      <c r="E1142" s="1">
        <f t="shared" si="503"/>
        <v>0</v>
      </c>
      <c r="F1142" s="1">
        <f t="shared" si="504"/>
        <v>0</v>
      </c>
      <c r="G1142" s="1">
        <f t="shared" si="505"/>
        <v>0</v>
      </c>
      <c r="H1142" s="1">
        <f t="shared" si="513"/>
        <v>0</v>
      </c>
      <c r="I1142" s="10">
        <f t="shared" si="506"/>
        <v>0</v>
      </c>
      <c r="J1142" s="1">
        <f t="shared" si="514"/>
        <v>0</v>
      </c>
      <c r="K1142" s="1">
        <f t="shared" si="515"/>
        <v>0</v>
      </c>
      <c r="L1142" s="1" t="str">
        <f t="shared" si="516"/>
        <v>0</v>
      </c>
      <c r="M1142" s="10">
        <f t="shared" si="517"/>
        <v>0</v>
      </c>
      <c r="N1142" s="1">
        <f t="shared" si="507"/>
        <v>0</v>
      </c>
      <c r="O1142" s="1">
        <f t="shared" si="499"/>
        <v>0</v>
      </c>
      <c r="P1142" s="1">
        <f t="shared" si="518"/>
        <v>0</v>
      </c>
      <c r="Q1142" s="3" t="str">
        <f t="shared" si="498"/>
        <v/>
      </c>
      <c r="T1142" s="13" t="str">
        <f t="shared" si="508"/>
        <v/>
      </c>
      <c r="U1142" s="14" t="str">
        <f t="shared" si="509"/>
        <v/>
      </c>
      <c r="V1142" s="13" t="str">
        <f t="shared" si="510"/>
        <v/>
      </c>
      <c r="W1142" s="13" t="str">
        <f t="shared" si="511"/>
        <v/>
      </c>
      <c r="X1142" s="14" t="str">
        <f t="shared" si="512"/>
        <v/>
      </c>
    </row>
    <row r="1143" spans="2:24" x14ac:dyDescent="0.3">
      <c r="B1143" s="1">
        <f t="shared" si="500"/>
        <v>0</v>
      </c>
      <c r="C1143" s="1">
        <f t="shared" si="501"/>
        <v>0</v>
      </c>
      <c r="D1143" s="10">
        <f t="shared" si="502"/>
        <v>0</v>
      </c>
      <c r="E1143" s="1">
        <f t="shared" si="503"/>
        <v>0</v>
      </c>
      <c r="F1143" s="1">
        <f t="shared" si="504"/>
        <v>0</v>
      </c>
      <c r="G1143" s="1">
        <f t="shared" si="505"/>
        <v>0</v>
      </c>
      <c r="H1143" s="1">
        <f t="shared" si="513"/>
        <v>0</v>
      </c>
      <c r="I1143" s="10">
        <f t="shared" si="506"/>
        <v>0</v>
      </c>
      <c r="J1143" s="1">
        <f t="shared" si="514"/>
        <v>0</v>
      </c>
      <c r="K1143" s="1">
        <f t="shared" si="515"/>
        <v>0</v>
      </c>
      <c r="L1143" s="1" t="str">
        <f t="shared" si="516"/>
        <v>0</v>
      </c>
      <c r="M1143" s="10">
        <f t="shared" si="517"/>
        <v>0</v>
      </c>
      <c r="N1143" s="1">
        <f t="shared" si="507"/>
        <v>0</v>
      </c>
      <c r="O1143" s="1">
        <f t="shared" si="499"/>
        <v>0</v>
      </c>
      <c r="P1143" s="1">
        <f t="shared" si="518"/>
        <v>0</v>
      </c>
      <c r="Q1143" s="3" t="str">
        <f t="shared" si="498"/>
        <v/>
      </c>
      <c r="T1143" s="13" t="str">
        <f t="shared" si="508"/>
        <v/>
      </c>
      <c r="U1143" s="14" t="str">
        <f t="shared" si="509"/>
        <v/>
      </c>
      <c r="V1143" s="13" t="str">
        <f t="shared" si="510"/>
        <v/>
      </c>
      <c r="W1143" s="13" t="str">
        <f t="shared" si="511"/>
        <v/>
      </c>
      <c r="X1143" s="14" t="str">
        <f t="shared" si="512"/>
        <v/>
      </c>
    </row>
    <row r="1144" spans="2:24" x14ac:dyDescent="0.3">
      <c r="B1144" s="1">
        <f t="shared" si="500"/>
        <v>0</v>
      </c>
      <c r="C1144" s="1">
        <f t="shared" si="501"/>
        <v>0</v>
      </c>
      <c r="D1144" s="10">
        <f t="shared" si="502"/>
        <v>0</v>
      </c>
      <c r="E1144" s="1">
        <f t="shared" si="503"/>
        <v>0</v>
      </c>
      <c r="F1144" s="1">
        <f t="shared" si="504"/>
        <v>0</v>
      </c>
      <c r="G1144" s="1">
        <f t="shared" si="505"/>
        <v>0</v>
      </c>
      <c r="H1144" s="1">
        <f t="shared" si="513"/>
        <v>0</v>
      </c>
      <c r="I1144" s="10">
        <f t="shared" si="506"/>
        <v>0</v>
      </c>
      <c r="J1144" s="1">
        <f t="shared" si="514"/>
        <v>0</v>
      </c>
      <c r="K1144" s="1">
        <f t="shared" si="515"/>
        <v>0</v>
      </c>
      <c r="L1144" s="1" t="str">
        <f t="shared" si="516"/>
        <v>0</v>
      </c>
      <c r="M1144" s="10">
        <f t="shared" si="517"/>
        <v>0</v>
      </c>
      <c r="N1144" s="1">
        <f t="shared" si="507"/>
        <v>0</v>
      </c>
      <c r="O1144" s="1">
        <f t="shared" si="499"/>
        <v>0</v>
      </c>
      <c r="P1144" s="1">
        <f t="shared" si="518"/>
        <v>0</v>
      </c>
      <c r="Q1144" s="3" t="str">
        <f t="shared" si="498"/>
        <v/>
      </c>
      <c r="T1144" s="13" t="str">
        <f t="shared" si="508"/>
        <v/>
      </c>
      <c r="U1144" s="14" t="str">
        <f t="shared" si="509"/>
        <v/>
      </c>
      <c r="V1144" s="13" t="str">
        <f t="shared" si="510"/>
        <v/>
      </c>
      <c r="W1144" s="13" t="str">
        <f t="shared" si="511"/>
        <v/>
      </c>
      <c r="X1144" s="14" t="str">
        <f t="shared" si="512"/>
        <v/>
      </c>
    </row>
    <row r="1145" spans="2:24" x14ac:dyDescent="0.3">
      <c r="B1145" s="1">
        <f t="shared" si="500"/>
        <v>0</v>
      </c>
      <c r="C1145" s="1">
        <f t="shared" si="501"/>
        <v>0</v>
      </c>
      <c r="D1145" s="10">
        <f t="shared" si="502"/>
        <v>0</v>
      </c>
      <c r="E1145" s="1">
        <f t="shared" si="503"/>
        <v>0</v>
      </c>
      <c r="F1145" s="1">
        <f t="shared" si="504"/>
        <v>0</v>
      </c>
      <c r="G1145" s="1">
        <f t="shared" si="505"/>
        <v>0</v>
      </c>
      <c r="H1145" s="1">
        <f t="shared" si="513"/>
        <v>0</v>
      </c>
      <c r="I1145" s="10">
        <f t="shared" si="506"/>
        <v>0</v>
      </c>
      <c r="J1145" s="1">
        <f t="shared" si="514"/>
        <v>0</v>
      </c>
      <c r="K1145" s="1">
        <f t="shared" si="515"/>
        <v>0</v>
      </c>
      <c r="L1145" s="1" t="str">
        <f t="shared" si="516"/>
        <v>0</v>
      </c>
      <c r="M1145" s="10">
        <f t="shared" si="517"/>
        <v>0</v>
      </c>
      <c r="N1145" s="1">
        <f t="shared" si="507"/>
        <v>0</v>
      </c>
      <c r="O1145" s="1">
        <f t="shared" si="499"/>
        <v>0</v>
      </c>
      <c r="P1145" s="1">
        <f t="shared" si="518"/>
        <v>0</v>
      </c>
      <c r="Q1145" s="3" t="str">
        <f t="shared" si="498"/>
        <v/>
      </c>
      <c r="T1145" s="13" t="str">
        <f t="shared" si="508"/>
        <v/>
      </c>
      <c r="U1145" s="14" t="str">
        <f t="shared" si="509"/>
        <v/>
      </c>
      <c r="V1145" s="13" t="str">
        <f t="shared" si="510"/>
        <v/>
      </c>
      <c r="W1145" s="13" t="str">
        <f t="shared" si="511"/>
        <v/>
      </c>
      <c r="X1145" s="14" t="str">
        <f t="shared" si="512"/>
        <v/>
      </c>
    </row>
    <row r="1146" spans="2:24" x14ac:dyDescent="0.3">
      <c r="B1146" s="1">
        <f t="shared" si="500"/>
        <v>0</v>
      </c>
      <c r="C1146" s="1">
        <f t="shared" si="501"/>
        <v>0</v>
      </c>
      <c r="D1146" s="10">
        <f t="shared" si="502"/>
        <v>0</v>
      </c>
      <c r="E1146" s="1">
        <f t="shared" si="503"/>
        <v>0</v>
      </c>
      <c r="F1146" s="1">
        <f t="shared" si="504"/>
        <v>0</v>
      </c>
      <c r="G1146" s="1">
        <f t="shared" si="505"/>
        <v>0</v>
      </c>
      <c r="H1146" s="1">
        <f t="shared" si="513"/>
        <v>0</v>
      </c>
      <c r="I1146" s="10">
        <f t="shared" si="506"/>
        <v>0</v>
      </c>
      <c r="J1146" s="1">
        <f t="shared" si="514"/>
        <v>0</v>
      </c>
      <c r="K1146" s="1">
        <f t="shared" si="515"/>
        <v>0</v>
      </c>
      <c r="L1146" s="1" t="str">
        <f t="shared" si="516"/>
        <v>0</v>
      </c>
      <c r="M1146" s="10">
        <f t="shared" si="517"/>
        <v>0</v>
      </c>
      <c r="N1146" s="1">
        <f t="shared" si="507"/>
        <v>0</v>
      </c>
      <c r="O1146" s="1">
        <f t="shared" si="499"/>
        <v>0</v>
      </c>
      <c r="P1146" s="1">
        <f t="shared" si="518"/>
        <v>0</v>
      </c>
      <c r="Q1146" s="3" t="str">
        <f t="shared" si="498"/>
        <v/>
      </c>
      <c r="T1146" s="13" t="str">
        <f t="shared" si="508"/>
        <v/>
      </c>
      <c r="U1146" s="14" t="str">
        <f t="shared" si="509"/>
        <v/>
      </c>
      <c r="V1146" s="13" t="str">
        <f t="shared" si="510"/>
        <v/>
      </c>
      <c r="W1146" s="13" t="str">
        <f t="shared" si="511"/>
        <v/>
      </c>
      <c r="X1146" s="14" t="str">
        <f t="shared" si="512"/>
        <v/>
      </c>
    </row>
    <row r="1147" spans="2:24" x14ac:dyDescent="0.3">
      <c r="B1147" s="1">
        <f t="shared" si="500"/>
        <v>0</v>
      </c>
      <c r="C1147" s="1">
        <f t="shared" si="501"/>
        <v>0</v>
      </c>
      <c r="D1147" s="10">
        <f t="shared" si="502"/>
        <v>0</v>
      </c>
      <c r="E1147" s="1">
        <f t="shared" si="503"/>
        <v>0</v>
      </c>
      <c r="F1147" s="1">
        <f t="shared" si="504"/>
        <v>0</v>
      </c>
      <c r="G1147" s="1">
        <f t="shared" si="505"/>
        <v>0</v>
      </c>
      <c r="H1147" s="1">
        <f t="shared" si="513"/>
        <v>0</v>
      </c>
      <c r="I1147" s="10">
        <f t="shared" si="506"/>
        <v>0</v>
      </c>
      <c r="J1147" s="1">
        <f t="shared" si="514"/>
        <v>0</v>
      </c>
      <c r="K1147" s="1">
        <f t="shared" si="515"/>
        <v>0</v>
      </c>
      <c r="L1147" s="1" t="str">
        <f t="shared" si="516"/>
        <v>0</v>
      </c>
      <c r="M1147" s="10">
        <f t="shared" si="517"/>
        <v>0</v>
      </c>
      <c r="N1147" s="1">
        <f t="shared" si="507"/>
        <v>0</v>
      </c>
      <c r="O1147" s="1">
        <f t="shared" si="499"/>
        <v>0</v>
      </c>
      <c r="P1147" s="1">
        <f t="shared" si="518"/>
        <v>0</v>
      </c>
      <c r="Q1147" s="3" t="str">
        <f t="shared" si="498"/>
        <v/>
      </c>
      <c r="T1147" s="13" t="str">
        <f t="shared" si="508"/>
        <v/>
      </c>
      <c r="U1147" s="14" t="str">
        <f t="shared" si="509"/>
        <v/>
      </c>
      <c r="V1147" s="13" t="str">
        <f t="shared" si="510"/>
        <v/>
      </c>
      <c r="W1147" s="13" t="str">
        <f t="shared" si="511"/>
        <v/>
      </c>
      <c r="X1147" s="14" t="str">
        <f t="shared" si="512"/>
        <v/>
      </c>
    </row>
    <row r="1148" spans="2:24" x14ac:dyDescent="0.3">
      <c r="B1148" s="1">
        <f t="shared" si="500"/>
        <v>0</v>
      </c>
      <c r="C1148" s="1">
        <f t="shared" si="501"/>
        <v>0</v>
      </c>
      <c r="D1148" s="10">
        <f t="shared" si="502"/>
        <v>0</v>
      </c>
      <c r="E1148" s="1">
        <f t="shared" si="503"/>
        <v>0</v>
      </c>
      <c r="F1148" s="1">
        <f t="shared" si="504"/>
        <v>0</v>
      </c>
      <c r="G1148" s="1">
        <f t="shared" si="505"/>
        <v>0</v>
      </c>
      <c r="H1148" s="1">
        <f t="shared" si="513"/>
        <v>0</v>
      </c>
      <c r="I1148" s="10">
        <f t="shared" si="506"/>
        <v>0</v>
      </c>
      <c r="J1148" s="1">
        <f t="shared" si="514"/>
        <v>0</v>
      </c>
      <c r="K1148" s="1">
        <f t="shared" si="515"/>
        <v>0</v>
      </c>
      <c r="L1148" s="1" t="str">
        <f t="shared" si="516"/>
        <v>0</v>
      </c>
      <c r="M1148" s="10">
        <f t="shared" si="517"/>
        <v>0</v>
      </c>
      <c r="N1148" s="1">
        <f t="shared" si="507"/>
        <v>0</v>
      </c>
      <c r="O1148" s="1">
        <f t="shared" si="499"/>
        <v>0</v>
      </c>
      <c r="P1148" s="1">
        <f t="shared" si="518"/>
        <v>0</v>
      </c>
      <c r="Q1148" s="3" t="str">
        <f t="shared" si="498"/>
        <v/>
      </c>
      <c r="T1148" s="13" t="str">
        <f t="shared" si="508"/>
        <v/>
      </c>
      <c r="U1148" s="14" t="str">
        <f t="shared" si="509"/>
        <v/>
      </c>
      <c r="V1148" s="13" t="str">
        <f t="shared" si="510"/>
        <v/>
      </c>
      <c r="W1148" s="13" t="str">
        <f t="shared" si="511"/>
        <v/>
      </c>
      <c r="X1148" s="14" t="str">
        <f t="shared" si="512"/>
        <v/>
      </c>
    </row>
    <row r="1149" spans="2:24" x14ac:dyDescent="0.3">
      <c r="B1149" s="1">
        <f t="shared" si="500"/>
        <v>0</v>
      </c>
      <c r="C1149" s="1">
        <f t="shared" si="501"/>
        <v>0</v>
      </c>
      <c r="D1149" s="10">
        <f t="shared" si="502"/>
        <v>0</v>
      </c>
      <c r="E1149" s="1">
        <f t="shared" si="503"/>
        <v>0</v>
      </c>
      <c r="F1149" s="1">
        <f t="shared" si="504"/>
        <v>0</v>
      </c>
      <c r="G1149" s="1">
        <f t="shared" si="505"/>
        <v>0</v>
      </c>
      <c r="H1149" s="1">
        <f t="shared" si="513"/>
        <v>0</v>
      </c>
      <c r="I1149" s="10">
        <f t="shared" si="506"/>
        <v>0</v>
      </c>
      <c r="J1149" s="1">
        <f t="shared" si="514"/>
        <v>0</v>
      </c>
      <c r="K1149" s="1">
        <f t="shared" si="515"/>
        <v>0</v>
      </c>
      <c r="L1149" s="1" t="str">
        <f t="shared" si="516"/>
        <v>0</v>
      </c>
      <c r="M1149" s="10">
        <f t="shared" si="517"/>
        <v>0</v>
      </c>
      <c r="N1149" s="1">
        <f t="shared" si="507"/>
        <v>0</v>
      </c>
      <c r="O1149" s="1">
        <f t="shared" si="499"/>
        <v>0</v>
      </c>
      <c r="P1149" s="1">
        <f t="shared" si="518"/>
        <v>0</v>
      </c>
      <c r="Q1149" s="3" t="str">
        <f t="shared" si="498"/>
        <v/>
      </c>
      <c r="T1149" s="13" t="str">
        <f t="shared" si="508"/>
        <v/>
      </c>
      <c r="U1149" s="14" t="str">
        <f t="shared" si="509"/>
        <v/>
      </c>
      <c r="V1149" s="13" t="str">
        <f t="shared" si="510"/>
        <v/>
      </c>
      <c r="W1149" s="13" t="str">
        <f t="shared" si="511"/>
        <v/>
      </c>
      <c r="X1149" s="14" t="str">
        <f t="shared" si="512"/>
        <v/>
      </c>
    </row>
    <row r="1150" spans="2:24" x14ac:dyDescent="0.3">
      <c r="B1150" s="1">
        <f t="shared" si="500"/>
        <v>0</v>
      </c>
      <c r="C1150" s="1">
        <f t="shared" si="501"/>
        <v>0</v>
      </c>
      <c r="D1150" s="10">
        <f t="shared" si="502"/>
        <v>0</v>
      </c>
      <c r="E1150" s="1">
        <f t="shared" si="503"/>
        <v>0</v>
      </c>
      <c r="F1150" s="1">
        <f t="shared" si="504"/>
        <v>0</v>
      </c>
      <c r="G1150" s="1">
        <f t="shared" si="505"/>
        <v>0</v>
      </c>
      <c r="H1150" s="1">
        <f t="shared" si="513"/>
        <v>0</v>
      </c>
      <c r="I1150" s="10">
        <f t="shared" si="506"/>
        <v>0</v>
      </c>
      <c r="J1150" s="1">
        <f t="shared" si="514"/>
        <v>0</v>
      </c>
      <c r="K1150" s="1">
        <f t="shared" si="515"/>
        <v>0</v>
      </c>
      <c r="L1150" s="1" t="str">
        <f t="shared" si="516"/>
        <v>0</v>
      </c>
      <c r="M1150" s="10">
        <f t="shared" si="517"/>
        <v>0</v>
      </c>
      <c r="N1150" s="1">
        <f t="shared" si="507"/>
        <v>0</v>
      </c>
      <c r="O1150" s="1">
        <f t="shared" si="499"/>
        <v>0</v>
      </c>
      <c r="P1150" s="1">
        <f t="shared" si="518"/>
        <v>0</v>
      </c>
      <c r="Q1150" s="3" t="str">
        <f t="shared" si="498"/>
        <v/>
      </c>
      <c r="T1150" s="13" t="str">
        <f t="shared" si="508"/>
        <v/>
      </c>
      <c r="U1150" s="14" t="str">
        <f t="shared" si="509"/>
        <v/>
      </c>
      <c r="V1150" s="13" t="str">
        <f t="shared" si="510"/>
        <v/>
      </c>
      <c r="W1150" s="13" t="str">
        <f t="shared" si="511"/>
        <v/>
      </c>
      <c r="X1150" s="14" t="str">
        <f t="shared" si="512"/>
        <v/>
      </c>
    </row>
    <row r="1151" spans="2:24" x14ac:dyDescent="0.3">
      <c r="B1151" s="1">
        <f t="shared" si="500"/>
        <v>0</v>
      </c>
      <c r="C1151" s="1">
        <f t="shared" si="501"/>
        <v>0</v>
      </c>
      <c r="D1151" s="10">
        <f t="shared" si="502"/>
        <v>0</v>
      </c>
      <c r="E1151" s="1">
        <f t="shared" si="503"/>
        <v>0</v>
      </c>
      <c r="F1151" s="1">
        <f t="shared" si="504"/>
        <v>0</v>
      </c>
      <c r="G1151" s="1">
        <f t="shared" si="505"/>
        <v>0</v>
      </c>
      <c r="H1151" s="1">
        <f t="shared" si="513"/>
        <v>0</v>
      </c>
      <c r="I1151" s="10">
        <f t="shared" si="506"/>
        <v>0</v>
      </c>
      <c r="J1151" s="1">
        <f t="shared" si="514"/>
        <v>0</v>
      </c>
      <c r="K1151" s="1">
        <f t="shared" si="515"/>
        <v>0</v>
      </c>
      <c r="L1151" s="1" t="str">
        <f t="shared" si="516"/>
        <v>0</v>
      </c>
      <c r="M1151" s="10">
        <f t="shared" si="517"/>
        <v>0</v>
      </c>
      <c r="N1151" s="1">
        <f t="shared" si="507"/>
        <v>0</v>
      </c>
      <c r="O1151" s="1">
        <f t="shared" si="499"/>
        <v>0</v>
      </c>
      <c r="P1151" s="1">
        <f t="shared" si="518"/>
        <v>0</v>
      </c>
      <c r="Q1151" s="3" t="str">
        <f t="shared" si="498"/>
        <v/>
      </c>
      <c r="T1151" s="13" t="str">
        <f t="shared" si="508"/>
        <v/>
      </c>
      <c r="U1151" s="14" t="str">
        <f t="shared" si="509"/>
        <v/>
      </c>
      <c r="V1151" s="13" t="str">
        <f t="shared" si="510"/>
        <v/>
      </c>
      <c r="W1151" s="13" t="str">
        <f t="shared" si="511"/>
        <v/>
      </c>
      <c r="X1151" s="14" t="str">
        <f t="shared" si="512"/>
        <v/>
      </c>
    </row>
    <row r="1152" spans="2:24" x14ac:dyDescent="0.3">
      <c r="B1152" s="1">
        <f t="shared" si="500"/>
        <v>0</v>
      </c>
      <c r="C1152" s="1">
        <f t="shared" si="501"/>
        <v>0</v>
      </c>
      <c r="D1152" s="10">
        <f t="shared" si="502"/>
        <v>0</v>
      </c>
      <c r="E1152" s="1">
        <f t="shared" si="503"/>
        <v>0</v>
      </c>
      <c r="F1152" s="1">
        <f t="shared" si="504"/>
        <v>0</v>
      </c>
      <c r="G1152" s="1">
        <f t="shared" si="505"/>
        <v>0</v>
      </c>
      <c r="H1152" s="1">
        <f t="shared" si="513"/>
        <v>0</v>
      </c>
      <c r="I1152" s="10">
        <f t="shared" si="506"/>
        <v>0</v>
      </c>
      <c r="J1152" s="1">
        <f t="shared" si="514"/>
        <v>0</v>
      </c>
      <c r="K1152" s="1">
        <f t="shared" si="515"/>
        <v>0</v>
      </c>
      <c r="L1152" s="1" t="str">
        <f t="shared" si="516"/>
        <v>0</v>
      </c>
      <c r="M1152" s="10">
        <f t="shared" si="517"/>
        <v>0</v>
      </c>
      <c r="N1152" s="1">
        <f t="shared" si="507"/>
        <v>0</v>
      </c>
      <c r="O1152" s="1">
        <f t="shared" si="499"/>
        <v>0</v>
      </c>
      <c r="P1152" s="1">
        <f t="shared" si="518"/>
        <v>0</v>
      </c>
      <c r="Q1152" s="3" t="str">
        <f t="shared" si="498"/>
        <v/>
      </c>
      <c r="T1152" s="13" t="str">
        <f t="shared" si="508"/>
        <v/>
      </c>
      <c r="U1152" s="14" t="str">
        <f t="shared" si="509"/>
        <v/>
      </c>
      <c r="V1152" s="13" t="str">
        <f t="shared" si="510"/>
        <v/>
      </c>
      <c r="W1152" s="13" t="str">
        <f t="shared" si="511"/>
        <v/>
      </c>
      <c r="X1152" s="14" t="str">
        <f t="shared" si="512"/>
        <v/>
      </c>
    </row>
    <row r="1153" spans="2:24" x14ac:dyDescent="0.3">
      <c r="B1153" s="1">
        <f t="shared" si="500"/>
        <v>0</v>
      </c>
      <c r="C1153" s="1">
        <f t="shared" si="501"/>
        <v>0</v>
      </c>
      <c r="D1153" s="10">
        <f t="shared" si="502"/>
        <v>0</v>
      </c>
      <c r="E1153" s="1">
        <f t="shared" si="503"/>
        <v>0</v>
      </c>
      <c r="F1153" s="1">
        <f t="shared" si="504"/>
        <v>0</v>
      </c>
      <c r="G1153" s="1">
        <f t="shared" si="505"/>
        <v>0</v>
      </c>
      <c r="H1153" s="1">
        <f t="shared" si="513"/>
        <v>0</v>
      </c>
      <c r="I1153" s="10">
        <f t="shared" si="506"/>
        <v>0</v>
      </c>
      <c r="J1153" s="1">
        <f t="shared" si="514"/>
        <v>0</v>
      </c>
      <c r="K1153" s="1">
        <f t="shared" si="515"/>
        <v>0</v>
      </c>
      <c r="L1153" s="1" t="str">
        <f t="shared" si="516"/>
        <v>0</v>
      </c>
      <c r="M1153" s="10">
        <f t="shared" si="517"/>
        <v>0</v>
      </c>
      <c r="N1153" s="1">
        <f t="shared" si="507"/>
        <v>0</v>
      </c>
      <c r="O1153" s="1">
        <f t="shared" si="499"/>
        <v>0</v>
      </c>
      <c r="P1153" s="1">
        <f t="shared" si="518"/>
        <v>0</v>
      </c>
      <c r="Q1153" s="3" t="str">
        <f t="shared" si="498"/>
        <v/>
      </c>
      <c r="T1153" s="13" t="str">
        <f t="shared" si="508"/>
        <v/>
      </c>
      <c r="U1153" s="14" t="str">
        <f t="shared" si="509"/>
        <v/>
      </c>
      <c r="V1153" s="13" t="str">
        <f t="shared" si="510"/>
        <v/>
      </c>
      <c r="W1153" s="13" t="str">
        <f t="shared" si="511"/>
        <v/>
      </c>
      <c r="X1153" s="14" t="str">
        <f t="shared" si="512"/>
        <v/>
      </c>
    </row>
    <row r="1154" spans="2:24" x14ac:dyDescent="0.3">
      <c r="B1154" s="1">
        <f t="shared" si="500"/>
        <v>0</v>
      </c>
      <c r="C1154" s="1">
        <f t="shared" si="501"/>
        <v>0</v>
      </c>
      <c r="D1154" s="10">
        <f t="shared" si="502"/>
        <v>0</v>
      </c>
      <c r="E1154" s="1">
        <f t="shared" si="503"/>
        <v>0</v>
      </c>
      <c r="F1154" s="1">
        <f t="shared" si="504"/>
        <v>0</v>
      </c>
      <c r="G1154" s="1">
        <f t="shared" si="505"/>
        <v>0</v>
      </c>
      <c r="H1154" s="1">
        <f t="shared" si="513"/>
        <v>0</v>
      </c>
      <c r="I1154" s="10">
        <f t="shared" si="506"/>
        <v>0</v>
      </c>
      <c r="J1154" s="1">
        <f t="shared" si="514"/>
        <v>0</v>
      </c>
      <c r="K1154" s="1">
        <f t="shared" si="515"/>
        <v>0</v>
      </c>
      <c r="L1154" s="1" t="str">
        <f t="shared" si="516"/>
        <v>0</v>
      </c>
      <c r="M1154" s="10">
        <f t="shared" si="517"/>
        <v>0</v>
      </c>
      <c r="N1154" s="1">
        <f t="shared" si="507"/>
        <v>0</v>
      </c>
      <c r="O1154" s="1">
        <f t="shared" si="499"/>
        <v>0</v>
      </c>
      <c r="P1154" s="1">
        <f t="shared" si="518"/>
        <v>0</v>
      </c>
      <c r="Q1154" s="3" t="str">
        <f t="shared" si="498"/>
        <v/>
      </c>
      <c r="T1154" s="13" t="str">
        <f t="shared" si="508"/>
        <v/>
      </c>
      <c r="U1154" s="14" t="str">
        <f t="shared" si="509"/>
        <v/>
      </c>
      <c r="V1154" s="13" t="str">
        <f t="shared" si="510"/>
        <v/>
      </c>
      <c r="W1154" s="13" t="str">
        <f t="shared" si="511"/>
        <v/>
      </c>
      <c r="X1154" s="14" t="str">
        <f t="shared" si="512"/>
        <v/>
      </c>
    </row>
    <row r="1155" spans="2:24" x14ac:dyDescent="0.3">
      <c r="B1155" s="1">
        <f t="shared" si="500"/>
        <v>0</v>
      </c>
      <c r="C1155" s="1">
        <f t="shared" si="501"/>
        <v>0</v>
      </c>
      <c r="D1155" s="10">
        <f t="shared" si="502"/>
        <v>0</v>
      </c>
      <c r="E1155" s="1">
        <f t="shared" si="503"/>
        <v>0</v>
      </c>
      <c r="F1155" s="1">
        <f t="shared" si="504"/>
        <v>0</v>
      </c>
      <c r="G1155" s="1">
        <f t="shared" si="505"/>
        <v>0</v>
      </c>
      <c r="H1155" s="1">
        <f t="shared" si="513"/>
        <v>0</v>
      </c>
      <c r="I1155" s="10">
        <f t="shared" si="506"/>
        <v>0</v>
      </c>
      <c r="J1155" s="1">
        <f t="shared" si="514"/>
        <v>0</v>
      </c>
      <c r="K1155" s="1">
        <f t="shared" si="515"/>
        <v>0</v>
      </c>
      <c r="L1155" s="1" t="str">
        <f t="shared" si="516"/>
        <v>0</v>
      </c>
      <c r="M1155" s="10">
        <f t="shared" si="517"/>
        <v>0</v>
      </c>
      <c r="N1155" s="1">
        <f t="shared" si="507"/>
        <v>0</v>
      </c>
      <c r="O1155" s="1">
        <f t="shared" si="499"/>
        <v>0</v>
      </c>
      <c r="P1155" s="1">
        <f t="shared" si="518"/>
        <v>0</v>
      </c>
      <c r="Q1155" s="3" t="str">
        <f t="shared" si="498"/>
        <v/>
      </c>
      <c r="T1155" s="13" t="str">
        <f t="shared" si="508"/>
        <v/>
      </c>
      <c r="U1155" s="14" t="str">
        <f t="shared" si="509"/>
        <v/>
      </c>
      <c r="V1155" s="13" t="str">
        <f t="shared" si="510"/>
        <v/>
      </c>
      <c r="W1155" s="13" t="str">
        <f t="shared" si="511"/>
        <v/>
      </c>
      <c r="X1155" s="14" t="str">
        <f t="shared" si="512"/>
        <v/>
      </c>
    </row>
    <row r="1156" spans="2:24" x14ac:dyDescent="0.3">
      <c r="B1156" s="1">
        <f t="shared" si="500"/>
        <v>0</v>
      </c>
      <c r="C1156" s="1">
        <f t="shared" si="501"/>
        <v>0</v>
      </c>
      <c r="D1156" s="10">
        <f t="shared" si="502"/>
        <v>0</v>
      </c>
      <c r="E1156" s="1">
        <f t="shared" si="503"/>
        <v>0</v>
      </c>
      <c r="F1156" s="1">
        <f t="shared" si="504"/>
        <v>0</v>
      </c>
      <c r="G1156" s="1">
        <f t="shared" si="505"/>
        <v>0</v>
      </c>
      <c r="H1156" s="1">
        <f t="shared" si="513"/>
        <v>0</v>
      </c>
      <c r="I1156" s="10">
        <f t="shared" si="506"/>
        <v>0</v>
      </c>
      <c r="J1156" s="1">
        <f t="shared" si="514"/>
        <v>0</v>
      </c>
      <c r="K1156" s="1">
        <f t="shared" si="515"/>
        <v>0</v>
      </c>
      <c r="L1156" s="1" t="str">
        <f t="shared" si="516"/>
        <v>0</v>
      </c>
      <c r="M1156" s="10">
        <f t="shared" si="517"/>
        <v>0</v>
      </c>
      <c r="N1156" s="1">
        <f t="shared" si="507"/>
        <v>0</v>
      </c>
      <c r="O1156" s="1">
        <f t="shared" si="499"/>
        <v>0</v>
      </c>
      <c r="P1156" s="1">
        <f t="shared" si="518"/>
        <v>0</v>
      </c>
      <c r="Q1156" s="3" t="str">
        <f t="shared" ref="Q1156:Q1219" si="519">IF($N1156&gt;0,MID($A1156,($N1156+$O1156),$P1156-($N1156+$O1156)),"")</f>
        <v/>
      </c>
      <c r="T1156" s="13" t="str">
        <f t="shared" si="508"/>
        <v/>
      </c>
      <c r="U1156" s="14" t="str">
        <f t="shared" si="509"/>
        <v/>
      </c>
      <c r="V1156" s="13" t="str">
        <f t="shared" si="510"/>
        <v/>
      </c>
      <c r="W1156" s="13" t="str">
        <f t="shared" si="511"/>
        <v/>
      </c>
      <c r="X1156" s="14" t="str">
        <f t="shared" si="512"/>
        <v/>
      </c>
    </row>
    <row r="1157" spans="2:24" x14ac:dyDescent="0.3">
      <c r="B1157" s="1">
        <f t="shared" si="500"/>
        <v>0</v>
      </c>
      <c r="C1157" s="1">
        <f t="shared" si="501"/>
        <v>0</v>
      </c>
      <c r="D1157" s="10">
        <f t="shared" si="502"/>
        <v>0</v>
      </c>
      <c r="E1157" s="1">
        <f t="shared" si="503"/>
        <v>0</v>
      </c>
      <c r="F1157" s="1">
        <f t="shared" si="504"/>
        <v>0</v>
      </c>
      <c r="G1157" s="1">
        <f t="shared" si="505"/>
        <v>0</v>
      </c>
      <c r="H1157" s="1">
        <f t="shared" si="513"/>
        <v>0</v>
      </c>
      <c r="I1157" s="10">
        <f t="shared" si="506"/>
        <v>0</v>
      </c>
      <c r="J1157" s="1">
        <f t="shared" si="514"/>
        <v>0</v>
      </c>
      <c r="K1157" s="1">
        <f t="shared" si="515"/>
        <v>0</v>
      </c>
      <c r="L1157" s="1" t="str">
        <f t="shared" si="516"/>
        <v>0</v>
      </c>
      <c r="M1157" s="10">
        <f t="shared" si="517"/>
        <v>0</v>
      </c>
      <c r="N1157" s="1">
        <f t="shared" si="507"/>
        <v>0</v>
      </c>
      <c r="O1157" s="1">
        <f t="shared" ref="O1157:O1220" si="520">IFERROR(FIND("#",$A1157)+1-N1157,0)</f>
        <v>0</v>
      </c>
      <c r="P1157" s="1">
        <f t="shared" si="518"/>
        <v>0</v>
      </c>
      <c r="Q1157" s="3" t="str">
        <f t="shared" si="519"/>
        <v/>
      </c>
      <c r="T1157" s="13" t="str">
        <f t="shared" si="508"/>
        <v/>
      </c>
      <c r="U1157" s="14" t="str">
        <f t="shared" si="509"/>
        <v/>
      </c>
      <c r="V1157" s="13" t="str">
        <f t="shared" si="510"/>
        <v/>
      </c>
      <c r="W1157" s="13" t="str">
        <f t="shared" si="511"/>
        <v/>
      </c>
      <c r="X1157" s="14" t="str">
        <f t="shared" si="512"/>
        <v/>
      </c>
    </row>
    <row r="1158" spans="2:24" x14ac:dyDescent="0.3">
      <c r="B1158" s="1">
        <f t="shared" si="500"/>
        <v>0</v>
      </c>
      <c r="C1158" s="1">
        <f t="shared" si="501"/>
        <v>0</v>
      </c>
      <c r="D1158" s="10">
        <f t="shared" si="502"/>
        <v>0</v>
      </c>
      <c r="E1158" s="1">
        <f t="shared" si="503"/>
        <v>0</v>
      </c>
      <c r="F1158" s="1">
        <f t="shared" si="504"/>
        <v>0</v>
      </c>
      <c r="G1158" s="1">
        <f t="shared" si="505"/>
        <v>0</v>
      </c>
      <c r="H1158" s="1">
        <f t="shared" si="513"/>
        <v>0</v>
      </c>
      <c r="I1158" s="10">
        <f t="shared" si="506"/>
        <v>0</v>
      </c>
      <c r="J1158" s="1">
        <f t="shared" si="514"/>
        <v>0</v>
      </c>
      <c r="K1158" s="1">
        <f t="shared" si="515"/>
        <v>0</v>
      </c>
      <c r="L1158" s="1" t="str">
        <f t="shared" si="516"/>
        <v>0</v>
      </c>
      <c r="M1158" s="10">
        <f t="shared" si="517"/>
        <v>0</v>
      </c>
      <c r="N1158" s="1">
        <f t="shared" si="507"/>
        <v>0</v>
      </c>
      <c r="O1158" s="1">
        <f t="shared" si="520"/>
        <v>0</v>
      </c>
      <c r="P1158" s="1">
        <f t="shared" si="518"/>
        <v>0</v>
      </c>
      <c r="Q1158" s="3" t="str">
        <f t="shared" si="519"/>
        <v/>
      </c>
      <c r="T1158" s="13" t="str">
        <f t="shared" si="508"/>
        <v/>
      </c>
      <c r="U1158" s="14" t="str">
        <f t="shared" si="509"/>
        <v/>
      </c>
      <c r="V1158" s="13" t="str">
        <f t="shared" si="510"/>
        <v/>
      </c>
      <c r="W1158" s="13" t="str">
        <f t="shared" si="511"/>
        <v/>
      </c>
      <c r="X1158" s="14" t="str">
        <f t="shared" si="512"/>
        <v/>
      </c>
    </row>
    <row r="1159" spans="2:24" x14ac:dyDescent="0.3">
      <c r="B1159" s="1">
        <f t="shared" ref="B1159:B1222" si="521">IFERROR(FIND("UP_SET(",$A1159)+7,0)</f>
        <v>0</v>
      </c>
      <c r="C1159" s="1">
        <f t="shared" ref="C1159:C1222" si="522">IF($B1159&gt;0,FIND(",",$A1159,$B1159),0)</f>
        <v>0</v>
      </c>
      <c r="D1159" s="10">
        <f t="shared" ref="D1159:D1222" si="523">IF($B1159&gt;0,MID($A1159,$B1159,$C1159-$B1159),0)</f>
        <v>0</v>
      </c>
      <c r="E1159" s="1">
        <f t="shared" ref="E1159:E1222" si="524">IF($B1159&gt;0,FIND("Up",$A1159,$C1159),0)</f>
        <v>0</v>
      </c>
      <c r="F1159" s="1">
        <f t="shared" ref="F1159:F1222" si="525">IF($B1159&gt;0,IFERROR(FIND(",",$A1159,$E1159),0),0)</f>
        <v>0</v>
      </c>
      <c r="G1159" s="1">
        <f t="shared" ref="G1159:G1222" si="526">IF($B1159&gt;0,FIND(")",$A1159,$B1159),0)</f>
        <v>0</v>
      </c>
      <c r="H1159" s="1">
        <f t="shared" si="513"/>
        <v>0</v>
      </c>
      <c r="I1159" s="10">
        <f t="shared" ref="I1159:I1222" si="527">IF($B1159&gt;0,MID($A1159,$E1159,$H1159-$E1159),0)</f>
        <v>0</v>
      </c>
      <c r="J1159" s="1">
        <f t="shared" si="514"/>
        <v>0</v>
      </c>
      <c r="K1159" s="1">
        <f t="shared" si="515"/>
        <v>0</v>
      </c>
      <c r="L1159" s="1" t="str">
        <f t="shared" si="516"/>
        <v>0</v>
      </c>
      <c r="M1159" s="10">
        <f t="shared" si="517"/>
        <v>0</v>
      </c>
      <c r="N1159" s="1">
        <f t="shared" ref="N1159:N1222" si="528">IFERROR(FIND("/*",$A1159)+2,0)</f>
        <v>0</v>
      </c>
      <c r="O1159" s="1">
        <f t="shared" si="520"/>
        <v>0</v>
      </c>
      <c r="P1159" s="1">
        <f t="shared" si="518"/>
        <v>0</v>
      </c>
      <c r="Q1159" s="3" t="str">
        <f t="shared" si="519"/>
        <v/>
      </c>
      <c r="T1159" s="13" t="str">
        <f t="shared" si="508"/>
        <v/>
      </c>
      <c r="U1159" s="14" t="str">
        <f t="shared" si="509"/>
        <v/>
      </c>
      <c r="V1159" s="13" t="str">
        <f t="shared" si="510"/>
        <v/>
      </c>
      <c r="W1159" s="13" t="str">
        <f t="shared" si="511"/>
        <v/>
      </c>
      <c r="X1159" s="14" t="str">
        <f t="shared" si="512"/>
        <v/>
      </c>
    </row>
    <row r="1160" spans="2:24" x14ac:dyDescent="0.3">
      <c r="B1160" s="1">
        <f t="shared" si="521"/>
        <v>0</v>
      </c>
      <c r="C1160" s="1">
        <f t="shared" si="522"/>
        <v>0</v>
      </c>
      <c r="D1160" s="10">
        <f t="shared" si="523"/>
        <v>0</v>
      </c>
      <c r="E1160" s="1">
        <f t="shared" si="524"/>
        <v>0</v>
      </c>
      <c r="F1160" s="1">
        <f t="shared" si="525"/>
        <v>0</v>
      </c>
      <c r="G1160" s="1">
        <f t="shared" si="526"/>
        <v>0</v>
      </c>
      <c r="H1160" s="1">
        <f t="shared" si="513"/>
        <v>0</v>
      </c>
      <c r="I1160" s="10">
        <f t="shared" si="527"/>
        <v>0</v>
      </c>
      <c r="J1160" s="1">
        <f t="shared" si="514"/>
        <v>0</v>
      </c>
      <c r="K1160" s="1">
        <f t="shared" si="515"/>
        <v>0</v>
      </c>
      <c r="L1160" s="1" t="str">
        <f t="shared" si="516"/>
        <v>0</v>
      </c>
      <c r="M1160" s="10">
        <f t="shared" si="517"/>
        <v>0</v>
      </c>
      <c r="N1160" s="1">
        <f t="shared" si="528"/>
        <v>0</v>
      </c>
      <c r="O1160" s="1">
        <f t="shared" si="520"/>
        <v>0</v>
      </c>
      <c r="P1160" s="1">
        <f t="shared" si="518"/>
        <v>0</v>
      </c>
      <c r="Q1160" s="3" t="str">
        <f t="shared" si="519"/>
        <v/>
      </c>
      <c r="T1160" s="13" t="str">
        <f t="shared" si="508"/>
        <v/>
      </c>
      <c r="U1160" s="14" t="str">
        <f t="shared" si="509"/>
        <v/>
      </c>
      <c r="V1160" s="13" t="str">
        <f t="shared" si="510"/>
        <v/>
      </c>
      <c r="W1160" s="13" t="str">
        <f t="shared" si="511"/>
        <v/>
      </c>
      <c r="X1160" s="14" t="str">
        <f t="shared" si="512"/>
        <v/>
      </c>
    </row>
    <row r="1161" spans="2:24" x14ac:dyDescent="0.3">
      <c r="B1161" s="1">
        <f t="shared" si="521"/>
        <v>0</v>
      </c>
      <c r="C1161" s="1">
        <f t="shared" si="522"/>
        <v>0</v>
      </c>
      <c r="D1161" s="10">
        <f t="shared" si="523"/>
        <v>0</v>
      </c>
      <c r="E1161" s="1">
        <f t="shared" si="524"/>
        <v>0</v>
      </c>
      <c r="F1161" s="1">
        <f t="shared" si="525"/>
        <v>0</v>
      </c>
      <c r="G1161" s="1">
        <f t="shared" si="526"/>
        <v>0</v>
      </c>
      <c r="H1161" s="1">
        <f t="shared" si="513"/>
        <v>0</v>
      </c>
      <c r="I1161" s="10">
        <f t="shared" si="527"/>
        <v>0</v>
      </c>
      <c r="J1161" s="1">
        <f t="shared" si="514"/>
        <v>0</v>
      </c>
      <c r="K1161" s="1">
        <f t="shared" si="515"/>
        <v>0</v>
      </c>
      <c r="L1161" s="1" t="str">
        <f t="shared" si="516"/>
        <v>0</v>
      </c>
      <c r="M1161" s="10">
        <f t="shared" si="517"/>
        <v>0</v>
      </c>
      <c r="N1161" s="1">
        <f t="shared" si="528"/>
        <v>0</v>
      </c>
      <c r="O1161" s="1">
        <f t="shared" si="520"/>
        <v>0</v>
      </c>
      <c r="P1161" s="1">
        <f t="shared" si="518"/>
        <v>0</v>
      </c>
      <c r="Q1161" s="3" t="str">
        <f t="shared" si="519"/>
        <v/>
      </c>
      <c r="T1161" s="13" t="str">
        <f t="shared" si="508"/>
        <v/>
      </c>
      <c r="U1161" s="14" t="str">
        <f t="shared" si="509"/>
        <v/>
      </c>
      <c r="V1161" s="13" t="str">
        <f t="shared" si="510"/>
        <v/>
      </c>
      <c r="W1161" s="13" t="str">
        <f t="shared" si="511"/>
        <v/>
      </c>
      <c r="X1161" s="14" t="str">
        <f t="shared" si="512"/>
        <v/>
      </c>
    </row>
    <row r="1162" spans="2:24" x14ac:dyDescent="0.3">
      <c r="B1162" s="1">
        <f t="shared" si="521"/>
        <v>0</v>
      </c>
      <c r="C1162" s="1">
        <f t="shared" si="522"/>
        <v>0</v>
      </c>
      <c r="D1162" s="10">
        <f t="shared" si="523"/>
        <v>0</v>
      </c>
      <c r="E1162" s="1">
        <f t="shared" si="524"/>
        <v>0</v>
      </c>
      <c r="F1162" s="1">
        <f t="shared" si="525"/>
        <v>0</v>
      </c>
      <c r="G1162" s="1">
        <f t="shared" si="526"/>
        <v>0</v>
      </c>
      <c r="H1162" s="1">
        <f t="shared" si="513"/>
        <v>0</v>
      </c>
      <c r="I1162" s="10">
        <f t="shared" si="527"/>
        <v>0</v>
      </c>
      <c r="J1162" s="1">
        <f t="shared" si="514"/>
        <v>0</v>
      </c>
      <c r="K1162" s="1">
        <f t="shared" si="515"/>
        <v>0</v>
      </c>
      <c r="L1162" s="1" t="str">
        <f t="shared" si="516"/>
        <v>0</v>
      </c>
      <c r="M1162" s="10">
        <f t="shared" si="517"/>
        <v>0</v>
      </c>
      <c r="N1162" s="1">
        <f t="shared" si="528"/>
        <v>0</v>
      </c>
      <c r="O1162" s="1">
        <f t="shared" si="520"/>
        <v>0</v>
      </c>
      <c r="P1162" s="1">
        <f t="shared" si="518"/>
        <v>0</v>
      </c>
      <c r="Q1162" s="3" t="str">
        <f t="shared" si="519"/>
        <v/>
      </c>
      <c r="T1162" s="13" t="str">
        <f t="shared" si="508"/>
        <v/>
      </c>
      <c r="U1162" s="14" t="str">
        <f t="shared" si="509"/>
        <v/>
      </c>
      <c r="V1162" s="13" t="str">
        <f t="shared" si="510"/>
        <v/>
      </c>
      <c r="W1162" s="13" t="str">
        <f t="shared" si="511"/>
        <v/>
      </c>
      <c r="X1162" s="14" t="str">
        <f t="shared" si="512"/>
        <v/>
      </c>
    </row>
    <row r="1163" spans="2:24" x14ac:dyDescent="0.3">
      <c r="B1163" s="1">
        <f t="shared" si="521"/>
        <v>0</v>
      </c>
      <c r="C1163" s="1">
        <f t="shared" si="522"/>
        <v>0</v>
      </c>
      <c r="D1163" s="10">
        <f t="shared" si="523"/>
        <v>0</v>
      </c>
      <c r="E1163" s="1">
        <f t="shared" si="524"/>
        <v>0</v>
      </c>
      <c r="F1163" s="1">
        <f t="shared" si="525"/>
        <v>0</v>
      </c>
      <c r="G1163" s="1">
        <f t="shared" si="526"/>
        <v>0</v>
      </c>
      <c r="H1163" s="1">
        <f t="shared" si="513"/>
        <v>0</v>
      </c>
      <c r="I1163" s="10">
        <f t="shared" si="527"/>
        <v>0</v>
      </c>
      <c r="J1163" s="1">
        <f t="shared" si="514"/>
        <v>0</v>
      </c>
      <c r="K1163" s="1">
        <f t="shared" si="515"/>
        <v>0</v>
      </c>
      <c r="L1163" s="1" t="str">
        <f t="shared" si="516"/>
        <v>0</v>
      </c>
      <c r="M1163" s="10">
        <f t="shared" si="517"/>
        <v>0</v>
      </c>
      <c r="N1163" s="1">
        <f t="shared" si="528"/>
        <v>0</v>
      </c>
      <c r="O1163" s="1">
        <f t="shared" si="520"/>
        <v>0</v>
      </c>
      <c r="P1163" s="1">
        <f t="shared" si="518"/>
        <v>0</v>
      </c>
      <c r="Q1163" s="3" t="str">
        <f t="shared" si="519"/>
        <v/>
      </c>
      <c r="T1163" s="13" t="str">
        <f t="shared" si="508"/>
        <v/>
      </c>
      <c r="U1163" s="14" t="str">
        <f t="shared" si="509"/>
        <v/>
      </c>
      <c r="V1163" s="13" t="str">
        <f t="shared" si="510"/>
        <v/>
      </c>
      <c r="W1163" s="13" t="str">
        <f t="shared" si="511"/>
        <v/>
      </c>
      <c r="X1163" s="14" t="str">
        <f t="shared" si="512"/>
        <v/>
      </c>
    </row>
    <row r="1164" spans="2:24" x14ac:dyDescent="0.3">
      <c r="B1164" s="1">
        <f t="shared" si="521"/>
        <v>0</v>
      </c>
      <c r="C1164" s="1">
        <f t="shared" si="522"/>
        <v>0</v>
      </c>
      <c r="D1164" s="10">
        <f t="shared" si="523"/>
        <v>0</v>
      </c>
      <c r="E1164" s="1">
        <f t="shared" si="524"/>
        <v>0</v>
      </c>
      <c r="F1164" s="1">
        <f t="shared" si="525"/>
        <v>0</v>
      </c>
      <c r="G1164" s="1">
        <f t="shared" si="526"/>
        <v>0</v>
      </c>
      <c r="H1164" s="1">
        <f t="shared" si="513"/>
        <v>0</v>
      </c>
      <c r="I1164" s="10">
        <f t="shared" si="527"/>
        <v>0</v>
      </c>
      <c r="J1164" s="1">
        <f t="shared" si="514"/>
        <v>0</v>
      </c>
      <c r="K1164" s="1">
        <f t="shared" si="515"/>
        <v>0</v>
      </c>
      <c r="L1164" s="1" t="str">
        <f t="shared" si="516"/>
        <v>0</v>
      </c>
      <c r="M1164" s="10">
        <f t="shared" si="517"/>
        <v>0</v>
      </c>
      <c r="N1164" s="1">
        <f t="shared" si="528"/>
        <v>0</v>
      </c>
      <c r="O1164" s="1">
        <f t="shared" si="520"/>
        <v>0</v>
      </c>
      <c r="P1164" s="1">
        <f t="shared" si="518"/>
        <v>0</v>
      </c>
      <c r="Q1164" s="3" t="str">
        <f t="shared" si="519"/>
        <v/>
      </c>
      <c r="T1164" s="13" t="str">
        <f t="shared" si="508"/>
        <v/>
      </c>
      <c r="U1164" s="14" t="str">
        <f t="shared" si="509"/>
        <v/>
      </c>
      <c r="V1164" s="13" t="str">
        <f t="shared" si="510"/>
        <v/>
      </c>
      <c r="W1164" s="13" t="str">
        <f t="shared" si="511"/>
        <v/>
      </c>
      <c r="X1164" s="14" t="str">
        <f t="shared" si="512"/>
        <v/>
      </c>
    </row>
    <row r="1165" spans="2:24" x14ac:dyDescent="0.3">
      <c r="B1165" s="1">
        <f t="shared" si="521"/>
        <v>0</v>
      </c>
      <c r="C1165" s="1">
        <f t="shared" si="522"/>
        <v>0</v>
      </c>
      <c r="D1165" s="10">
        <f t="shared" si="523"/>
        <v>0</v>
      </c>
      <c r="E1165" s="1">
        <f t="shared" si="524"/>
        <v>0</v>
      </c>
      <c r="F1165" s="1">
        <f t="shared" si="525"/>
        <v>0</v>
      </c>
      <c r="G1165" s="1">
        <f t="shared" si="526"/>
        <v>0</v>
      </c>
      <c r="H1165" s="1">
        <f t="shared" si="513"/>
        <v>0</v>
      </c>
      <c r="I1165" s="10">
        <f t="shared" si="527"/>
        <v>0</v>
      </c>
      <c r="J1165" s="1">
        <f t="shared" si="514"/>
        <v>0</v>
      </c>
      <c r="K1165" s="1">
        <f t="shared" si="515"/>
        <v>0</v>
      </c>
      <c r="L1165" s="1" t="str">
        <f t="shared" si="516"/>
        <v>0</v>
      </c>
      <c r="M1165" s="10">
        <f t="shared" si="517"/>
        <v>0</v>
      </c>
      <c r="N1165" s="1">
        <f t="shared" si="528"/>
        <v>0</v>
      </c>
      <c r="O1165" s="1">
        <f t="shared" si="520"/>
        <v>0</v>
      </c>
      <c r="P1165" s="1">
        <f t="shared" si="518"/>
        <v>0</v>
      </c>
      <c r="Q1165" s="3" t="str">
        <f t="shared" si="519"/>
        <v/>
      </c>
      <c r="T1165" s="13" t="str">
        <f t="shared" si="508"/>
        <v/>
      </c>
      <c r="U1165" s="14" t="str">
        <f t="shared" si="509"/>
        <v/>
      </c>
      <c r="V1165" s="13" t="str">
        <f t="shared" si="510"/>
        <v/>
      </c>
      <c r="W1165" s="13" t="str">
        <f t="shared" si="511"/>
        <v/>
      </c>
      <c r="X1165" s="14" t="str">
        <f t="shared" si="512"/>
        <v/>
      </c>
    </row>
    <row r="1166" spans="2:24" x14ac:dyDescent="0.3">
      <c r="B1166" s="1">
        <f t="shared" si="521"/>
        <v>0</v>
      </c>
      <c r="C1166" s="1">
        <f t="shared" si="522"/>
        <v>0</v>
      </c>
      <c r="D1166" s="10">
        <f t="shared" si="523"/>
        <v>0</v>
      </c>
      <c r="E1166" s="1">
        <f t="shared" si="524"/>
        <v>0</v>
      </c>
      <c r="F1166" s="1">
        <f t="shared" si="525"/>
        <v>0</v>
      </c>
      <c r="G1166" s="1">
        <f t="shared" si="526"/>
        <v>0</v>
      </c>
      <c r="H1166" s="1">
        <f t="shared" si="513"/>
        <v>0</v>
      </c>
      <c r="I1166" s="10">
        <f t="shared" si="527"/>
        <v>0</v>
      </c>
      <c r="J1166" s="1">
        <f t="shared" si="514"/>
        <v>0</v>
      </c>
      <c r="K1166" s="1">
        <f t="shared" si="515"/>
        <v>0</v>
      </c>
      <c r="L1166" s="1" t="str">
        <f t="shared" si="516"/>
        <v>0</v>
      </c>
      <c r="M1166" s="10">
        <f t="shared" si="517"/>
        <v>0</v>
      </c>
      <c r="N1166" s="1">
        <f t="shared" si="528"/>
        <v>0</v>
      </c>
      <c r="O1166" s="1">
        <f t="shared" si="520"/>
        <v>0</v>
      </c>
      <c r="P1166" s="1">
        <f t="shared" si="518"/>
        <v>0</v>
      </c>
      <c r="Q1166" s="3" t="str">
        <f t="shared" si="519"/>
        <v/>
      </c>
      <c r="T1166" s="13" t="str">
        <f t="shared" si="508"/>
        <v/>
      </c>
      <c r="U1166" s="14" t="str">
        <f t="shared" si="509"/>
        <v/>
      </c>
      <c r="V1166" s="13" t="str">
        <f t="shared" si="510"/>
        <v/>
      </c>
      <c r="W1166" s="13" t="str">
        <f t="shared" si="511"/>
        <v/>
      </c>
      <c r="X1166" s="14" t="str">
        <f t="shared" si="512"/>
        <v/>
      </c>
    </row>
    <row r="1167" spans="2:24" x14ac:dyDescent="0.3">
      <c r="B1167" s="1">
        <f t="shared" si="521"/>
        <v>0</v>
      </c>
      <c r="C1167" s="1">
        <f t="shared" si="522"/>
        <v>0</v>
      </c>
      <c r="D1167" s="10">
        <f t="shared" si="523"/>
        <v>0</v>
      </c>
      <c r="E1167" s="1">
        <f t="shared" si="524"/>
        <v>0</v>
      </c>
      <c r="F1167" s="1">
        <f t="shared" si="525"/>
        <v>0</v>
      </c>
      <c r="G1167" s="1">
        <f t="shared" si="526"/>
        <v>0</v>
      </c>
      <c r="H1167" s="1">
        <f t="shared" si="513"/>
        <v>0</v>
      </c>
      <c r="I1167" s="10">
        <f t="shared" si="527"/>
        <v>0</v>
      </c>
      <c r="J1167" s="1">
        <f t="shared" si="514"/>
        <v>0</v>
      </c>
      <c r="K1167" s="1">
        <f t="shared" si="515"/>
        <v>0</v>
      </c>
      <c r="L1167" s="1" t="str">
        <f t="shared" si="516"/>
        <v>0</v>
      </c>
      <c r="M1167" s="10">
        <f t="shared" si="517"/>
        <v>0</v>
      </c>
      <c r="N1167" s="1">
        <f t="shared" si="528"/>
        <v>0</v>
      </c>
      <c r="O1167" s="1">
        <f t="shared" si="520"/>
        <v>0</v>
      </c>
      <c r="P1167" s="1">
        <f t="shared" si="518"/>
        <v>0</v>
      </c>
      <c r="Q1167" s="3" t="str">
        <f t="shared" si="519"/>
        <v/>
      </c>
      <c r="T1167" s="13" t="str">
        <f t="shared" si="508"/>
        <v/>
      </c>
      <c r="U1167" s="14" t="str">
        <f t="shared" si="509"/>
        <v/>
      </c>
      <c r="V1167" s="13" t="str">
        <f t="shared" si="510"/>
        <v/>
      </c>
      <c r="W1167" s="13" t="str">
        <f t="shared" si="511"/>
        <v/>
      </c>
      <c r="X1167" s="14" t="str">
        <f t="shared" si="512"/>
        <v/>
      </c>
    </row>
    <row r="1168" spans="2:24" x14ac:dyDescent="0.3">
      <c r="B1168" s="1">
        <f t="shared" si="521"/>
        <v>0</v>
      </c>
      <c r="C1168" s="1">
        <f t="shared" si="522"/>
        <v>0</v>
      </c>
      <c r="D1168" s="10">
        <f t="shared" si="523"/>
        <v>0</v>
      </c>
      <c r="E1168" s="1">
        <f t="shared" si="524"/>
        <v>0</v>
      </c>
      <c r="F1168" s="1">
        <f t="shared" si="525"/>
        <v>0</v>
      </c>
      <c r="G1168" s="1">
        <f t="shared" si="526"/>
        <v>0</v>
      </c>
      <c r="H1168" s="1">
        <f t="shared" si="513"/>
        <v>0</v>
      </c>
      <c r="I1168" s="10">
        <f t="shared" si="527"/>
        <v>0</v>
      </c>
      <c r="J1168" s="1">
        <f t="shared" si="514"/>
        <v>0</v>
      </c>
      <c r="K1168" s="1">
        <f t="shared" si="515"/>
        <v>0</v>
      </c>
      <c r="L1168" s="1" t="str">
        <f t="shared" si="516"/>
        <v>0</v>
      </c>
      <c r="M1168" s="10">
        <f t="shared" si="517"/>
        <v>0</v>
      </c>
      <c r="N1168" s="1">
        <f t="shared" si="528"/>
        <v>0</v>
      </c>
      <c r="O1168" s="1">
        <f t="shared" si="520"/>
        <v>0</v>
      </c>
      <c r="P1168" s="1">
        <f t="shared" si="518"/>
        <v>0</v>
      </c>
      <c r="Q1168" s="3" t="str">
        <f t="shared" si="519"/>
        <v/>
      </c>
      <c r="T1168" s="13" t="str">
        <f t="shared" si="508"/>
        <v/>
      </c>
      <c r="U1168" s="14" t="str">
        <f t="shared" si="509"/>
        <v/>
      </c>
      <c r="V1168" s="13" t="str">
        <f t="shared" si="510"/>
        <v/>
      </c>
      <c r="W1168" s="13" t="str">
        <f t="shared" si="511"/>
        <v/>
      </c>
      <c r="X1168" s="14" t="str">
        <f t="shared" si="512"/>
        <v/>
      </c>
    </row>
    <row r="1169" spans="2:24" x14ac:dyDescent="0.3">
      <c r="B1169" s="1">
        <f t="shared" si="521"/>
        <v>0</v>
      </c>
      <c r="C1169" s="1">
        <f t="shared" si="522"/>
        <v>0</v>
      </c>
      <c r="D1169" s="10">
        <f t="shared" si="523"/>
        <v>0</v>
      </c>
      <c r="E1169" s="1">
        <f t="shared" si="524"/>
        <v>0</v>
      </c>
      <c r="F1169" s="1">
        <f t="shared" si="525"/>
        <v>0</v>
      </c>
      <c r="G1169" s="1">
        <f t="shared" si="526"/>
        <v>0</v>
      </c>
      <c r="H1169" s="1">
        <f t="shared" si="513"/>
        <v>0</v>
      </c>
      <c r="I1169" s="10">
        <f t="shared" si="527"/>
        <v>0</v>
      </c>
      <c r="J1169" s="1">
        <f t="shared" si="514"/>
        <v>0</v>
      </c>
      <c r="K1169" s="1">
        <f t="shared" si="515"/>
        <v>0</v>
      </c>
      <c r="L1169" s="1" t="str">
        <f t="shared" si="516"/>
        <v>0</v>
      </c>
      <c r="M1169" s="10">
        <f t="shared" si="517"/>
        <v>0</v>
      </c>
      <c r="N1169" s="1">
        <f t="shared" si="528"/>
        <v>0</v>
      </c>
      <c r="O1169" s="1">
        <f t="shared" si="520"/>
        <v>0</v>
      </c>
      <c r="P1169" s="1">
        <f t="shared" si="518"/>
        <v>0</v>
      </c>
      <c r="Q1169" s="3" t="str">
        <f t="shared" si="519"/>
        <v/>
      </c>
      <c r="T1169" s="13" t="str">
        <f t="shared" si="508"/>
        <v/>
      </c>
      <c r="U1169" s="14" t="str">
        <f t="shared" si="509"/>
        <v/>
      </c>
      <c r="V1169" s="13" t="str">
        <f t="shared" si="510"/>
        <v/>
      </c>
      <c r="W1169" s="13" t="str">
        <f t="shared" si="511"/>
        <v/>
      </c>
      <c r="X1169" s="14" t="str">
        <f t="shared" si="512"/>
        <v/>
      </c>
    </row>
    <row r="1170" spans="2:24" x14ac:dyDescent="0.3">
      <c r="B1170" s="1">
        <f t="shared" si="521"/>
        <v>0</v>
      </c>
      <c r="C1170" s="1">
        <f t="shared" si="522"/>
        <v>0</v>
      </c>
      <c r="D1170" s="10">
        <f t="shared" si="523"/>
        <v>0</v>
      </c>
      <c r="E1170" s="1">
        <f t="shared" si="524"/>
        <v>0</v>
      </c>
      <c r="F1170" s="1">
        <f t="shared" si="525"/>
        <v>0</v>
      </c>
      <c r="G1170" s="1">
        <f t="shared" si="526"/>
        <v>0</v>
      </c>
      <c r="H1170" s="1">
        <f t="shared" si="513"/>
        <v>0</v>
      </c>
      <c r="I1170" s="10">
        <f t="shared" si="527"/>
        <v>0</v>
      </c>
      <c r="J1170" s="1">
        <f t="shared" si="514"/>
        <v>0</v>
      </c>
      <c r="K1170" s="1">
        <f t="shared" si="515"/>
        <v>0</v>
      </c>
      <c r="L1170" s="1" t="str">
        <f t="shared" si="516"/>
        <v>0</v>
      </c>
      <c r="M1170" s="10">
        <f t="shared" si="517"/>
        <v>0</v>
      </c>
      <c r="N1170" s="1">
        <f t="shared" si="528"/>
        <v>0</v>
      </c>
      <c r="O1170" s="1">
        <f t="shared" si="520"/>
        <v>0</v>
      </c>
      <c r="P1170" s="1">
        <f t="shared" si="518"/>
        <v>0</v>
      </c>
      <c r="Q1170" s="3" t="str">
        <f t="shared" si="519"/>
        <v/>
      </c>
      <c r="T1170" s="13" t="str">
        <f t="shared" si="508"/>
        <v/>
      </c>
      <c r="U1170" s="14" t="str">
        <f t="shared" si="509"/>
        <v/>
      </c>
      <c r="V1170" s="13" t="str">
        <f t="shared" si="510"/>
        <v/>
      </c>
      <c r="W1170" s="13" t="str">
        <f t="shared" si="511"/>
        <v/>
      </c>
      <c r="X1170" s="14" t="str">
        <f t="shared" si="512"/>
        <v/>
      </c>
    </row>
    <row r="1171" spans="2:24" x14ac:dyDescent="0.3">
      <c r="B1171" s="1">
        <f t="shared" si="521"/>
        <v>0</v>
      </c>
      <c r="C1171" s="1">
        <f t="shared" si="522"/>
        <v>0</v>
      </c>
      <c r="D1171" s="10">
        <f t="shared" si="523"/>
        <v>0</v>
      </c>
      <c r="E1171" s="1">
        <f t="shared" si="524"/>
        <v>0</v>
      </c>
      <c r="F1171" s="1">
        <f t="shared" si="525"/>
        <v>0</v>
      </c>
      <c r="G1171" s="1">
        <f t="shared" si="526"/>
        <v>0</v>
      </c>
      <c r="H1171" s="1">
        <f t="shared" si="513"/>
        <v>0</v>
      </c>
      <c r="I1171" s="10">
        <f t="shared" si="527"/>
        <v>0</v>
      </c>
      <c r="J1171" s="1">
        <f t="shared" si="514"/>
        <v>0</v>
      </c>
      <c r="K1171" s="1">
        <f t="shared" si="515"/>
        <v>0</v>
      </c>
      <c r="L1171" s="1" t="str">
        <f t="shared" si="516"/>
        <v>0</v>
      </c>
      <c r="M1171" s="10">
        <f t="shared" si="517"/>
        <v>0</v>
      </c>
      <c r="N1171" s="1">
        <f t="shared" si="528"/>
        <v>0</v>
      </c>
      <c r="O1171" s="1">
        <f t="shared" si="520"/>
        <v>0</v>
      </c>
      <c r="P1171" s="1">
        <f t="shared" si="518"/>
        <v>0</v>
      </c>
      <c r="Q1171" s="3" t="str">
        <f t="shared" si="519"/>
        <v/>
      </c>
      <c r="T1171" s="13" t="str">
        <f t="shared" ref="T1171:T1234" si="529">IF(A1171="",IF(A1170="","",$T$1),IF(O1171=1,"#",IF(B1171=0,"*",DEC2HEX(R1171))))</f>
        <v/>
      </c>
      <c r="U1171" s="14" t="str">
        <f t="shared" ref="U1171:U1234" si="530">IF(A1171="",IF(A1170="","",$U$1),  IF(B1171=0,Q1171,I1171)  )</f>
        <v/>
      </c>
      <c r="V1171" s="13" t="str">
        <f t="shared" ref="V1171:V1234" si="531">IF(U1171=$U$1,"",IF(A1171="",IF(A1170="","",1),  IF(B1171=0,1,D1171)  ))</f>
        <v/>
      </c>
      <c r="W1171" s="13" t="str">
        <f t="shared" ref="W1171:W1234" si="532">IF(U1171=$U$1,"",IF(A1171="",IF(A1170="","",0),  IF(C1171=0,0,0)  ))</f>
        <v/>
      </c>
      <c r="X1171" s="14" t="str">
        <f t="shared" ref="X1171:X1234" si="533">IF(U1171=$U$1,"",IF(U1171="","",IF(B1171&gt;0,IF(Q1171&lt;&gt;"",Q1171,"No description"),"-")))</f>
        <v/>
      </c>
    </row>
    <row r="1172" spans="2:24" x14ac:dyDescent="0.3">
      <c r="B1172" s="1">
        <f t="shared" si="521"/>
        <v>0</v>
      </c>
      <c r="C1172" s="1">
        <f t="shared" si="522"/>
        <v>0</v>
      </c>
      <c r="D1172" s="10">
        <f t="shared" si="523"/>
        <v>0</v>
      </c>
      <c r="E1172" s="1">
        <f t="shared" si="524"/>
        <v>0</v>
      </c>
      <c r="F1172" s="1">
        <f t="shared" si="525"/>
        <v>0</v>
      </c>
      <c r="G1172" s="1">
        <f t="shared" si="526"/>
        <v>0</v>
      </c>
      <c r="H1172" s="1">
        <f t="shared" si="513"/>
        <v>0</v>
      </c>
      <c r="I1172" s="10">
        <f t="shared" si="527"/>
        <v>0</v>
      </c>
      <c r="J1172" s="1">
        <f t="shared" si="514"/>
        <v>0</v>
      </c>
      <c r="K1172" s="1">
        <f t="shared" si="515"/>
        <v>0</v>
      </c>
      <c r="L1172" s="1" t="str">
        <f t="shared" si="516"/>
        <v>0</v>
      </c>
      <c r="M1172" s="10">
        <f t="shared" si="517"/>
        <v>0</v>
      </c>
      <c r="N1172" s="1">
        <f t="shared" si="528"/>
        <v>0</v>
      </c>
      <c r="O1172" s="1">
        <f t="shared" si="520"/>
        <v>0</v>
      </c>
      <c r="P1172" s="1">
        <f t="shared" si="518"/>
        <v>0</v>
      </c>
      <c r="Q1172" s="3" t="str">
        <f t="shared" si="519"/>
        <v/>
      </c>
      <c r="T1172" s="13" t="str">
        <f t="shared" si="529"/>
        <v/>
      </c>
      <c r="U1172" s="14" t="str">
        <f t="shared" si="530"/>
        <v/>
      </c>
      <c r="V1172" s="13" t="str">
        <f t="shared" si="531"/>
        <v/>
      </c>
      <c r="W1172" s="13" t="str">
        <f t="shared" si="532"/>
        <v/>
      </c>
      <c r="X1172" s="14" t="str">
        <f t="shared" si="533"/>
        <v/>
      </c>
    </row>
    <row r="1173" spans="2:24" x14ac:dyDescent="0.3">
      <c r="B1173" s="1">
        <f t="shared" si="521"/>
        <v>0</v>
      </c>
      <c r="C1173" s="1">
        <f t="shared" si="522"/>
        <v>0</v>
      </c>
      <c r="D1173" s="10">
        <f t="shared" si="523"/>
        <v>0</v>
      </c>
      <c r="E1173" s="1">
        <f t="shared" si="524"/>
        <v>0</v>
      </c>
      <c r="F1173" s="1">
        <f t="shared" si="525"/>
        <v>0</v>
      </c>
      <c r="G1173" s="1">
        <f t="shared" si="526"/>
        <v>0</v>
      </c>
      <c r="H1173" s="1">
        <f t="shared" si="513"/>
        <v>0</v>
      </c>
      <c r="I1173" s="10">
        <f t="shared" si="527"/>
        <v>0</v>
      </c>
      <c r="J1173" s="1">
        <f t="shared" si="514"/>
        <v>0</v>
      </c>
      <c r="K1173" s="1">
        <f t="shared" si="515"/>
        <v>0</v>
      </c>
      <c r="L1173" s="1" t="str">
        <f t="shared" si="516"/>
        <v>0</v>
      </c>
      <c r="M1173" s="10">
        <f t="shared" si="517"/>
        <v>0</v>
      </c>
      <c r="N1173" s="1">
        <f t="shared" si="528"/>
        <v>0</v>
      </c>
      <c r="O1173" s="1">
        <f t="shared" si="520"/>
        <v>0</v>
      </c>
      <c r="P1173" s="1">
        <f t="shared" si="518"/>
        <v>0</v>
      </c>
      <c r="Q1173" s="3" t="str">
        <f t="shared" si="519"/>
        <v/>
      </c>
      <c r="T1173" s="13" t="str">
        <f t="shared" si="529"/>
        <v/>
      </c>
      <c r="U1173" s="14" t="str">
        <f t="shared" si="530"/>
        <v/>
      </c>
      <c r="V1173" s="13" t="str">
        <f t="shared" si="531"/>
        <v/>
      </c>
      <c r="W1173" s="13" t="str">
        <f t="shared" si="532"/>
        <v/>
      </c>
      <c r="X1173" s="14" t="str">
        <f t="shared" si="533"/>
        <v/>
      </c>
    </row>
    <row r="1174" spans="2:24" x14ac:dyDescent="0.3">
      <c r="B1174" s="1">
        <f t="shared" si="521"/>
        <v>0</v>
      </c>
      <c r="C1174" s="1">
        <f t="shared" si="522"/>
        <v>0</v>
      </c>
      <c r="D1174" s="10">
        <f t="shared" si="523"/>
        <v>0</v>
      </c>
      <c r="E1174" s="1">
        <f t="shared" si="524"/>
        <v>0</v>
      </c>
      <c r="F1174" s="1">
        <f t="shared" si="525"/>
        <v>0</v>
      </c>
      <c r="G1174" s="1">
        <f t="shared" si="526"/>
        <v>0</v>
      </c>
      <c r="H1174" s="1">
        <f t="shared" si="513"/>
        <v>0</v>
      </c>
      <c r="I1174" s="10">
        <f t="shared" si="527"/>
        <v>0</v>
      </c>
      <c r="J1174" s="1">
        <f t="shared" si="514"/>
        <v>0</v>
      </c>
      <c r="K1174" s="1">
        <f t="shared" si="515"/>
        <v>0</v>
      </c>
      <c r="L1174" s="1" t="str">
        <f t="shared" si="516"/>
        <v>0</v>
      </c>
      <c r="M1174" s="10">
        <f t="shared" si="517"/>
        <v>0</v>
      </c>
      <c r="N1174" s="1">
        <f t="shared" si="528"/>
        <v>0</v>
      </c>
      <c r="O1174" s="1">
        <f t="shared" si="520"/>
        <v>0</v>
      </c>
      <c r="P1174" s="1">
        <f t="shared" si="518"/>
        <v>0</v>
      </c>
      <c r="Q1174" s="3" t="str">
        <f t="shared" si="519"/>
        <v/>
      </c>
      <c r="T1174" s="13" t="str">
        <f t="shared" si="529"/>
        <v/>
      </c>
      <c r="U1174" s="14" t="str">
        <f t="shared" si="530"/>
        <v/>
      </c>
      <c r="V1174" s="13" t="str">
        <f t="shared" si="531"/>
        <v/>
      </c>
      <c r="W1174" s="13" t="str">
        <f t="shared" si="532"/>
        <v/>
      </c>
      <c r="X1174" s="14" t="str">
        <f t="shared" si="533"/>
        <v/>
      </c>
    </row>
    <row r="1175" spans="2:24" x14ac:dyDescent="0.3">
      <c r="B1175" s="1">
        <f t="shared" si="521"/>
        <v>0</v>
      </c>
      <c r="C1175" s="1">
        <f t="shared" si="522"/>
        <v>0</v>
      </c>
      <c r="D1175" s="10">
        <f t="shared" si="523"/>
        <v>0</v>
      </c>
      <c r="E1175" s="1">
        <f t="shared" si="524"/>
        <v>0</v>
      </c>
      <c r="F1175" s="1">
        <f t="shared" si="525"/>
        <v>0</v>
      </c>
      <c r="G1175" s="1">
        <f t="shared" si="526"/>
        <v>0</v>
      </c>
      <c r="H1175" s="1">
        <f t="shared" si="513"/>
        <v>0</v>
      </c>
      <c r="I1175" s="10">
        <f t="shared" si="527"/>
        <v>0</v>
      </c>
      <c r="J1175" s="1">
        <f t="shared" si="514"/>
        <v>0</v>
      </c>
      <c r="K1175" s="1">
        <f t="shared" si="515"/>
        <v>0</v>
      </c>
      <c r="L1175" s="1" t="str">
        <f t="shared" si="516"/>
        <v>0</v>
      </c>
      <c r="M1175" s="10">
        <f t="shared" si="517"/>
        <v>0</v>
      </c>
      <c r="N1175" s="1">
        <f t="shared" si="528"/>
        <v>0</v>
      </c>
      <c r="O1175" s="1">
        <f t="shared" si="520"/>
        <v>0</v>
      </c>
      <c r="P1175" s="1">
        <f t="shared" si="518"/>
        <v>0</v>
      </c>
      <c r="Q1175" s="3" t="str">
        <f t="shared" si="519"/>
        <v/>
      </c>
      <c r="T1175" s="13" t="str">
        <f t="shared" si="529"/>
        <v/>
      </c>
      <c r="U1175" s="14" t="str">
        <f t="shared" si="530"/>
        <v/>
      </c>
      <c r="V1175" s="13" t="str">
        <f t="shared" si="531"/>
        <v/>
      </c>
      <c r="W1175" s="13" t="str">
        <f t="shared" si="532"/>
        <v/>
      </c>
      <c r="X1175" s="14" t="str">
        <f t="shared" si="533"/>
        <v/>
      </c>
    </row>
    <row r="1176" spans="2:24" x14ac:dyDescent="0.3">
      <c r="B1176" s="1">
        <f t="shared" si="521"/>
        <v>0</v>
      </c>
      <c r="C1176" s="1">
        <f t="shared" si="522"/>
        <v>0</v>
      </c>
      <c r="D1176" s="10">
        <f t="shared" si="523"/>
        <v>0</v>
      </c>
      <c r="E1176" s="1">
        <f t="shared" si="524"/>
        <v>0</v>
      </c>
      <c r="F1176" s="1">
        <f t="shared" si="525"/>
        <v>0</v>
      </c>
      <c r="G1176" s="1">
        <f t="shared" si="526"/>
        <v>0</v>
      </c>
      <c r="H1176" s="1">
        <f t="shared" si="513"/>
        <v>0</v>
      </c>
      <c r="I1176" s="10">
        <f t="shared" si="527"/>
        <v>0</v>
      </c>
      <c r="J1176" s="1">
        <f t="shared" si="514"/>
        <v>0</v>
      </c>
      <c r="K1176" s="1">
        <f t="shared" si="515"/>
        <v>0</v>
      </c>
      <c r="L1176" s="1" t="str">
        <f t="shared" si="516"/>
        <v>0</v>
      </c>
      <c r="M1176" s="10">
        <f t="shared" si="517"/>
        <v>0</v>
      </c>
      <c r="N1176" s="1">
        <f t="shared" si="528"/>
        <v>0</v>
      </c>
      <c r="O1176" s="1">
        <f t="shared" si="520"/>
        <v>0</v>
      </c>
      <c r="P1176" s="1">
        <f t="shared" si="518"/>
        <v>0</v>
      </c>
      <c r="Q1176" s="3" t="str">
        <f t="shared" si="519"/>
        <v/>
      </c>
      <c r="T1176" s="13" t="str">
        <f t="shared" si="529"/>
        <v/>
      </c>
      <c r="U1176" s="14" t="str">
        <f t="shared" si="530"/>
        <v/>
      </c>
      <c r="V1176" s="13" t="str">
        <f t="shared" si="531"/>
        <v/>
      </c>
      <c r="W1176" s="13" t="str">
        <f t="shared" si="532"/>
        <v/>
      </c>
      <c r="X1176" s="14" t="str">
        <f t="shared" si="533"/>
        <v/>
      </c>
    </row>
    <row r="1177" spans="2:24" x14ac:dyDescent="0.3">
      <c r="B1177" s="1">
        <f t="shared" si="521"/>
        <v>0</v>
      </c>
      <c r="C1177" s="1">
        <f t="shared" si="522"/>
        <v>0</v>
      </c>
      <c r="D1177" s="10">
        <f t="shared" si="523"/>
        <v>0</v>
      </c>
      <c r="E1177" s="1">
        <f t="shared" si="524"/>
        <v>0</v>
      </c>
      <c r="F1177" s="1">
        <f t="shared" si="525"/>
        <v>0</v>
      </c>
      <c r="G1177" s="1">
        <f t="shared" si="526"/>
        <v>0</v>
      </c>
      <c r="H1177" s="1">
        <f t="shared" si="513"/>
        <v>0</v>
      </c>
      <c r="I1177" s="10">
        <f t="shared" si="527"/>
        <v>0</v>
      </c>
      <c r="J1177" s="1">
        <f t="shared" si="514"/>
        <v>0</v>
      </c>
      <c r="K1177" s="1">
        <f t="shared" si="515"/>
        <v>0</v>
      </c>
      <c r="L1177" s="1" t="str">
        <f t="shared" si="516"/>
        <v>0</v>
      </c>
      <c r="M1177" s="10">
        <f t="shared" si="517"/>
        <v>0</v>
      </c>
      <c r="N1177" s="1">
        <f t="shared" si="528"/>
        <v>0</v>
      </c>
      <c r="O1177" s="1">
        <f t="shared" si="520"/>
        <v>0</v>
      </c>
      <c r="P1177" s="1">
        <f t="shared" si="518"/>
        <v>0</v>
      </c>
      <c r="Q1177" s="3" t="str">
        <f t="shared" si="519"/>
        <v/>
      </c>
      <c r="T1177" s="13" t="str">
        <f t="shared" si="529"/>
        <v/>
      </c>
      <c r="U1177" s="14" t="str">
        <f t="shared" si="530"/>
        <v/>
      </c>
      <c r="V1177" s="13" t="str">
        <f t="shared" si="531"/>
        <v/>
      </c>
      <c r="W1177" s="13" t="str">
        <f t="shared" si="532"/>
        <v/>
      </c>
      <c r="X1177" s="14" t="str">
        <f t="shared" si="533"/>
        <v/>
      </c>
    </row>
    <row r="1178" spans="2:24" x14ac:dyDescent="0.3">
      <c r="B1178" s="1">
        <f t="shared" si="521"/>
        <v>0</v>
      </c>
      <c r="C1178" s="1">
        <f t="shared" si="522"/>
        <v>0</v>
      </c>
      <c r="D1178" s="10">
        <f t="shared" si="523"/>
        <v>0</v>
      </c>
      <c r="E1178" s="1">
        <f t="shared" si="524"/>
        <v>0</v>
      </c>
      <c r="F1178" s="1">
        <f t="shared" si="525"/>
        <v>0</v>
      </c>
      <c r="G1178" s="1">
        <f t="shared" si="526"/>
        <v>0</v>
      </c>
      <c r="H1178" s="1">
        <f t="shared" si="513"/>
        <v>0</v>
      </c>
      <c r="I1178" s="10">
        <f t="shared" si="527"/>
        <v>0</v>
      </c>
      <c r="J1178" s="1">
        <f t="shared" si="514"/>
        <v>0</v>
      </c>
      <c r="K1178" s="1">
        <f t="shared" si="515"/>
        <v>0</v>
      </c>
      <c r="L1178" s="1" t="str">
        <f t="shared" si="516"/>
        <v>0</v>
      </c>
      <c r="M1178" s="10">
        <f t="shared" si="517"/>
        <v>0</v>
      </c>
      <c r="N1178" s="1">
        <f t="shared" si="528"/>
        <v>0</v>
      </c>
      <c r="O1178" s="1">
        <f t="shared" si="520"/>
        <v>0</v>
      </c>
      <c r="P1178" s="1">
        <f t="shared" si="518"/>
        <v>0</v>
      </c>
      <c r="Q1178" s="3" t="str">
        <f t="shared" si="519"/>
        <v/>
      </c>
      <c r="T1178" s="13" t="str">
        <f t="shared" si="529"/>
        <v/>
      </c>
      <c r="U1178" s="14" t="str">
        <f t="shared" si="530"/>
        <v/>
      </c>
      <c r="V1178" s="13" t="str">
        <f t="shared" si="531"/>
        <v/>
      </c>
      <c r="W1178" s="13" t="str">
        <f t="shared" si="532"/>
        <v/>
      </c>
      <c r="X1178" s="14" t="str">
        <f t="shared" si="533"/>
        <v/>
      </c>
    </row>
    <row r="1179" spans="2:24" x14ac:dyDescent="0.3">
      <c r="B1179" s="1">
        <f t="shared" si="521"/>
        <v>0</v>
      </c>
      <c r="C1179" s="1">
        <f t="shared" si="522"/>
        <v>0</v>
      </c>
      <c r="D1179" s="10">
        <f t="shared" si="523"/>
        <v>0</v>
      </c>
      <c r="E1179" s="1">
        <f t="shared" si="524"/>
        <v>0</v>
      </c>
      <c r="F1179" s="1">
        <f t="shared" si="525"/>
        <v>0</v>
      </c>
      <c r="G1179" s="1">
        <f t="shared" si="526"/>
        <v>0</v>
      </c>
      <c r="H1179" s="1">
        <f t="shared" si="513"/>
        <v>0</v>
      </c>
      <c r="I1179" s="10">
        <f t="shared" si="527"/>
        <v>0</v>
      </c>
      <c r="J1179" s="1">
        <f t="shared" si="514"/>
        <v>0</v>
      </c>
      <c r="K1179" s="1">
        <f t="shared" si="515"/>
        <v>0</v>
      </c>
      <c r="L1179" s="1" t="str">
        <f t="shared" si="516"/>
        <v>0</v>
      </c>
      <c r="M1179" s="10">
        <f t="shared" si="517"/>
        <v>0</v>
      </c>
      <c r="N1179" s="1">
        <f t="shared" si="528"/>
        <v>0</v>
      </c>
      <c r="O1179" s="1">
        <f t="shared" si="520"/>
        <v>0</v>
      </c>
      <c r="P1179" s="1">
        <f t="shared" si="518"/>
        <v>0</v>
      </c>
      <c r="Q1179" s="3" t="str">
        <f t="shared" si="519"/>
        <v/>
      </c>
      <c r="T1179" s="13" t="str">
        <f t="shared" si="529"/>
        <v/>
      </c>
      <c r="U1179" s="14" t="str">
        <f t="shared" si="530"/>
        <v/>
      </c>
      <c r="V1179" s="13" t="str">
        <f t="shared" si="531"/>
        <v/>
      </c>
      <c r="W1179" s="13" t="str">
        <f t="shared" si="532"/>
        <v/>
      </c>
      <c r="X1179" s="14" t="str">
        <f t="shared" si="533"/>
        <v/>
      </c>
    </row>
    <row r="1180" spans="2:24" x14ac:dyDescent="0.3">
      <c r="B1180" s="1">
        <f t="shared" si="521"/>
        <v>0</v>
      </c>
      <c r="C1180" s="1">
        <f t="shared" si="522"/>
        <v>0</v>
      </c>
      <c r="D1180" s="10">
        <f t="shared" si="523"/>
        <v>0</v>
      </c>
      <c r="E1180" s="1">
        <f t="shared" si="524"/>
        <v>0</v>
      </c>
      <c r="F1180" s="1">
        <f t="shared" si="525"/>
        <v>0</v>
      </c>
      <c r="G1180" s="1">
        <f t="shared" si="526"/>
        <v>0</v>
      </c>
      <c r="H1180" s="1">
        <f t="shared" si="513"/>
        <v>0</v>
      </c>
      <c r="I1180" s="10">
        <f t="shared" si="527"/>
        <v>0</v>
      </c>
      <c r="J1180" s="1">
        <f t="shared" si="514"/>
        <v>0</v>
      </c>
      <c r="K1180" s="1">
        <f t="shared" si="515"/>
        <v>0</v>
      </c>
      <c r="L1180" s="1" t="str">
        <f t="shared" si="516"/>
        <v>0</v>
      </c>
      <c r="M1180" s="10">
        <f t="shared" si="517"/>
        <v>0</v>
      </c>
      <c r="N1180" s="1">
        <f t="shared" si="528"/>
        <v>0</v>
      </c>
      <c r="O1180" s="1">
        <f t="shared" si="520"/>
        <v>0</v>
      </c>
      <c r="P1180" s="1">
        <f t="shared" si="518"/>
        <v>0</v>
      </c>
      <c r="Q1180" s="3" t="str">
        <f t="shared" si="519"/>
        <v/>
      </c>
      <c r="T1180" s="13" t="str">
        <f t="shared" si="529"/>
        <v/>
      </c>
      <c r="U1180" s="14" t="str">
        <f t="shared" si="530"/>
        <v/>
      </c>
      <c r="V1180" s="13" t="str">
        <f t="shared" si="531"/>
        <v/>
      </c>
      <c r="W1180" s="13" t="str">
        <f t="shared" si="532"/>
        <v/>
      </c>
      <c r="X1180" s="14" t="str">
        <f t="shared" si="533"/>
        <v/>
      </c>
    </row>
    <row r="1181" spans="2:24" x14ac:dyDescent="0.3">
      <c r="B1181" s="1">
        <f t="shared" si="521"/>
        <v>0</v>
      </c>
      <c r="C1181" s="1">
        <f t="shared" si="522"/>
        <v>0</v>
      </c>
      <c r="D1181" s="10">
        <f t="shared" si="523"/>
        <v>0</v>
      </c>
      <c r="E1181" s="1">
        <f t="shared" si="524"/>
        <v>0</v>
      </c>
      <c r="F1181" s="1">
        <f t="shared" si="525"/>
        <v>0</v>
      </c>
      <c r="G1181" s="1">
        <f t="shared" si="526"/>
        <v>0</v>
      </c>
      <c r="H1181" s="1">
        <f t="shared" si="513"/>
        <v>0</v>
      </c>
      <c r="I1181" s="10">
        <f t="shared" si="527"/>
        <v>0</v>
      </c>
      <c r="J1181" s="1">
        <f t="shared" si="514"/>
        <v>0</v>
      </c>
      <c r="K1181" s="1">
        <f t="shared" si="515"/>
        <v>0</v>
      </c>
      <c r="L1181" s="1" t="str">
        <f t="shared" si="516"/>
        <v>0</v>
      </c>
      <c r="M1181" s="10">
        <f t="shared" si="517"/>
        <v>0</v>
      </c>
      <c r="N1181" s="1">
        <f t="shared" si="528"/>
        <v>0</v>
      </c>
      <c r="O1181" s="1">
        <f t="shared" si="520"/>
        <v>0</v>
      </c>
      <c r="P1181" s="1">
        <f t="shared" si="518"/>
        <v>0</v>
      </c>
      <c r="Q1181" s="3" t="str">
        <f t="shared" si="519"/>
        <v/>
      </c>
      <c r="T1181" s="13" t="str">
        <f t="shared" si="529"/>
        <v/>
      </c>
      <c r="U1181" s="14" t="str">
        <f t="shared" si="530"/>
        <v/>
      </c>
      <c r="V1181" s="13" t="str">
        <f t="shared" si="531"/>
        <v/>
      </c>
      <c r="W1181" s="13" t="str">
        <f t="shared" si="532"/>
        <v/>
      </c>
      <c r="X1181" s="14" t="str">
        <f t="shared" si="533"/>
        <v/>
      </c>
    </row>
    <row r="1182" spans="2:24" x14ac:dyDescent="0.3">
      <c r="B1182" s="1">
        <f t="shared" si="521"/>
        <v>0</v>
      </c>
      <c r="C1182" s="1">
        <f t="shared" si="522"/>
        <v>0</v>
      </c>
      <c r="D1182" s="10">
        <f t="shared" si="523"/>
        <v>0</v>
      </c>
      <c r="E1182" s="1">
        <f t="shared" si="524"/>
        <v>0</v>
      </c>
      <c r="F1182" s="1">
        <f t="shared" si="525"/>
        <v>0</v>
      </c>
      <c r="G1182" s="1">
        <f t="shared" si="526"/>
        <v>0</v>
      </c>
      <c r="H1182" s="1">
        <f t="shared" si="513"/>
        <v>0</v>
      </c>
      <c r="I1182" s="10">
        <f t="shared" si="527"/>
        <v>0</v>
      </c>
      <c r="J1182" s="1">
        <f t="shared" si="514"/>
        <v>0</v>
      </c>
      <c r="K1182" s="1">
        <f t="shared" si="515"/>
        <v>0</v>
      </c>
      <c r="L1182" s="1" t="str">
        <f t="shared" si="516"/>
        <v>0</v>
      </c>
      <c r="M1182" s="10">
        <f t="shared" si="517"/>
        <v>0</v>
      </c>
      <c r="N1182" s="1">
        <f t="shared" si="528"/>
        <v>0</v>
      </c>
      <c r="O1182" s="1">
        <f t="shared" si="520"/>
        <v>0</v>
      </c>
      <c r="P1182" s="1">
        <f t="shared" si="518"/>
        <v>0</v>
      </c>
      <c r="Q1182" s="3" t="str">
        <f t="shared" si="519"/>
        <v/>
      </c>
      <c r="T1182" s="13" t="str">
        <f t="shared" si="529"/>
        <v/>
      </c>
      <c r="U1182" s="14" t="str">
        <f t="shared" si="530"/>
        <v/>
      </c>
      <c r="V1182" s="13" t="str">
        <f t="shared" si="531"/>
        <v/>
      </c>
      <c r="W1182" s="13" t="str">
        <f t="shared" si="532"/>
        <v/>
      </c>
      <c r="X1182" s="14" t="str">
        <f t="shared" si="533"/>
        <v/>
      </c>
    </row>
    <row r="1183" spans="2:24" x14ac:dyDescent="0.3">
      <c r="B1183" s="1">
        <f t="shared" si="521"/>
        <v>0</v>
      </c>
      <c r="C1183" s="1">
        <f t="shared" si="522"/>
        <v>0</v>
      </c>
      <c r="D1183" s="10">
        <f t="shared" si="523"/>
        <v>0</v>
      </c>
      <c r="E1183" s="1">
        <f t="shared" si="524"/>
        <v>0</v>
      </c>
      <c r="F1183" s="1">
        <f t="shared" si="525"/>
        <v>0</v>
      </c>
      <c r="G1183" s="1">
        <f t="shared" si="526"/>
        <v>0</v>
      </c>
      <c r="H1183" s="1">
        <f t="shared" si="513"/>
        <v>0</v>
      </c>
      <c r="I1183" s="10">
        <f t="shared" si="527"/>
        <v>0</v>
      </c>
      <c r="J1183" s="1">
        <f t="shared" si="514"/>
        <v>0</v>
      </c>
      <c r="K1183" s="1">
        <f t="shared" si="515"/>
        <v>0</v>
      </c>
      <c r="L1183" s="1" t="str">
        <f t="shared" si="516"/>
        <v>0</v>
      </c>
      <c r="M1183" s="10">
        <f t="shared" si="517"/>
        <v>0</v>
      </c>
      <c r="N1183" s="1">
        <f t="shared" si="528"/>
        <v>0</v>
      </c>
      <c r="O1183" s="1">
        <f t="shared" si="520"/>
        <v>0</v>
      </c>
      <c r="P1183" s="1">
        <f t="shared" si="518"/>
        <v>0</v>
      </c>
      <c r="Q1183" s="3" t="str">
        <f t="shared" si="519"/>
        <v/>
      </c>
      <c r="T1183" s="13" t="str">
        <f t="shared" si="529"/>
        <v/>
      </c>
      <c r="U1183" s="14" t="str">
        <f t="shared" si="530"/>
        <v/>
      </c>
      <c r="V1183" s="13" t="str">
        <f t="shared" si="531"/>
        <v/>
      </c>
      <c r="W1183" s="13" t="str">
        <f t="shared" si="532"/>
        <v/>
      </c>
      <c r="X1183" s="14" t="str">
        <f t="shared" si="533"/>
        <v/>
      </c>
    </row>
    <row r="1184" spans="2:24" x14ac:dyDescent="0.3">
      <c r="B1184" s="1">
        <f t="shared" si="521"/>
        <v>0</v>
      </c>
      <c r="C1184" s="1">
        <f t="shared" si="522"/>
        <v>0</v>
      </c>
      <c r="D1184" s="10">
        <f t="shared" si="523"/>
        <v>0</v>
      </c>
      <c r="E1184" s="1">
        <f t="shared" si="524"/>
        <v>0</v>
      </c>
      <c r="F1184" s="1">
        <f t="shared" si="525"/>
        <v>0</v>
      </c>
      <c r="G1184" s="1">
        <f t="shared" si="526"/>
        <v>0</v>
      </c>
      <c r="H1184" s="1">
        <f t="shared" si="513"/>
        <v>0</v>
      </c>
      <c r="I1184" s="10">
        <f t="shared" si="527"/>
        <v>0</v>
      </c>
      <c r="J1184" s="1">
        <f t="shared" si="514"/>
        <v>0</v>
      </c>
      <c r="K1184" s="1">
        <f t="shared" si="515"/>
        <v>0</v>
      </c>
      <c r="L1184" s="1" t="str">
        <f t="shared" si="516"/>
        <v>0</v>
      </c>
      <c r="M1184" s="10">
        <f t="shared" si="517"/>
        <v>0</v>
      </c>
      <c r="N1184" s="1">
        <f t="shared" si="528"/>
        <v>0</v>
      </c>
      <c r="O1184" s="1">
        <f t="shared" si="520"/>
        <v>0</v>
      </c>
      <c r="P1184" s="1">
        <f t="shared" si="518"/>
        <v>0</v>
      </c>
      <c r="Q1184" s="3" t="str">
        <f t="shared" si="519"/>
        <v/>
      </c>
      <c r="T1184" s="13" t="str">
        <f t="shared" si="529"/>
        <v/>
      </c>
      <c r="U1184" s="14" t="str">
        <f t="shared" si="530"/>
        <v/>
      </c>
      <c r="V1184" s="13" t="str">
        <f t="shared" si="531"/>
        <v/>
      </c>
      <c r="W1184" s="13" t="str">
        <f t="shared" si="532"/>
        <v/>
      </c>
      <c r="X1184" s="14" t="str">
        <f t="shared" si="533"/>
        <v/>
      </c>
    </row>
    <row r="1185" spans="2:24" x14ac:dyDescent="0.3">
      <c r="B1185" s="1">
        <f t="shared" si="521"/>
        <v>0</v>
      </c>
      <c r="C1185" s="1">
        <f t="shared" si="522"/>
        <v>0</v>
      </c>
      <c r="D1185" s="10">
        <f t="shared" si="523"/>
        <v>0</v>
      </c>
      <c r="E1185" s="1">
        <f t="shared" si="524"/>
        <v>0</v>
      </c>
      <c r="F1185" s="1">
        <f t="shared" si="525"/>
        <v>0</v>
      </c>
      <c r="G1185" s="1">
        <f t="shared" si="526"/>
        <v>0</v>
      </c>
      <c r="H1185" s="1">
        <f t="shared" si="513"/>
        <v>0</v>
      </c>
      <c r="I1185" s="10">
        <f t="shared" si="527"/>
        <v>0</v>
      </c>
      <c r="J1185" s="1">
        <f t="shared" si="514"/>
        <v>0</v>
      </c>
      <c r="K1185" s="1">
        <f t="shared" si="515"/>
        <v>0</v>
      </c>
      <c r="L1185" s="1" t="str">
        <f t="shared" si="516"/>
        <v>0</v>
      </c>
      <c r="M1185" s="10">
        <f t="shared" si="517"/>
        <v>0</v>
      </c>
      <c r="N1185" s="1">
        <f t="shared" si="528"/>
        <v>0</v>
      </c>
      <c r="O1185" s="1">
        <f t="shared" si="520"/>
        <v>0</v>
      </c>
      <c r="P1185" s="1">
        <f t="shared" si="518"/>
        <v>0</v>
      </c>
      <c r="Q1185" s="3" t="str">
        <f t="shared" si="519"/>
        <v/>
      </c>
      <c r="T1185" s="13" t="str">
        <f t="shared" si="529"/>
        <v/>
      </c>
      <c r="U1185" s="14" t="str">
        <f t="shared" si="530"/>
        <v/>
      </c>
      <c r="V1185" s="13" t="str">
        <f t="shared" si="531"/>
        <v/>
      </c>
      <c r="W1185" s="13" t="str">
        <f t="shared" si="532"/>
        <v/>
      </c>
      <c r="X1185" s="14" t="str">
        <f t="shared" si="533"/>
        <v/>
      </c>
    </row>
    <row r="1186" spans="2:24" x14ac:dyDescent="0.3">
      <c r="B1186" s="1">
        <f t="shared" si="521"/>
        <v>0</v>
      </c>
      <c r="C1186" s="1">
        <f t="shared" si="522"/>
        <v>0</v>
      </c>
      <c r="D1186" s="10">
        <f t="shared" si="523"/>
        <v>0</v>
      </c>
      <c r="E1186" s="1">
        <f t="shared" si="524"/>
        <v>0</v>
      </c>
      <c r="F1186" s="1">
        <f t="shared" si="525"/>
        <v>0</v>
      </c>
      <c r="G1186" s="1">
        <f t="shared" si="526"/>
        <v>0</v>
      </c>
      <c r="H1186" s="1">
        <f t="shared" si="513"/>
        <v>0</v>
      </c>
      <c r="I1186" s="10">
        <f t="shared" si="527"/>
        <v>0</v>
      </c>
      <c r="J1186" s="1">
        <f t="shared" si="514"/>
        <v>0</v>
      </c>
      <c r="K1186" s="1">
        <f t="shared" si="515"/>
        <v>0</v>
      </c>
      <c r="L1186" s="1" t="str">
        <f t="shared" si="516"/>
        <v>0</v>
      </c>
      <c r="M1186" s="10">
        <f t="shared" si="517"/>
        <v>0</v>
      </c>
      <c r="N1186" s="1">
        <f t="shared" si="528"/>
        <v>0</v>
      </c>
      <c r="O1186" s="1">
        <f t="shared" si="520"/>
        <v>0</v>
      </c>
      <c r="P1186" s="1">
        <f t="shared" si="518"/>
        <v>0</v>
      </c>
      <c r="Q1186" s="3" t="str">
        <f t="shared" si="519"/>
        <v/>
      </c>
      <c r="T1186" s="13" t="str">
        <f t="shared" si="529"/>
        <v/>
      </c>
      <c r="U1186" s="14" t="str">
        <f t="shared" si="530"/>
        <v/>
      </c>
      <c r="V1186" s="13" t="str">
        <f t="shared" si="531"/>
        <v/>
      </c>
      <c r="W1186" s="13" t="str">
        <f t="shared" si="532"/>
        <v/>
      </c>
      <c r="X1186" s="14" t="str">
        <f t="shared" si="533"/>
        <v/>
      </c>
    </row>
    <row r="1187" spans="2:24" x14ac:dyDescent="0.3">
      <c r="B1187" s="1">
        <f t="shared" si="521"/>
        <v>0</v>
      </c>
      <c r="C1187" s="1">
        <f t="shared" si="522"/>
        <v>0</v>
      </c>
      <c r="D1187" s="10">
        <f t="shared" si="523"/>
        <v>0</v>
      </c>
      <c r="E1187" s="1">
        <f t="shared" si="524"/>
        <v>0</v>
      </c>
      <c r="F1187" s="1">
        <f t="shared" si="525"/>
        <v>0</v>
      </c>
      <c r="G1187" s="1">
        <f t="shared" si="526"/>
        <v>0</v>
      </c>
      <c r="H1187" s="1">
        <f t="shared" si="513"/>
        <v>0</v>
      </c>
      <c r="I1187" s="10">
        <f t="shared" si="527"/>
        <v>0</v>
      </c>
      <c r="J1187" s="1">
        <f t="shared" si="514"/>
        <v>0</v>
      </c>
      <c r="K1187" s="1">
        <f t="shared" si="515"/>
        <v>0</v>
      </c>
      <c r="L1187" s="1" t="str">
        <f t="shared" si="516"/>
        <v>0</v>
      </c>
      <c r="M1187" s="10">
        <f t="shared" si="517"/>
        <v>0</v>
      </c>
      <c r="N1187" s="1">
        <f t="shared" si="528"/>
        <v>0</v>
      </c>
      <c r="O1187" s="1">
        <f t="shared" si="520"/>
        <v>0</v>
      </c>
      <c r="P1187" s="1">
        <f t="shared" si="518"/>
        <v>0</v>
      </c>
      <c r="Q1187" s="3" t="str">
        <f t="shared" si="519"/>
        <v/>
      </c>
      <c r="T1187" s="13" t="str">
        <f t="shared" si="529"/>
        <v/>
      </c>
      <c r="U1187" s="14" t="str">
        <f t="shared" si="530"/>
        <v/>
      </c>
      <c r="V1187" s="13" t="str">
        <f t="shared" si="531"/>
        <v/>
      </c>
      <c r="W1187" s="13" t="str">
        <f t="shared" si="532"/>
        <v/>
      </c>
      <c r="X1187" s="14" t="str">
        <f t="shared" si="533"/>
        <v/>
      </c>
    </row>
    <row r="1188" spans="2:24" x14ac:dyDescent="0.3">
      <c r="B1188" s="1">
        <f t="shared" si="521"/>
        <v>0</v>
      </c>
      <c r="C1188" s="1">
        <f t="shared" si="522"/>
        <v>0</v>
      </c>
      <c r="D1188" s="10">
        <f t="shared" si="523"/>
        <v>0</v>
      </c>
      <c r="E1188" s="1">
        <f t="shared" si="524"/>
        <v>0</v>
      </c>
      <c r="F1188" s="1">
        <f t="shared" si="525"/>
        <v>0</v>
      </c>
      <c r="G1188" s="1">
        <f t="shared" si="526"/>
        <v>0</v>
      </c>
      <c r="H1188" s="1">
        <f t="shared" si="513"/>
        <v>0</v>
      </c>
      <c r="I1188" s="10">
        <f t="shared" si="527"/>
        <v>0</v>
      </c>
      <c r="J1188" s="1">
        <f t="shared" si="514"/>
        <v>0</v>
      </c>
      <c r="K1188" s="1">
        <f t="shared" si="515"/>
        <v>0</v>
      </c>
      <c r="L1188" s="1" t="str">
        <f t="shared" si="516"/>
        <v>0</v>
      </c>
      <c r="M1188" s="10">
        <f t="shared" si="517"/>
        <v>0</v>
      </c>
      <c r="N1188" s="1">
        <f t="shared" si="528"/>
        <v>0</v>
      </c>
      <c r="O1188" s="1">
        <f t="shared" si="520"/>
        <v>0</v>
      </c>
      <c r="P1188" s="1">
        <f t="shared" si="518"/>
        <v>0</v>
      </c>
      <c r="Q1188" s="3" t="str">
        <f t="shared" si="519"/>
        <v/>
      </c>
      <c r="T1188" s="13" t="str">
        <f t="shared" si="529"/>
        <v/>
      </c>
      <c r="U1188" s="14" t="str">
        <f t="shared" si="530"/>
        <v/>
      </c>
      <c r="V1188" s="13" t="str">
        <f t="shared" si="531"/>
        <v/>
      </c>
      <c r="W1188" s="13" t="str">
        <f t="shared" si="532"/>
        <v/>
      </c>
      <c r="X1188" s="14" t="str">
        <f t="shared" si="533"/>
        <v/>
      </c>
    </row>
    <row r="1189" spans="2:24" x14ac:dyDescent="0.3">
      <c r="B1189" s="1">
        <f t="shared" si="521"/>
        <v>0</v>
      </c>
      <c r="C1189" s="1">
        <f t="shared" si="522"/>
        <v>0</v>
      </c>
      <c r="D1189" s="10">
        <f t="shared" si="523"/>
        <v>0</v>
      </c>
      <c r="E1189" s="1">
        <f t="shared" si="524"/>
        <v>0</v>
      </c>
      <c r="F1189" s="1">
        <f t="shared" si="525"/>
        <v>0</v>
      </c>
      <c r="G1189" s="1">
        <f t="shared" si="526"/>
        <v>0</v>
      </c>
      <c r="H1189" s="1">
        <f t="shared" si="513"/>
        <v>0</v>
      </c>
      <c r="I1189" s="10">
        <f t="shared" si="527"/>
        <v>0</v>
      </c>
      <c r="J1189" s="1">
        <f t="shared" si="514"/>
        <v>0</v>
      </c>
      <c r="K1189" s="1">
        <f t="shared" si="515"/>
        <v>0</v>
      </c>
      <c r="L1189" s="1" t="str">
        <f t="shared" si="516"/>
        <v>0</v>
      </c>
      <c r="M1189" s="10">
        <f t="shared" si="517"/>
        <v>0</v>
      </c>
      <c r="N1189" s="1">
        <f t="shared" si="528"/>
        <v>0</v>
      </c>
      <c r="O1189" s="1">
        <f t="shared" si="520"/>
        <v>0</v>
      </c>
      <c r="P1189" s="1">
        <f t="shared" si="518"/>
        <v>0</v>
      </c>
      <c r="Q1189" s="3" t="str">
        <f t="shared" si="519"/>
        <v/>
      </c>
      <c r="T1189" s="13" t="str">
        <f t="shared" si="529"/>
        <v/>
      </c>
      <c r="U1189" s="14" t="str">
        <f t="shared" si="530"/>
        <v/>
      </c>
      <c r="V1189" s="13" t="str">
        <f t="shared" si="531"/>
        <v/>
      </c>
      <c r="W1189" s="13" t="str">
        <f t="shared" si="532"/>
        <v/>
      </c>
      <c r="X1189" s="14" t="str">
        <f t="shared" si="533"/>
        <v/>
      </c>
    </row>
    <row r="1190" spans="2:24" x14ac:dyDescent="0.3">
      <c r="B1190" s="1">
        <f t="shared" si="521"/>
        <v>0</v>
      </c>
      <c r="C1190" s="1">
        <f t="shared" si="522"/>
        <v>0</v>
      </c>
      <c r="D1190" s="10">
        <f t="shared" si="523"/>
        <v>0</v>
      </c>
      <c r="E1190" s="1">
        <f t="shared" si="524"/>
        <v>0</v>
      </c>
      <c r="F1190" s="1">
        <f t="shared" si="525"/>
        <v>0</v>
      </c>
      <c r="G1190" s="1">
        <f t="shared" si="526"/>
        <v>0</v>
      </c>
      <c r="H1190" s="1">
        <f t="shared" si="513"/>
        <v>0</v>
      </c>
      <c r="I1190" s="10">
        <f t="shared" si="527"/>
        <v>0</v>
      </c>
      <c r="J1190" s="1">
        <f t="shared" si="514"/>
        <v>0</v>
      </c>
      <c r="K1190" s="1">
        <f t="shared" si="515"/>
        <v>0</v>
      </c>
      <c r="L1190" s="1" t="str">
        <f t="shared" si="516"/>
        <v>0</v>
      </c>
      <c r="M1190" s="10">
        <f t="shared" si="517"/>
        <v>0</v>
      </c>
      <c r="N1190" s="1">
        <f t="shared" si="528"/>
        <v>0</v>
      </c>
      <c r="O1190" s="1">
        <f t="shared" si="520"/>
        <v>0</v>
      </c>
      <c r="P1190" s="1">
        <f t="shared" si="518"/>
        <v>0</v>
      </c>
      <c r="Q1190" s="3" t="str">
        <f t="shared" si="519"/>
        <v/>
      </c>
      <c r="T1190" s="13" t="str">
        <f t="shared" si="529"/>
        <v/>
      </c>
      <c r="U1190" s="14" t="str">
        <f t="shared" si="530"/>
        <v/>
      </c>
      <c r="V1190" s="13" t="str">
        <f t="shared" si="531"/>
        <v/>
      </c>
      <c r="W1190" s="13" t="str">
        <f t="shared" si="532"/>
        <v/>
      </c>
      <c r="X1190" s="14" t="str">
        <f t="shared" si="533"/>
        <v/>
      </c>
    </row>
    <row r="1191" spans="2:24" x14ac:dyDescent="0.3">
      <c r="B1191" s="1">
        <f t="shared" si="521"/>
        <v>0</v>
      </c>
      <c r="C1191" s="1">
        <f t="shared" si="522"/>
        <v>0</v>
      </c>
      <c r="D1191" s="10">
        <f t="shared" si="523"/>
        <v>0</v>
      </c>
      <c r="E1191" s="1">
        <f t="shared" si="524"/>
        <v>0</v>
      </c>
      <c r="F1191" s="1">
        <f t="shared" si="525"/>
        <v>0</v>
      </c>
      <c r="G1191" s="1">
        <f t="shared" si="526"/>
        <v>0</v>
      </c>
      <c r="H1191" s="1">
        <f t="shared" si="513"/>
        <v>0</v>
      </c>
      <c r="I1191" s="10">
        <f t="shared" si="527"/>
        <v>0</v>
      </c>
      <c r="J1191" s="1">
        <f t="shared" si="514"/>
        <v>0</v>
      </c>
      <c r="K1191" s="1">
        <f t="shared" si="515"/>
        <v>0</v>
      </c>
      <c r="L1191" s="1" t="str">
        <f t="shared" si="516"/>
        <v>0</v>
      </c>
      <c r="M1191" s="10">
        <f t="shared" si="517"/>
        <v>0</v>
      </c>
      <c r="N1191" s="1">
        <f t="shared" si="528"/>
        <v>0</v>
      </c>
      <c r="O1191" s="1">
        <f t="shared" si="520"/>
        <v>0</v>
      </c>
      <c r="P1191" s="1">
        <f t="shared" si="518"/>
        <v>0</v>
      </c>
      <c r="Q1191" s="3" t="str">
        <f t="shared" si="519"/>
        <v/>
      </c>
      <c r="T1191" s="13" t="str">
        <f t="shared" si="529"/>
        <v/>
      </c>
      <c r="U1191" s="14" t="str">
        <f t="shared" si="530"/>
        <v/>
      </c>
      <c r="V1191" s="13" t="str">
        <f t="shared" si="531"/>
        <v/>
      </c>
      <c r="W1191" s="13" t="str">
        <f t="shared" si="532"/>
        <v/>
      </c>
      <c r="X1191" s="14" t="str">
        <f t="shared" si="533"/>
        <v/>
      </c>
    </row>
    <row r="1192" spans="2:24" x14ac:dyDescent="0.3">
      <c r="B1192" s="1">
        <f t="shared" si="521"/>
        <v>0</v>
      </c>
      <c r="C1192" s="1">
        <f t="shared" si="522"/>
        <v>0</v>
      </c>
      <c r="D1192" s="10">
        <f t="shared" si="523"/>
        <v>0</v>
      </c>
      <c r="E1192" s="1">
        <f t="shared" si="524"/>
        <v>0</v>
      </c>
      <c r="F1192" s="1">
        <f t="shared" si="525"/>
        <v>0</v>
      </c>
      <c r="G1192" s="1">
        <f t="shared" si="526"/>
        <v>0</v>
      </c>
      <c r="H1192" s="1">
        <f t="shared" si="513"/>
        <v>0</v>
      </c>
      <c r="I1192" s="10">
        <f t="shared" si="527"/>
        <v>0</v>
      </c>
      <c r="J1192" s="1">
        <f t="shared" si="514"/>
        <v>0</v>
      </c>
      <c r="K1192" s="1">
        <f t="shared" si="515"/>
        <v>0</v>
      </c>
      <c r="L1192" s="1" t="str">
        <f t="shared" si="516"/>
        <v>0</v>
      </c>
      <c r="M1192" s="10">
        <f t="shared" si="517"/>
        <v>0</v>
      </c>
      <c r="N1192" s="1">
        <f t="shared" si="528"/>
        <v>0</v>
      </c>
      <c r="O1192" s="1">
        <f t="shared" si="520"/>
        <v>0</v>
      </c>
      <c r="P1192" s="1">
        <f t="shared" si="518"/>
        <v>0</v>
      </c>
      <c r="Q1192" s="3" t="str">
        <f t="shared" si="519"/>
        <v/>
      </c>
      <c r="T1192" s="13" t="str">
        <f t="shared" si="529"/>
        <v/>
      </c>
      <c r="U1192" s="14" t="str">
        <f t="shared" si="530"/>
        <v/>
      </c>
      <c r="V1192" s="13" t="str">
        <f t="shared" si="531"/>
        <v/>
      </c>
      <c r="W1192" s="13" t="str">
        <f t="shared" si="532"/>
        <v/>
      </c>
      <c r="X1192" s="14" t="str">
        <f t="shared" si="533"/>
        <v/>
      </c>
    </row>
    <row r="1193" spans="2:24" x14ac:dyDescent="0.3">
      <c r="B1193" s="1">
        <f t="shared" si="521"/>
        <v>0</v>
      </c>
      <c r="C1193" s="1">
        <f t="shared" si="522"/>
        <v>0</v>
      </c>
      <c r="D1193" s="10">
        <f t="shared" si="523"/>
        <v>0</v>
      </c>
      <c r="E1193" s="1">
        <f t="shared" si="524"/>
        <v>0</v>
      </c>
      <c r="F1193" s="1">
        <f t="shared" si="525"/>
        <v>0</v>
      </c>
      <c r="G1193" s="1">
        <f t="shared" si="526"/>
        <v>0</v>
      </c>
      <c r="H1193" s="1">
        <f t="shared" si="513"/>
        <v>0</v>
      </c>
      <c r="I1193" s="10">
        <f t="shared" si="527"/>
        <v>0</v>
      </c>
      <c r="J1193" s="1">
        <f t="shared" si="514"/>
        <v>0</v>
      </c>
      <c r="K1193" s="1">
        <f t="shared" si="515"/>
        <v>0</v>
      </c>
      <c r="L1193" s="1" t="str">
        <f t="shared" si="516"/>
        <v>0</v>
      </c>
      <c r="M1193" s="10">
        <f t="shared" si="517"/>
        <v>0</v>
      </c>
      <c r="N1193" s="1">
        <f t="shared" si="528"/>
        <v>0</v>
      </c>
      <c r="O1193" s="1">
        <f t="shared" si="520"/>
        <v>0</v>
      </c>
      <c r="P1193" s="1">
        <f t="shared" si="518"/>
        <v>0</v>
      </c>
      <c r="Q1193" s="3" t="str">
        <f t="shared" si="519"/>
        <v/>
      </c>
      <c r="T1193" s="13" t="str">
        <f t="shared" si="529"/>
        <v/>
      </c>
      <c r="U1193" s="14" t="str">
        <f t="shared" si="530"/>
        <v/>
      </c>
      <c r="V1193" s="13" t="str">
        <f t="shared" si="531"/>
        <v/>
      </c>
      <c r="W1193" s="13" t="str">
        <f t="shared" si="532"/>
        <v/>
      </c>
      <c r="X1193" s="14" t="str">
        <f t="shared" si="533"/>
        <v/>
      </c>
    </row>
    <row r="1194" spans="2:24" x14ac:dyDescent="0.3">
      <c r="B1194" s="1">
        <f t="shared" si="521"/>
        <v>0</v>
      </c>
      <c r="C1194" s="1">
        <f t="shared" si="522"/>
        <v>0</v>
      </c>
      <c r="D1194" s="10">
        <f t="shared" si="523"/>
        <v>0</v>
      </c>
      <c r="E1194" s="1">
        <f t="shared" si="524"/>
        <v>0</v>
      </c>
      <c r="F1194" s="1">
        <f t="shared" si="525"/>
        <v>0</v>
      </c>
      <c r="G1194" s="1">
        <f t="shared" si="526"/>
        <v>0</v>
      </c>
      <c r="H1194" s="1">
        <f t="shared" si="513"/>
        <v>0</v>
      </c>
      <c r="I1194" s="10">
        <f t="shared" si="527"/>
        <v>0</v>
      </c>
      <c r="J1194" s="1">
        <f t="shared" si="514"/>
        <v>0</v>
      </c>
      <c r="K1194" s="1">
        <f t="shared" si="515"/>
        <v>0</v>
      </c>
      <c r="L1194" s="1" t="str">
        <f t="shared" si="516"/>
        <v>0</v>
      </c>
      <c r="M1194" s="10">
        <f t="shared" si="517"/>
        <v>0</v>
      </c>
      <c r="N1194" s="1">
        <f t="shared" si="528"/>
        <v>0</v>
      </c>
      <c r="O1194" s="1">
        <f t="shared" si="520"/>
        <v>0</v>
      </c>
      <c r="P1194" s="1">
        <f t="shared" si="518"/>
        <v>0</v>
      </c>
      <c r="Q1194" s="3" t="str">
        <f t="shared" si="519"/>
        <v/>
      </c>
      <c r="T1194" s="13" t="str">
        <f t="shared" si="529"/>
        <v/>
      </c>
      <c r="U1194" s="14" t="str">
        <f t="shared" si="530"/>
        <v/>
      </c>
      <c r="V1194" s="13" t="str">
        <f t="shared" si="531"/>
        <v/>
      </c>
      <c r="W1194" s="13" t="str">
        <f t="shared" si="532"/>
        <v/>
      </c>
      <c r="X1194" s="14" t="str">
        <f t="shared" si="533"/>
        <v/>
      </c>
    </row>
    <row r="1195" spans="2:24" x14ac:dyDescent="0.3">
      <c r="B1195" s="1">
        <f t="shared" si="521"/>
        <v>0</v>
      </c>
      <c r="C1195" s="1">
        <f t="shared" si="522"/>
        <v>0</v>
      </c>
      <c r="D1195" s="10">
        <f t="shared" si="523"/>
        <v>0</v>
      </c>
      <c r="E1195" s="1">
        <f t="shared" si="524"/>
        <v>0</v>
      </c>
      <c r="F1195" s="1">
        <f t="shared" si="525"/>
        <v>0</v>
      </c>
      <c r="G1195" s="1">
        <f t="shared" si="526"/>
        <v>0</v>
      </c>
      <c r="H1195" s="1">
        <f t="shared" si="513"/>
        <v>0</v>
      </c>
      <c r="I1195" s="10">
        <f t="shared" si="527"/>
        <v>0</v>
      </c>
      <c r="J1195" s="1">
        <f t="shared" si="514"/>
        <v>0</v>
      </c>
      <c r="K1195" s="1">
        <f t="shared" si="515"/>
        <v>0</v>
      </c>
      <c r="L1195" s="1" t="str">
        <f t="shared" si="516"/>
        <v>0</v>
      </c>
      <c r="M1195" s="10">
        <f t="shared" si="517"/>
        <v>0</v>
      </c>
      <c r="N1195" s="1">
        <f t="shared" si="528"/>
        <v>0</v>
      </c>
      <c r="O1195" s="1">
        <f t="shared" si="520"/>
        <v>0</v>
      </c>
      <c r="P1195" s="1">
        <f t="shared" si="518"/>
        <v>0</v>
      </c>
      <c r="Q1195" s="3" t="str">
        <f t="shared" si="519"/>
        <v/>
      </c>
      <c r="T1195" s="13" t="str">
        <f t="shared" si="529"/>
        <v/>
      </c>
      <c r="U1195" s="14" t="str">
        <f t="shared" si="530"/>
        <v/>
      </c>
      <c r="V1195" s="13" t="str">
        <f t="shared" si="531"/>
        <v/>
      </c>
      <c r="W1195" s="13" t="str">
        <f t="shared" si="532"/>
        <v/>
      </c>
      <c r="X1195" s="14" t="str">
        <f t="shared" si="533"/>
        <v/>
      </c>
    </row>
    <row r="1196" spans="2:24" x14ac:dyDescent="0.3">
      <c r="B1196" s="1">
        <f t="shared" si="521"/>
        <v>0</v>
      </c>
      <c r="C1196" s="1">
        <f t="shared" si="522"/>
        <v>0</v>
      </c>
      <c r="D1196" s="10">
        <f t="shared" si="523"/>
        <v>0</v>
      </c>
      <c r="E1196" s="1">
        <f t="shared" si="524"/>
        <v>0</v>
      </c>
      <c r="F1196" s="1">
        <f t="shared" si="525"/>
        <v>0</v>
      </c>
      <c r="G1196" s="1">
        <f t="shared" si="526"/>
        <v>0</v>
      </c>
      <c r="H1196" s="1">
        <f t="shared" si="513"/>
        <v>0</v>
      </c>
      <c r="I1196" s="10">
        <f t="shared" si="527"/>
        <v>0</v>
      </c>
      <c r="J1196" s="1">
        <f t="shared" si="514"/>
        <v>0</v>
      </c>
      <c r="K1196" s="1">
        <f t="shared" si="515"/>
        <v>0</v>
      </c>
      <c r="L1196" s="1" t="str">
        <f t="shared" si="516"/>
        <v>0</v>
      </c>
      <c r="M1196" s="10">
        <f t="shared" si="517"/>
        <v>0</v>
      </c>
      <c r="N1196" s="1">
        <f t="shared" si="528"/>
        <v>0</v>
      </c>
      <c r="O1196" s="1">
        <f t="shared" si="520"/>
        <v>0</v>
      </c>
      <c r="P1196" s="1">
        <f t="shared" si="518"/>
        <v>0</v>
      </c>
      <c r="Q1196" s="3" t="str">
        <f t="shared" si="519"/>
        <v/>
      </c>
      <c r="T1196" s="13" t="str">
        <f t="shared" si="529"/>
        <v/>
      </c>
      <c r="U1196" s="14" t="str">
        <f t="shared" si="530"/>
        <v/>
      </c>
      <c r="V1196" s="13" t="str">
        <f t="shared" si="531"/>
        <v/>
      </c>
      <c r="W1196" s="13" t="str">
        <f t="shared" si="532"/>
        <v/>
      </c>
      <c r="X1196" s="14" t="str">
        <f t="shared" si="533"/>
        <v/>
      </c>
    </row>
    <row r="1197" spans="2:24" x14ac:dyDescent="0.3">
      <c r="B1197" s="1">
        <f t="shared" si="521"/>
        <v>0</v>
      </c>
      <c r="C1197" s="1">
        <f t="shared" si="522"/>
        <v>0</v>
      </c>
      <c r="D1197" s="10">
        <f t="shared" si="523"/>
        <v>0</v>
      </c>
      <c r="E1197" s="1">
        <f t="shared" si="524"/>
        <v>0</v>
      </c>
      <c r="F1197" s="1">
        <f t="shared" si="525"/>
        <v>0</v>
      </c>
      <c r="G1197" s="1">
        <f t="shared" si="526"/>
        <v>0</v>
      </c>
      <c r="H1197" s="1">
        <f t="shared" si="513"/>
        <v>0</v>
      </c>
      <c r="I1197" s="10">
        <f t="shared" si="527"/>
        <v>0</v>
      </c>
      <c r="J1197" s="1">
        <f t="shared" si="514"/>
        <v>0</v>
      </c>
      <c r="K1197" s="1">
        <f t="shared" si="515"/>
        <v>0</v>
      </c>
      <c r="L1197" s="1" t="str">
        <f t="shared" si="516"/>
        <v>0</v>
      </c>
      <c r="M1197" s="10">
        <f t="shared" si="517"/>
        <v>0</v>
      </c>
      <c r="N1197" s="1">
        <f t="shared" si="528"/>
        <v>0</v>
      </c>
      <c r="O1197" s="1">
        <f t="shared" si="520"/>
        <v>0</v>
      </c>
      <c r="P1197" s="1">
        <f t="shared" si="518"/>
        <v>0</v>
      </c>
      <c r="Q1197" s="3" t="str">
        <f t="shared" si="519"/>
        <v/>
      </c>
      <c r="T1197" s="13" t="str">
        <f t="shared" si="529"/>
        <v/>
      </c>
      <c r="U1197" s="14" t="str">
        <f t="shared" si="530"/>
        <v/>
      </c>
      <c r="V1197" s="13" t="str">
        <f t="shared" si="531"/>
        <v/>
      </c>
      <c r="W1197" s="13" t="str">
        <f t="shared" si="532"/>
        <v/>
      </c>
      <c r="X1197" s="14" t="str">
        <f t="shared" si="533"/>
        <v/>
      </c>
    </row>
    <row r="1198" spans="2:24" x14ac:dyDescent="0.3">
      <c r="B1198" s="1">
        <f t="shared" si="521"/>
        <v>0</v>
      </c>
      <c r="C1198" s="1">
        <f t="shared" si="522"/>
        <v>0</v>
      </c>
      <c r="D1198" s="10">
        <f t="shared" si="523"/>
        <v>0</v>
      </c>
      <c r="E1198" s="1">
        <f t="shared" si="524"/>
        <v>0</v>
      </c>
      <c r="F1198" s="1">
        <f t="shared" si="525"/>
        <v>0</v>
      </c>
      <c r="G1198" s="1">
        <f t="shared" si="526"/>
        <v>0</v>
      </c>
      <c r="H1198" s="1">
        <f t="shared" si="513"/>
        <v>0</v>
      </c>
      <c r="I1198" s="10">
        <f t="shared" si="527"/>
        <v>0</v>
      </c>
      <c r="J1198" s="1">
        <f t="shared" si="514"/>
        <v>0</v>
      </c>
      <c r="K1198" s="1">
        <f t="shared" si="515"/>
        <v>0</v>
      </c>
      <c r="L1198" s="1" t="str">
        <f t="shared" si="516"/>
        <v>0</v>
      </c>
      <c r="M1198" s="10">
        <f t="shared" si="517"/>
        <v>0</v>
      </c>
      <c r="N1198" s="1">
        <f t="shared" si="528"/>
        <v>0</v>
      </c>
      <c r="O1198" s="1">
        <f t="shared" si="520"/>
        <v>0</v>
      </c>
      <c r="P1198" s="1">
        <f t="shared" si="518"/>
        <v>0</v>
      </c>
      <c r="Q1198" s="3" t="str">
        <f t="shared" si="519"/>
        <v/>
      </c>
      <c r="T1198" s="13" t="str">
        <f t="shared" si="529"/>
        <v/>
      </c>
      <c r="U1198" s="14" t="str">
        <f t="shared" si="530"/>
        <v/>
      </c>
      <c r="V1198" s="13" t="str">
        <f t="shared" si="531"/>
        <v/>
      </c>
      <c r="W1198" s="13" t="str">
        <f t="shared" si="532"/>
        <v/>
      </c>
      <c r="X1198" s="14" t="str">
        <f t="shared" si="533"/>
        <v/>
      </c>
    </row>
    <row r="1199" spans="2:24" x14ac:dyDescent="0.3">
      <c r="B1199" s="1">
        <f t="shared" si="521"/>
        <v>0</v>
      </c>
      <c r="C1199" s="1">
        <f t="shared" si="522"/>
        <v>0</v>
      </c>
      <c r="D1199" s="10">
        <f t="shared" si="523"/>
        <v>0</v>
      </c>
      <c r="E1199" s="1">
        <f t="shared" si="524"/>
        <v>0</v>
      </c>
      <c r="F1199" s="1">
        <f t="shared" si="525"/>
        <v>0</v>
      </c>
      <c r="G1199" s="1">
        <f t="shared" si="526"/>
        <v>0</v>
      </c>
      <c r="H1199" s="1">
        <f t="shared" si="513"/>
        <v>0</v>
      </c>
      <c r="I1199" s="10">
        <f t="shared" si="527"/>
        <v>0</v>
      </c>
      <c r="J1199" s="1">
        <f t="shared" si="514"/>
        <v>0</v>
      </c>
      <c r="K1199" s="1">
        <f t="shared" si="515"/>
        <v>0</v>
      </c>
      <c r="L1199" s="1" t="str">
        <f t="shared" si="516"/>
        <v>0</v>
      </c>
      <c r="M1199" s="10">
        <f t="shared" si="517"/>
        <v>0</v>
      </c>
      <c r="N1199" s="1">
        <f t="shared" si="528"/>
        <v>0</v>
      </c>
      <c r="O1199" s="1">
        <f t="shared" si="520"/>
        <v>0</v>
      </c>
      <c r="P1199" s="1">
        <f t="shared" si="518"/>
        <v>0</v>
      </c>
      <c r="Q1199" s="3" t="str">
        <f t="shared" si="519"/>
        <v/>
      </c>
      <c r="T1199" s="13" t="str">
        <f t="shared" si="529"/>
        <v/>
      </c>
      <c r="U1199" s="14" t="str">
        <f t="shared" si="530"/>
        <v/>
      </c>
      <c r="V1199" s="13" t="str">
        <f t="shared" si="531"/>
        <v/>
      </c>
      <c r="W1199" s="13" t="str">
        <f t="shared" si="532"/>
        <v/>
      </c>
      <c r="X1199" s="14" t="str">
        <f t="shared" si="533"/>
        <v/>
      </c>
    </row>
    <row r="1200" spans="2:24" x14ac:dyDescent="0.3">
      <c r="B1200" s="1">
        <f t="shared" si="521"/>
        <v>0</v>
      </c>
      <c r="C1200" s="1">
        <f t="shared" si="522"/>
        <v>0</v>
      </c>
      <c r="D1200" s="10">
        <f t="shared" si="523"/>
        <v>0</v>
      </c>
      <c r="E1200" s="1">
        <f t="shared" si="524"/>
        <v>0</v>
      </c>
      <c r="F1200" s="1">
        <f t="shared" si="525"/>
        <v>0</v>
      </c>
      <c r="G1200" s="1">
        <f t="shared" si="526"/>
        <v>0</v>
      </c>
      <c r="H1200" s="1">
        <f t="shared" si="513"/>
        <v>0</v>
      </c>
      <c r="I1200" s="10">
        <f t="shared" si="527"/>
        <v>0</v>
      </c>
      <c r="J1200" s="1">
        <f t="shared" si="514"/>
        <v>0</v>
      </c>
      <c r="K1200" s="1">
        <f t="shared" si="515"/>
        <v>0</v>
      </c>
      <c r="L1200" s="1" t="str">
        <f t="shared" si="516"/>
        <v>0</v>
      </c>
      <c r="M1200" s="10">
        <f t="shared" si="517"/>
        <v>0</v>
      </c>
      <c r="N1200" s="1">
        <f t="shared" si="528"/>
        <v>0</v>
      </c>
      <c r="O1200" s="1">
        <f t="shared" si="520"/>
        <v>0</v>
      </c>
      <c r="P1200" s="1">
        <f t="shared" si="518"/>
        <v>0</v>
      </c>
      <c r="Q1200" s="3" t="str">
        <f t="shared" si="519"/>
        <v/>
      </c>
      <c r="T1200" s="13" t="str">
        <f t="shared" si="529"/>
        <v/>
      </c>
      <c r="U1200" s="14" t="str">
        <f t="shared" si="530"/>
        <v/>
      </c>
      <c r="V1200" s="13" t="str">
        <f t="shared" si="531"/>
        <v/>
      </c>
      <c r="W1200" s="13" t="str">
        <f t="shared" si="532"/>
        <v/>
      </c>
      <c r="X1200" s="14" t="str">
        <f t="shared" si="533"/>
        <v/>
      </c>
    </row>
    <row r="1201" spans="2:24" x14ac:dyDescent="0.3">
      <c r="B1201" s="1">
        <f t="shared" si="521"/>
        <v>0</v>
      </c>
      <c r="C1201" s="1">
        <f t="shared" si="522"/>
        <v>0</v>
      </c>
      <c r="D1201" s="10">
        <f t="shared" si="523"/>
        <v>0</v>
      </c>
      <c r="E1201" s="1">
        <f t="shared" si="524"/>
        <v>0</v>
      </c>
      <c r="F1201" s="1">
        <f t="shared" si="525"/>
        <v>0</v>
      </c>
      <c r="G1201" s="1">
        <f t="shared" si="526"/>
        <v>0</v>
      </c>
      <c r="H1201" s="1">
        <f t="shared" si="513"/>
        <v>0</v>
      </c>
      <c r="I1201" s="10">
        <f t="shared" si="527"/>
        <v>0</v>
      </c>
      <c r="J1201" s="1">
        <f t="shared" si="514"/>
        <v>0</v>
      </c>
      <c r="K1201" s="1">
        <f t="shared" si="515"/>
        <v>0</v>
      </c>
      <c r="L1201" s="1" t="str">
        <f t="shared" si="516"/>
        <v>0</v>
      </c>
      <c r="M1201" s="10">
        <f t="shared" si="517"/>
        <v>0</v>
      </c>
      <c r="N1201" s="1">
        <f t="shared" si="528"/>
        <v>0</v>
      </c>
      <c r="O1201" s="1">
        <f t="shared" si="520"/>
        <v>0</v>
      </c>
      <c r="P1201" s="1">
        <f t="shared" si="518"/>
        <v>0</v>
      </c>
      <c r="Q1201" s="3" t="str">
        <f t="shared" si="519"/>
        <v/>
      </c>
      <c r="T1201" s="13" t="str">
        <f t="shared" si="529"/>
        <v/>
      </c>
      <c r="U1201" s="14" t="str">
        <f t="shared" si="530"/>
        <v/>
      </c>
      <c r="V1201" s="13" t="str">
        <f t="shared" si="531"/>
        <v/>
      </c>
      <c r="W1201" s="13" t="str">
        <f t="shared" si="532"/>
        <v/>
      </c>
      <c r="X1201" s="14" t="str">
        <f t="shared" si="533"/>
        <v/>
      </c>
    </row>
    <row r="1202" spans="2:24" x14ac:dyDescent="0.3">
      <c r="B1202" s="1">
        <f t="shared" si="521"/>
        <v>0</v>
      </c>
      <c r="C1202" s="1">
        <f t="shared" si="522"/>
        <v>0</v>
      </c>
      <c r="D1202" s="10">
        <f t="shared" si="523"/>
        <v>0</v>
      </c>
      <c r="E1202" s="1">
        <f t="shared" si="524"/>
        <v>0</v>
      </c>
      <c r="F1202" s="1">
        <f t="shared" si="525"/>
        <v>0</v>
      </c>
      <c r="G1202" s="1">
        <f t="shared" si="526"/>
        <v>0</v>
      </c>
      <c r="H1202" s="1">
        <f t="shared" si="513"/>
        <v>0</v>
      </c>
      <c r="I1202" s="10">
        <f t="shared" si="527"/>
        <v>0</v>
      </c>
      <c r="J1202" s="1">
        <f t="shared" si="514"/>
        <v>0</v>
      </c>
      <c r="K1202" s="1">
        <f t="shared" si="515"/>
        <v>0</v>
      </c>
      <c r="L1202" s="1" t="str">
        <f t="shared" si="516"/>
        <v>0</v>
      </c>
      <c r="M1202" s="10">
        <f t="shared" si="517"/>
        <v>0</v>
      </c>
      <c r="N1202" s="1">
        <f t="shared" si="528"/>
        <v>0</v>
      </c>
      <c r="O1202" s="1">
        <f t="shared" si="520"/>
        <v>0</v>
      </c>
      <c r="P1202" s="1">
        <f t="shared" si="518"/>
        <v>0</v>
      </c>
      <c r="Q1202" s="3" t="str">
        <f t="shared" si="519"/>
        <v/>
      </c>
      <c r="T1202" s="13" t="str">
        <f t="shared" si="529"/>
        <v/>
      </c>
      <c r="U1202" s="14" t="str">
        <f t="shared" si="530"/>
        <v/>
      </c>
      <c r="V1202" s="13" t="str">
        <f t="shared" si="531"/>
        <v/>
      </c>
      <c r="W1202" s="13" t="str">
        <f t="shared" si="532"/>
        <v/>
      </c>
      <c r="X1202" s="14" t="str">
        <f t="shared" si="533"/>
        <v/>
      </c>
    </row>
    <row r="1203" spans="2:24" x14ac:dyDescent="0.3">
      <c r="B1203" s="1">
        <f t="shared" si="521"/>
        <v>0</v>
      </c>
      <c r="C1203" s="1">
        <f t="shared" si="522"/>
        <v>0</v>
      </c>
      <c r="D1203" s="10">
        <f t="shared" si="523"/>
        <v>0</v>
      </c>
      <c r="E1203" s="1">
        <f t="shared" si="524"/>
        <v>0</v>
      </c>
      <c r="F1203" s="1">
        <f t="shared" si="525"/>
        <v>0</v>
      </c>
      <c r="G1203" s="1">
        <f t="shared" si="526"/>
        <v>0</v>
      </c>
      <c r="H1203" s="1">
        <f t="shared" si="513"/>
        <v>0</v>
      </c>
      <c r="I1203" s="10">
        <f t="shared" si="527"/>
        <v>0</v>
      </c>
      <c r="J1203" s="1">
        <f t="shared" si="514"/>
        <v>0</v>
      </c>
      <c r="K1203" s="1">
        <f t="shared" si="515"/>
        <v>0</v>
      </c>
      <c r="L1203" s="1" t="str">
        <f t="shared" si="516"/>
        <v>0</v>
      </c>
      <c r="M1203" s="10">
        <f t="shared" si="517"/>
        <v>0</v>
      </c>
      <c r="N1203" s="1">
        <f t="shared" si="528"/>
        <v>0</v>
      </c>
      <c r="O1203" s="1">
        <f t="shared" si="520"/>
        <v>0</v>
      </c>
      <c r="P1203" s="1">
        <f t="shared" si="518"/>
        <v>0</v>
      </c>
      <c r="Q1203" s="3" t="str">
        <f t="shared" si="519"/>
        <v/>
      </c>
      <c r="T1203" s="13" t="str">
        <f t="shared" si="529"/>
        <v/>
      </c>
      <c r="U1203" s="14" t="str">
        <f t="shared" si="530"/>
        <v/>
      </c>
      <c r="V1203" s="13" t="str">
        <f t="shared" si="531"/>
        <v/>
      </c>
      <c r="W1203" s="13" t="str">
        <f t="shared" si="532"/>
        <v/>
      </c>
      <c r="X1203" s="14" t="str">
        <f t="shared" si="533"/>
        <v/>
      </c>
    </row>
    <row r="1204" spans="2:24" x14ac:dyDescent="0.3">
      <c r="B1204" s="1">
        <f t="shared" si="521"/>
        <v>0</v>
      </c>
      <c r="C1204" s="1">
        <f t="shared" si="522"/>
        <v>0</v>
      </c>
      <c r="D1204" s="10">
        <f t="shared" si="523"/>
        <v>0</v>
      </c>
      <c r="E1204" s="1">
        <f t="shared" si="524"/>
        <v>0</v>
      </c>
      <c r="F1204" s="1">
        <f t="shared" si="525"/>
        <v>0</v>
      </c>
      <c r="G1204" s="1">
        <f t="shared" si="526"/>
        <v>0</v>
      </c>
      <c r="H1204" s="1">
        <f t="shared" si="513"/>
        <v>0</v>
      </c>
      <c r="I1204" s="10">
        <f t="shared" si="527"/>
        <v>0</v>
      </c>
      <c r="J1204" s="1">
        <f t="shared" si="514"/>
        <v>0</v>
      </c>
      <c r="K1204" s="1">
        <f t="shared" si="515"/>
        <v>0</v>
      </c>
      <c r="L1204" s="1" t="str">
        <f t="shared" si="516"/>
        <v>0</v>
      </c>
      <c r="M1204" s="10">
        <f t="shared" si="517"/>
        <v>0</v>
      </c>
      <c r="N1204" s="1">
        <f t="shared" si="528"/>
        <v>0</v>
      </c>
      <c r="O1204" s="1">
        <f t="shared" si="520"/>
        <v>0</v>
      </c>
      <c r="P1204" s="1">
        <f t="shared" si="518"/>
        <v>0</v>
      </c>
      <c r="Q1204" s="3" t="str">
        <f t="shared" si="519"/>
        <v/>
      </c>
      <c r="T1204" s="13" t="str">
        <f t="shared" si="529"/>
        <v/>
      </c>
      <c r="U1204" s="14" t="str">
        <f t="shared" si="530"/>
        <v/>
      </c>
      <c r="V1204" s="13" t="str">
        <f t="shared" si="531"/>
        <v/>
      </c>
      <c r="W1204" s="13" t="str">
        <f t="shared" si="532"/>
        <v/>
      </c>
      <c r="X1204" s="14" t="str">
        <f t="shared" si="533"/>
        <v/>
      </c>
    </row>
    <row r="1205" spans="2:24" x14ac:dyDescent="0.3">
      <c r="B1205" s="1">
        <f t="shared" si="521"/>
        <v>0</v>
      </c>
      <c r="C1205" s="1">
        <f t="shared" si="522"/>
        <v>0</v>
      </c>
      <c r="D1205" s="10">
        <f t="shared" si="523"/>
        <v>0</v>
      </c>
      <c r="E1205" s="1">
        <f t="shared" si="524"/>
        <v>0</v>
      </c>
      <c r="F1205" s="1">
        <f t="shared" si="525"/>
        <v>0</v>
      </c>
      <c r="G1205" s="1">
        <f t="shared" si="526"/>
        <v>0</v>
      </c>
      <c r="H1205" s="1">
        <f t="shared" ref="H1205:H1268" si="534">IF(AND(F1205&gt;0,F1205&lt;G1205),F1205,G1205)</f>
        <v>0</v>
      </c>
      <c r="I1205" s="10">
        <f t="shared" si="527"/>
        <v>0</v>
      </c>
      <c r="J1205" s="1">
        <f t="shared" ref="J1205:J1268" si="535">IF(AND(F1205&gt;0,F1205&lt;G1205),FIND("=",A1205,F1205)+1,0)</f>
        <v>0</v>
      </c>
      <c r="K1205" s="1">
        <f t="shared" ref="K1205:K1268" si="536">IF(J1205&gt;0,MID(A1205,J1205,G1205-J1205),0)</f>
        <v>0</v>
      </c>
      <c r="L1205" s="1" t="str">
        <f t="shared" ref="L1205:L1268" si="537">IFERROR(RIGHT(K1205,LEN(K1205)-FIND("0x",K1205)-1),DEC2HEX(K1205))</f>
        <v>0</v>
      </c>
      <c r="M1205" s="10">
        <f t="shared" ref="M1205:M1268" si="538">HEX2DEC(L1205)</f>
        <v>0</v>
      </c>
      <c r="N1205" s="1">
        <f t="shared" si="528"/>
        <v>0</v>
      </c>
      <c r="O1205" s="1">
        <f t="shared" si="520"/>
        <v>0</v>
      </c>
      <c r="P1205" s="1">
        <f t="shared" ref="P1205:P1268" si="539">IFERROR(FIND("*/",$A1205,N1205+1),0)</f>
        <v>0</v>
      </c>
      <c r="Q1205" s="3" t="str">
        <f t="shared" si="519"/>
        <v/>
      </c>
      <c r="T1205" s="13" t="str">
        <f t="shared" si="529"/>
        <v/>
      </c>
      <c r="U1205" s="14" t="str">
        <f t="shared" si="530"/>
        <v/>
      </c>
      <c r="V1205" s="13" t="str">
        <f t="shared" si="531"/>
        <v/>
      </c>
      <c r="W1205" s="13" t="str">
        <f t="shared" si="532"/>
        <v/>
      </c>
      <c r="X1205" s="14" t="str">
        <f t="shared" si="533"/>
        <v/>
      </c>
    </row>
    <row r="1206" spans="2:24" x14ac:dyDescent="0.3">
      <c r="B1206" s="1">
        <f t="shared" si="521"/>
        <v>0</v>
      </c>
      <c r="C1206" s="1">
        <f t="shared" si="522"/>
        <v>0</v>
      </c>
      <c r="D1206" s="10">
        <f t="shared" si="523"/>
        <v>0</v>
      </c>
      <c r="E1206" s="1">
        <f t="shared" si="524"/>
        <v>0</v>
      </c>
      <c r="F1206" s="1">
        <f t="shared" si="525"/>
        <v>0</v>
      </c>
      <c r="G1206" s="1">
        <f t="shared" si="526"/>
        <v>0</v>
      </c>
      <c r="H1206" s="1">
        <f t="shared" si="534"/>
        <v>0</v>
      </c>
      <c r="I1206" s="10">
        <f t="shared" si="527"/>
        <v>0</v>
      </c>
      <c r="J1206" s="1">
        <f t="shared" si="535"/>
        <v>0</v>
      </c>
      <c r="K1206" s="1">
        <f t="shared" si="536"/>
        <v>0</v>
      </c>
      <c r="L1206" s="1" t="str">
        <f t="shared" si="537"/>
        <v>0</v>
      </c>
      <c r="M1206" s="10">
        <f t="shared" si="538"/>
        <v>0</v>
      </c>
      <c r="N1206" s="1">
        <f t="shared" si="528"/>
        <v>0</v>
      </c>
      <c r="O1206" s="1">
        <f t="shared" si="520"/>
        <v>0</v>
      </c>
      <c r="P1206" s="1">
        <f t="shared" si="539"/>
        <v>0</v>
      </c>
      <c r="Q1206" s="3" t="str">
        <f t="shared" si="519"/>
        <v/>
      </c>
      <c r="T1206" s="13" t="str">
        <f t="shared" si="529"/>
        <v/>
      </c>
      <c r="U1206" s="14" t="str">
        <f t="shared" si="530"/>
        <v/>
      </c>
      <c r="V1206" s="13" t="str">
        <f t="shared" si="531"/>
        <v/>
      </c>
      <c r="W1206" s="13" t="str">
        <f t="shared" si="532"/>
        <v/>
      </c>
      <c r="X1206" s="14" t="str">
        <f t="shared" si="533"/>
        <v/>
      </c>
    </row>
    <row r="1207" spans="2:24" x14ac:dyDescent="0.3">
      <c r="B1207" s="1">
        <f t="shared" si="521"/>
        <v>0</v>
      </c>
      <c r="C1207" s="1">
        <f t="shared" si="522"/>
        <v>0</v>
      </c>
      <c r="D1207" s="10">
        <f t="shared" si="523"/>
        <v>0</v>
      </c>
      <c r="E1207" s="1">
        <f t="shared" si="524"/>
        <v>0</v>
      </c>
      <c r="F1207" s="1">
        <f t="shared" si="525"/>
        <v>0</v>
      </c>
      <c r="G1207" s="1">
        <f t="shared" si="526"/>
        <v>0</v>
      </c>
      <c r="H1207" s="1">
        <f t="shared" si="534"/>
        <v>0</v>
      </c>
      <c r="I1207" s="10">
        <f t="shared" si="527"/>
        <v>0</v>
      </c>
      <c r="J1207" s="1">
        <f t="shared" si="535"/>
        <v>0</v>
      </c>
      <c r="K1207" s="1">
        <f t="shared" si="536"/>
        <v>0</v>
      </c>
      <c r="L1207" s="1" t="str">
        <f t="shared" si="537"/>
        <v>0</v>
      </c>
      <c r="M1207" s="10">
        <f t="shared" si="538"/>
        <v>0</v>
      </c>
      <c r="N1207" s="1">
        <f t="shared" si="528"/>
        <v>0</v>
      </c>
      <c r="O1207" s="1">
        <f t="shared" si="520"/>
        <v>0</v>
      </c>
      <c r="P1207" s="1">
        <f t="shared" si="539"/>
        <v>0</v>
      </c>
      <c r="Q1207" s="3" t="str">
        <f t="shared" si="519"/>
        <v/>
      </c>
      <c r="T1207" s="13" t="str">
        <f t="shared" si="529"/>
        <v/>
      </c>
      <c r="U1207" s="14" t="str">
        <f t="shared" si="530"/>
        <v/>
      </c>
      <c r="V1207" s="13" t="str">
        <f t="shared" si="531"/>
        <v/>
      </c>
      <c r="W1207" s="13" t="str">
        <f t="shared" si="532"/>
        <v/>
      </c>
      <c r="X1207" s="14" t="str">
        <f t="shared" si="533"/>
        <v/>
      </c>
    </row>
    <row r="1208" spans="2:24" x14ac:dyDescent="0.3">
      <c r="B1208" s="1">
        <f t="shared" si="521"/>
        <v>0</v>
      </c>
      <c r="C1208" s="1">
        <f t="shared" si="522"/>
        <v>0</v>
      </c>
      <c r="D1208" s="10">
        <f t="shared" si="523"/>
        <v>0</v>
      </c>
      <c r="E1208" s="1">
        <f t="shared" si="524"/>
        <v>0</v>
      </c>
      <c r="F1208" s="1">
        <f t="shared" si="525"/>
        <v>0</v>
      </c>
      <c r="G1208" s="1">
        <f t="shared" si="526"/>
        <v>0</v>
      </c>
      <c r="H1208" s="1">
        <f t="shared" si="534"/>
        <v>0</v>
      </c>
      <c r="I1208" s="10">
        <f t="shared" si="527"/>
        <v>0</v>
      </c>
      <c r="J1208" s="1">
        <f t="shared" si="535"/>
        <v>0</v>
      </c>
      <c r="K1208" s="1">
        <f t="shared" si="536"/>
        <v>0</v>
      </c>
      <c r="L1208" s="1" t="str">
        <f t="shared" si="537"/>
        <v>0</v>
      </c>
      <c r="M1208" s="10">
        <f t="shared" si="538"/>
        <v>0</v>
      </c>
      <c r="N1208" s="1">
        <f t="shared" si="528"/>
        <v>0</v>
      </c>
      <c r="O1208" s="1">
        <f t="shared" si="520"/>
        <v>0</v>
      </c>
      <c r="P1208" s="1">
        <f t="shared" si="539"/>
        <v>0</v>
      </c>
      <c r="Q1208" s="3" t="str">
        <f t="shared" si="519"/>
        <v/>
      </c>
      <c r="T1208" s="13" t="str">
        <f t="shared" si="529"/>
        <v/>
      </c>
      <c r="U1208" s="14" t="str">
        <f t="shared" si="530"/>
        <v/>
      </c>
      <c r="V1208" s="13" t="str">
        <f t="shared" si="531"/>
        <v/>
      </c>
      <c r="W1208" s="13" t="str">
        <f t="shared" si="532"/>
        <v/>
      </c>
      <c r="X1208" s="14" t="str">
        <f t="shared" si="533"/>
        <v/>
      </c>
    </row>
    <row r="1209" spans="2:24" x14ac:dyDescent="0.3">
      <c r="B1209" s="1">
        <f t="shared" si="521"/>
        <v>0</v>
      </c>
      <c r="C1209" s="1">
        <f t="shared" si="522"/>
        <v>0</v>
      </c>
      <c r="D1209" s="10">
        <f t="shared" si="523"/>
        <v>0</v>
      </c>
      <c r="E1209" s="1">
        <f t="shared" si="524"/>
        <v>0</v>
      </c>
      <c r="F1209" s="1">
        <f t="shared" si="525"/>
        <v>0</v>
      </c>
      <c r="G1209" s="1">
        <f t="shared" si="526"/>
        <v>0</v>
      </c>
      <c r="H1209" s="1">
        <f t="shared" si="534"/>
        <v>0</v>
      </c>
      <c r="I1209" s="10">
        <f t="shared" si="527"/>
        <v>0</v>
      </c>
      <c r="J1209" s="1">
        <f t="shared" si="535"/>
        <v>0</v>
      </c>
      <c r="K1209" s="1">
        <f t="shared" si="536"/>
        <v>0</v>
      </c>
      <c r="L1209" s="1" t="str">
        <f t="shared" si="537"/>
        <v>0</v>
      </c>
      <c r="M1209" s="10">
        <f t="shared" si="538"/>
        <v>0</v>
      </c>
      <c r="N1209" s="1">
        <f t="shared" si="528"/>
        <v>0</v>
      </c>
      <c r="O1209" s="1">
        <f t="shared" si="520"/>
        <v>0</v>
      </c>
      <c r="P1209" s="1">
        <f t="shared" si="539"/>
        <v>0</v>
      </c>
      <c r="Q1209" s="3" t="str">
        <f t="shared" si="519"/>
        <v/>
      </c>
      <c r="T1209" s="13" t="str">
        <f t="shared" si="529"/>
        <v/>
      </c>
      <c r="U1209" s="14" t="str">
        <f t="shared" si="530"/>
        <v/>
      </c>
      <c r="V1209" s="13" t="str">
        <f t="shared" si="531"/>
        <v/>
      </c>
      <c r="W1209" s="13" t="str">
        <f t="shared" si="532"/>
        <v/>
      </c>
      <c r="X1209" s="14" t="str">
        <f t="shared" si="533"/>
        <v/>
      </c>
    </row>
    <row r="1210" spans="2:24" x14ac:dyDescent="0.3">
      <c r="B1210" s="1">
        <f t="shared" si="521"/>
        <v>0</v>
      </c>
      <c r="C1210" s="1">
        <f t="shared" si="522"/>
        <v>0</v>
      </c>
      <c r="D1210" s="10">
        <f t="shared" si="523"/>
        <v>0</v>
      </c>
      <c r="E1210" s="1">
        <f t="shared" si="524"/>
        <v>0</v>
      </c>
      <c r="F1210" s="1">
        <f t="shared" si="525"/>
        <v>0</v>
      </c>
      <c r="G1210" s="1">
        <f t="shared" si="526"/>
        <v>0</v>
      </c>
      <c r="H1210" s="1">
        <f t="shared" si="534"/>
        <v>0</v>
      </c>
      <c r="I1210" s="10">
        <f t="shared" si="527"/>
        <v>0</v>
      </c>
      <c r="J1210" s="1">
        <f t="shared" si="535"/>
        <v>0</v>
      </c>
      <c r="K1210" s="1">
        <f t="shared" si="536"/>
        <v>0</v>
      </c>
      <c r="L1210" s="1" t="str">
        <f t="shared" si="537"/>
        <v>0</v>
      </c>
      <c r="M1210" s="10">
        <f t="shared" si="538"/>
        <v>0</v>
      </c>
      <c r="N1210" s="1">
        <f t="shared" si="528"/>
        <v>0</v>
      </c>
      <c r="O1210" s="1">
        <f t="shared" si="520"/>
        <v>0</v>
      </c>
      <c r="P1210" s="1">
        <f t="shared" si="539"/>
        <v>0</v>
      </c>
      <c r="Q1210" s="3" t="str">
        <f t="shared" si="519"/>
        <v/>
      </c>
      <c r="T1210" s="13" t="str">
        <f t="shared" si="529"/>
        <v/>
      </c>
      <c r="U1210" s="14" t="str">
        <f t="shared" si="530"/>
        <v/>
      </c>
      <c r="V1210" s="13" t="str">
        <f t="shared" si="531"/>
        <v/>
      </c>
      <c r="W1210" s="13" t="str">
        <f t="shared" si="532"/>
        <v/>
      </c>
      <c r="X1210" s="14" t="str">
        <f t="shared" si="533"/>
        <v/>
      </c>
    </row>
    <row r="1211" spans="2:24" x14ac:dyDescent="0.3">
      <c r="B1211" s="1">
        <f t="shared" si="521"/>
        <v>0</v>
      </c>
      <c r="C1211" s="1">
        <f t="shared" si="522"/>
        <v>0</v>
      </c>
      <c r="D1211" s="10">
        <f t="shared" si="523"/>
        <v>0</v>
      </c>
      <c r="E1211" s="1">
        <f t="shared" si="524"/>
        <v>0</v>
      </c>
      <c r="F1211" s="1">
        <f t="shared" si="525"/>
        <v>0</v>
      </c>
      <c r="G1211" s="1">
        <f t="shared" si="526"/>
        <v>0</v>
      </c>
      <c r="H1211" s="1">
        <f t="shared" si="534"/>
        <v>0</v>
      </c>
      <c r="I1211" s="10">
        <f t="shared" si="527"/>
        <v>0</v>
      </c>
      <c r="J1211" s="1">
        <f t="shared" si="535"/>
        <v>0</v>
      </c>
      <c r="K1211" s="1">
        <f t="shared" si="536"/>
        <v>0</v>
      </c>
      <c r="L1211" s="1" t="str">
        <f t="shared" si="537"/>
        <v>0</v>
      </c>
      <c r="M1211" s="10">
        <f t="shared" si="538"/>
        <v>0</v>
      </c>
      <c r="N1211" s="1">
        <f t="shared" si="528"/>
        <v>0</v>
      </c>
      <c r="O1211" s="1">
        <f t="shared" si="520"/>
        <v>0</v>
      </c>
      <c r="P1211" s="1">
        <f t="shared" si="539"/>
        <v>0</v>
      </c>
      <c r="Q1211" s="3" t="str">
        <f t="shared" si="519"/>
        <v/>
      </c>
      <c r="T1211" s="13" t="str">
        <f t="shared" si="529"/>
        <v/>
      </c>
      <c r="U1211" s="14" t="str">
        <f t="shared" si="530"/>
        <v/>
      </c>
      <c r="V1211" s="13" t="str">
        <f t="shared" si="531"/>
        <v/>
      </c>
      <c r="W1211" s="13" t="str">
        <f t="shared" si="532"/>
        <v/>
      </c>
      <c r="X1211" s="14" t="str">
        <f t="shared" si="533"/>
        <v/>
      </c>
    </row>
    <row r="1212" spans="2:24" x14ac:dyDescent="0.3">
      <c r="B1212" s="1">
        <f t="shared" si="521"/>
        <v>0</v>
      </c>
      <c r="C1212" s="1">
        <f t="shared" si="522"/>
        <v>0</v>
      </c>
      <c r="D1212" s="10">
        <f t="shared" si="523"/>
        <v>0</v>
      </c>
      <c r="E1212" s="1">
        <f t="shared" si="524"/>
        <v>0</v>
      </c>
      <c r="F1212" s="1">
        <f t="shared" si="525"/>
        <v>0</v>
      </c>
      <c r="G1212" s="1">
        <f t="shared" si="526"/>
        <v>0</v>
      </c>
      <c r="H1212" s="1">
        <f t="shared" si="534"/>
        <v>0</v>
      </c>
      <c r="I1212" s="10">
        <f t="shared" si="527"/>
        <v>0</v>
      </c>
      <c r="J1212" s="1">
        <f t="shared" si="535"/>
        <v>0</v>
      </c>
      <c r="K1212" s="1">
        <f t="shared" si="536"/>
        <v>0</v>
      </c>
      <c r="L1212" s="1" t="str">
        <f t="shared" si="537"/>
        <v>0</v>
      </c>
      <c r="M1212" s="10">
        <f t="shared" si="538"/>
        <v>0</v>
      </c>
      <c r="N1212" s="1">
        <f t="shared" si="528"/>
        <v>0</v>
      </c>
      <c r="O1212" s="1">
        <f t="shared" si="520"/>
        <v>0</v>
      </c>
      <c r="P1212" s="1">
        <f t="shared" si="539"/>
        <v>0</v>
      </c>
      <c r="Q1212" s="3" t="str">
        <f t="shared" si="519"/>
        <v/>
      </c>
      <c r="T1212" s="13" t="str">
        <f t="shared" si="529"/>
        <v/>
      </c>
      <c r="U1212" s="14" t="str">
        <f t="shared" si="530"/>
        <v/>
      </c>
      <c r="V1212" s="13" t="str">
        <f t="shared" si="531"/>
        <v/>
      </c>
      <c r="W1212" s="13" t="str">
        <f t="shared" si="532"/>
        <v/>
      </c>
      <c r="X1212" s="14" t="str">
        <f t="shared" si="533"/>
        <v/>
      </c>
    </row>
    <row r="1213" spans="2:24" x14ac:dyDescent="0.3">
      <c r="B1213" s="1">
        <f t="shared" si="521"/>
        <v>0</v>
      </c>
      <c r="C1213" s="1">
        <f t="shared" si="522"/>
        <v>0</v>
      </c>
      <c r="D1213" s="10">
        <f t="shared" si="523"/>
        <v>0</v>
      </c>
      <c r="E1213" s="1">
        <f t="shared" si="524"/>
        <v>0</v>
      </c>
      <c r="F1213" s="1">
        <f t="shared" si="525"/>
        <v>0</v>
      </c>
      <c r="G1213" s="1">
        <f t="shared" si="526"/>
        <v>0</v>
      </c>
      <c r="H1213" s="1">
        <f t="shared" si="534"/>
        <v>0</v>
      </c>
      <c r="I1213" s="10">
        <f t="shared" si="527"/>
        <v>0</v>
      </c>
      <c r="J1213" s="1">
        <f t="shared" si="535"/>
        <v>0</v>
      </c>
      <c r="K1213" s="1">
        <f t="shared" si="536"/>
        <v>0</v>
      </c>
      <c r="L1213" s="1" t="str">
        <f t="shared" si="537"/>
        <v>0</v>
      </c>
      <c r="M1213" s="10">
        <f t="shared" si="538"/>
        <v>0</v>
      </c>
      <c r="N1213" s="1">
        <f t="shared" si="528"/>
        <v>0</v>
      </c>
      <c r="O1213" s="1">
        <f t="shared" si="520"/>
        <v>0</v>
      </c>
      <c r="P1213" s="1">
        <f t="shared" si="539"/>
        <v>0</v>
      </c>
      <c r="Q1213" s="3" t="str">
        <f t="shared" si="519"/>
        <v/>
      </c>
      <c r="T1213" s="13" t="str">
        <f t="shared" si="529"/>
        <v/>
      </c>
      <c r="U1213" s="14" t="str">
        <f t="shared" si="530"/>
        <v/>
      </c>
      <c r="V1213" s="13" t="str">
        <f t="shared" si="531"/>
        <v/>
      </c>
      <c r="W1213" s="13" t="str">
        <f t="shared" si="532"/>
        <v/>
      </c>
      <c r="X1213" s="14" t="str">
        <f t="shared" si="533"/>
        <v/>
      </c>
    </row>
    <row r="1214" spans="2:24" x14ac:dyDescent="0.3">
      <c r="B1214" s="1">
        <f t="shared" si="521"/>
        <v>0</v>
      </c>
      <c r="C1214" s="1">
        <f t="shared" si="522"/>
        <v>0</v>
      </c>
      <c r="D1214" s="10">
        <f t="shared" si="523"/>
        <v>0</v>
      </c>
      <c r="E1214" s="1">
        <f t="shared" si="524"/>
        <v>0</v>
      </c>
      <c r="F1214" s="1">
        <f t="shared" si="525"/>
        <v>0</v>
      </c>
      <c r="G1214" s="1">
        <f t="shared" si="526"/>
        <v>0</v>
      </c>
      <c r="H1214" s="1">
        <f t="shared" si="534"/>
        <v>0</v>
      </c>
      <c r="I1214" s="10">
        <f t="shared" si="527"/>
        <v>0</v>
      </c>
      <c r="J1214" s="1">
        <f t="shared" si="535"/>
        <v>0</v>
      </c>
      <c r="K1214" s="1">
        <f t="shared" si="536"/>
        <v>0</v>
      </c>
      <c r="L1214" s="1" t="str">
        <f t="shared" si="537"/>
        <v>0</v>
      </c>
      <c r="M1214" s="10">
        <f t="shared" si="538"/>
        <v>0</v>
      </c>
      <c r="N1214" s="1">
        <f t="shared" si="528"/>
        <v>0</v>
      </c>
      <c r="O1214" s="1">
        <f t="shared" si="520"/>
        <v>0</v>
      </c>
      <c r="P1214" s="1">
        <f t="shared" si="539"/>
        <v>0</v>
      </c>
      <c r="Q1214" s="3" t="str">
        <f t="shared" si="519"/>
        <v/>
      </c>
      <c r="T1214" s="13" t="str">
        <f t="shared" si="529"/>
        <v/>
      </c>
      <c r="U1214" s="14" t="str">
        <f t="shared" si="530"/>
        <v/>
      </c>
      <c r="V1214" s="13" t="str">
        <f t="shared" si="531"/>
        <v/>
      </c>
      <c r="W1214" s="13" t="str">
        <f t="shared" si="532"/>
        <v/>
      </c>
      <c r="X1214" s="14" t="str">
        <f t="shared" si="533"/>
        <v/>
      </c>
    </row>
    <row r="1215" spans="2:24" x14ac:dyDescent="0.3">
      <c r="B1215" s="1">
        <f t="shared" si="521"/>
        <v>0</v>
      </c>
      <c r="C1215" s="1">
        <f t="shared" si="522"/>
        <v>0</v>
      </c>
      <c r="D1215" s="10">
        <f t="shared" si="523"/>
        <v>0</v>
      </c>
      <c r="E1215" s="1">
        <f t="shared" si="524"/>
        <v>0</v>
      </c>
      <c r="F1215" s="1">
        <f t="shared" si="525"/>
        <v>0</v>
      </c>
      <c r="G1215" s="1">
        <f t="shared" si="526"/>
        <v>0</v>
      </c>
      <c r="H1215" s="1">
        <f t="shared" si="534"/>
        <v>0</v>
      </c>
      <c r="I1215" s="10">
        <f t="shared" si="527"/>
        <v>0</v>
      </c>
      <c r="J1215" s="1">
        <f t="shared" si="535"/>
        <v>0</v>
      </c>
      <c r="K1215" s="1">
        <f t="shared" si="536"/>
        <v>0</v>
      </c>
      <c r="L1215" s="1" t="str">
        <f t="shared" si="537"/>
        <v>0</v>
      </c>
      <c r="M1215" s="10">
        <f t="shared" si="538"/>
        <v>0</v>
      </c>
      <c r="N1215" s="1">
        <f t="shared" si="528"/>
        <v>0</v>
      </c>
      <c r="O1215" s="1">
        <f t="shared" si="520"/>
        <v>0</v>
      </c>
      <c r="P1215" s="1">
        <f t="shared" si="539"/>
        <v>0</v>
      </c>
      <c r="Q1215" s="3" t="str">
        <f t="shared" si="519"/>
        <v/>
      </c>
      <c r="T1215" s="13" t="str">
        <f t="shared" si="529"/>
        <v/>
      </c>
      <c r="U1215" s="14" t="str">
        <f t="shared" si="530"/>
        <v/>
      </c>
      <c r="V1215" s="13" t="str">
        <f t="shared" si="531"/>
        <v/>
      </c>
      <c r="W1215" s="13" t="str">
        <f t="shared" si="532"/>
        <v/>
      </c>
      <c r="X1215" s="14" t="str">
        <f t="shared" si="533"/>
        <v/>
      </c>
    </row>
    <row r="1216" spans="2:24" x14ac:dyDescent="0.3">
      <c r="B1216" s="1">
        <f t="shared" si="521"/>
        <v>0</v>
      </c>
      <c r="C1216" s="1">
        <f t="shared" si="522"/>
        <v>0</v>
      </c>
      <c r="D1216" s="10">
        <f t="shared" si="523"/>
        <v>0</v>
      </c>
      <c r="E1216" s="1">
        <f t="shared" si="524"/>
        <v>0</v>
      </c>
      <c r="F1216" s="1">
        <f t="shared" si="525"/>
        <v>0</v>
      </c>
      <c r="G1216" s="1">
        <f t="shared" si="526"/>
        <v>0</v>
      </c>
      <c r="H1216" s="1">
        <f t="shared" si="534"/>
        <v>0</v>
      </c>
      <c r="I1216" s="10">
        <f t="shared" si="527"/>
        <v>0</v>
      </c>
      <c r="J1216" s="1">
        <f t="shared" si="535"/>
        <v>0</v>
      </c>
      <c r="K1216" s="1">
        <f t="shared" si="536"/>
        <v>0</v>
      </c>
      <c r="L1216" s="1" t="str">
        <f t="shared" si="537"/>
        <v>0</v>
      </c>
      <c r="M1216" s="10">
        <f t="shared" si="538"/>
        <v>0</v>
      </c>
      <c r="N1216" s="1">
        <f t="shared" si="528"/>
        <v>0</v>
      </c>
      <c r="O1216" s="1">
        <f t="shared" si="520"/>
        <v>0</v>
      </c>
      <c r="P1216" s="1">
        <f t="shared" si="539"/>
        <v>0</v>
      </c>
      <c r="Q1216" s="3" t="str">
        <f t="shared" si="519"/>
        <v/>
      </c>
      <c r="T1216" s="13" t="str">
        <f t="shared" si="529"/>
        <v/>
      </c>
      <c r="U1216" s="14" t="str">
        <f t="shared" si="530"/>
        <v/>
      </c>
      <c r="V1216" s="13" t="str">
        <f t="shared" si="531"/>
        <v/>
      </c>
      <c r="W1216" s="13" t="str">
        <f t="shared" si="532"/>
        <v/>
      </c>
      <c r="X1216" s="14" t="str">
        <f t="shared" si="533"/>
        <v/>
      </c>
    </row>
    <row r="1217" spans="2:24" x14ac:dyDescent="0.3">
      <c r="B1217" s="1">
        <f t="shared" si="521"/>
        <v>0</v>
      </c>
      <c r="C1217" s="1">
        <f t="shared" si="522"/>
        <v>0</v>
      </c>
      <c r="D1217" s="10">
        <f t="shared" si="523"/>
        <v>0</v>
      </c>
      <c r="E1217" s="1">
        <f t="shared" si="524"/>
        <v>0</v>
      </c>
      <c r="F1217" s="1">
        <f t="shared" si="525"/>
        <v>0</v>
      </c>
      <c r="G1217" s="1">
        <f t="shared" si="526"/>
        <v>0</v>
      </c>
      <c r="H1217" s="1">
        <f t="shared" si="534"/>
        <v>0</v>
      </c>
      <c r="I1217" s="10">
        <f t="shared" si="527"/>
        <v>0</v>
      </c>
      <c r="J1217" s="1">
        <f t="shared" si="535"/>
        <v>0</v>
      </c>
      <c r="K1217" s="1">
        <f t="shared" si="536"/>
        <v>0</v>
      </c>
      <c r="L1217" s="1" t="str">
        <f t="shared" si="537"/>
        <v>0</v>
      </c>
      <c r="M1217" s="10">
        <f t="shared" si="538"/>
        <v>0</v>
      </c>
      <c r="N1217" s="1">
        <f t="shared" si="528"/>
        <v>0</v>
      </c>
      <c r="O1217" s="1">
        <f t="shared" si="520"/>
        <v>0</v>
      </c>
      <c r="P1217" s="1">
        <f t="shared" si="539"/>
        <v>0</v>
      </c>
      <c r="Q1217" s="3" t="str">
        <f t="shared" si="519"/>
        <v/>
      </c>
      <c r="T1217" s="13" t="str">
        <f t="shared" si="529"/>
        <v/>
      </c>
      <c r="U1217" s="14" t="str">
        <f t="shared" si="530"/>
        <v/>
      </c>
      <c r="V1217" s="13" t="str">
        <f t="shared" si="531"/>
        <v/>
      </c>
      <c r="W1217" s="13" t="str">
        <f t="shared" si="532"/>
        <v/>
      </c>
      <c r="X1217" s="14" t="str">
        <f t="shared" si="533"/>
        <v/>
      </c>
    </row>
    <row r="1218" spans="2:24" x14ac:dyDescent="0.3">
      <c r="B1218" s="1">
        <f t="shared" si="521"/>
        <v>0</v>
      </c>
      <c r="C1218" s="1">
        <f t="shared" si="522"/>
        <v>0</v>
      </c>
      <c r="D1218" s="10">
        <f t="shared" si="523"/>
        <v>0</v>
      </c>
      <c r="E1218" s="1">
        <f t="shared" si="524"/>
        <v>0</v>
      </c>
      <c r="F1218" s="1">
        <f t="shared" si="525"/>
        <v>0</v>
      </c>
      <c r="G1218" s="1">
        <f t="shared" si="526"/>
        <v>0</v>
      </c>
      <c r="H1218" s="1">
        <f t="shared" si="534"/>
        <v>0</v>
      </c>
      <c r="I1218" s="10">
        <f t="shared" si="527"/>
        <v>0</v>
      </c>
      <c r="J1218" s="1">
        <f t="shared" si="535"/>
        <v>0</v>
      </c>
      <c r="K1218" s="1">
        <f t="shared" si="536"/>
        <v>0</v>
      </c>
      <c r="L1218" s="1" t="str">
        <f t="shared" si="537"/>
        <v>0</v>
      </c>
      <c r="M1218" s="10">
        <f t="shared" si="538"/>
        <v>0</v>
      </c>
      <c r="N1218" s="1">
        <f t="shared" si="528"/>
        <v>0</v>
      </c>
      <c r="O1218" s="1">
        <f t="shared" si="520"/>
        <v>0</v>
      </c>
      <c r="P1218" s="1">
        <f t="shared" si="539"/>
        <v>0</v>
      </c>
      <c r="Q1218" s="3" t="str">
        <f t="shared" si="519"/>
        <v/>
      </c>
      <c r="T1218" s="13" t="str">
        <f t="shared" si="529"/>
        <v/>
      </c>
      <c r="U1218" s="14" t="str">
        <f t="shared" si="530"/>
        <v/>
      </c>
      <c r="V1218" s="13" t="str">
        <f t="shared" si="531"/>
        <v/>
      </c>
      <c r="W1218" s="13" t="str">
        <f t="shared" si="532"/>
        <v/>
      </c>
      <c r="X1218" s="14" t="str">
        <f t="shared" si="533"/>
        <v/>
      </c>
    </row>
    <row r="1219" spans="2:24" x14ac:dyDescent="0.3">
      <c r="B1219" s="1">
        <f t="shared" si="521"/>
        <v>0</v>
      </c>
      <c r="C1219" s="1">
        <f t="shared" si="522"/>
        <v>0</v>
      </c>
      <c r="D1219" s="10">
        <f t="shared" si="523"/>
        <v>0</v>
      </c>
      <c r="E1219" s="1">
        <f t="shared" si="524"/>
        <v>0</v>
      </c>
      <c r="F1219" s="1">
        <f t="shared" si="525"/>
        <v>0</v>
      </c>
      <c r="G1219" s="1">
        <f t="shared" si="526"/>
        <v>0</v>
      </c>
      <c r="H1219" s="1">
        <f t="shared" si="534"/>
        <v>0</v>
      </c>
      <c r="I1219" s="10">
        <f t="shared" si="527"/>
        <v>0</v>
      </c>
      <c r="J1219" s="1">
        <f t="shared" si="535"/>
        <v>0</v>
      </c>
      <c r="K1219" s="1">
        <f t="shared" si="536"/>
        <v>0</v>
      </c>
      <c r="L1219" s="1" t="str">
        <f t="shared" si="537"/>
        <v>0</v>
      </c>
      <c r="M1219" s="10">
        <f t="shared" si="538"/>
        <v>0</v>
      </c>
      <c r="N1219" s="1">
        <f t="shared" si="528"/>
        <v>0</v>
      </c>
      <c r="O1219" s="1">
        <f t="shared" si="520"/>
        <v>0</v>
      </c>
      <c r="P1219" s="1">
        <f t="shared" si="539"/>
        <v>0</v>
      </c>
      <c r="Q1219" s="3" t="str">
        <f t="shared" si="519"/>
        <v/>
      </c>
      <c r="T1219" s="13" t="str">
        <f t="shared" si="529"/>
        <v/>
      </c>
      <c r="U1219" s="14" t="str">
        <f t="shared" si="530"/>
        <v/>
      </c>
      <c r="V1219" s="13" t="str">
        <f t="shared" si="531"/>
        <v/>
      </c>
      <c r="W1219" s="13" t="str">
        <f t="shared" si="532"/>
        <v/>
      </c>
      <c r="X1219" s="14" t="str">
        <f t="shared" si="533"/>
        <v/>
      </c>
    </row>
    <row r="1220" spans="2:24" x14ac:dyDescent="0.3">
      <c r="B1220" s="1">
        <f t="shared" si="521"/>
        <v>0</v>
      </c>
      <c r="C1220" s="1">
        <f t="shared" si="522"/>
        <v>0</v>
      </c>
      <c r="D1220" s="10">
        <f t="shared" si="523"/>
        <v>0</v>
      </c>
      <c r="E1220" s="1">
        <f t="shared" si="524"/>
        <v>0</v>
      </c>
      <c r="F1220" s="1">
        <f t="shared" si="525"/>
        <v>0</v>
      </c>
      <c r="G1220" s="1">
        <f t="shared" si="526"/>
        <v>0</v>
      </c>
      <c r="H1220" s="1">
        <f t="shared" si="534"/>
        <v>0</v>
      </c>
      <c r="I1220" s="10">
        <f t="shared" si="527"/>
        <v>0</v>
      </c>
      <c r="J1220" s="1">
        <f t="shared" si="535"/>
        <v>0</v>
      </c>
      <c r="K1220" s="1">
        <f t="shared" si="536"/>
        <v>0</v>
      </c>
      <c r="L1220" s="1" t="str">
        <f t="shared" si="537"/>
        <v>0</v>
      </c>
      <c r="M1220" s="10">
        <f t="shared" si="538"/>
        <v>0</v>
      </c>
      <c r="N1220" s="1">
        <f t="shared" si="528"/>
        <v>0</v>
      </c>
      <c r="O1220" s="1">
        <f t="shared" si="520"/>
        <v>0</v>
      </c>
      <c r="P1220" s="1">
        <f t="shared" si="539"/>
        <v>0</v>
      </c>
      <c r="Q1220" s="3" t="str">
        <f t="shared" ref="Q1220:Q1283" si="540">IF($N1220&gt;0,MID($A1220,($N1220+$O1220),$P1220-($N1220+$O1220)),"")</f>
        <v/>
      </c>
      <c r="T1220" s="13" t="str">
        <f t="shared" si="529"/>
        <v/>
      </c>
      <c r="U1220" s="14" t="str">
        <f t="shared" si="530"/>
        <v/>
      </c>
      <c r="V1220" s="13" t="str">
        <f t="shared" si="531"/>
        <v/>
      </c>
      <c r="W1220" s="13" t="str">
        <f t="shared" si="532"/>
        <v/>
      </c>
      <c r="X1220" s="14" t="str">
        <f t="shared" si="533"/>
        <v/>
      </c>
    </row>
    <row r="1221" spans="2:24" x14ac:dyDescent="0.3">
      <c r="B1221" s="1">
        <f t="shared" si="521"/>
        <v>0</v>
      </c>
      <c r="C1221" s="1">
        <f t="shared" si="522"/>
        <v>0</v>
      </c>
      <c r="D1221" s="10">
        <f t="shared" si="523"/>
        <v>0</v>
      </c>
      <c r="E1221" s="1">
        <f t="shared" si="524"/>
        <v>0</v>
      </c>
      <c r="F1221" s="1">
        <f t="shared" si="525"/>
        <v>0</v>
      </c>
      <c r="G1221" s="1">
        <f t="shared" si="526"/>
        <v>0</v>
      </c>
      <c r="H1221" s="1">
        <f t="shared" si="534"/>
        <v>0</v>
      </c>
      <c r="I1221" s="10">
        <f t="shared" si="527"/>
        <v>0</v>
      </c>
      <c r="J1221" s="1">
        <f t="shared" si="535"/>
        <v>0</v>
      </c>
      <c r="K1221" s="1">
        <f t="shared" si="536"/>
        <v>0</v>
      </c>
      <c r="L1221" s="1" t="str">
        <f t="shared" si="537"/>
        <v>0</v>
      </c>
      <c r="M1221" s="10">
        <f t="shared" si="538"/>
        <v>0</v>
      </c>
      <c r="N1221" s="1">
        <f t="shared" si="528"/>
        <v>0</v>
      </c>
      <c r="O1221" s="1">
        <f t="shared" ref="O1221:O1284" si="541">IFERROR(FIND("#",$A1221)+1-N1221,0)</f>
        <v>0</v>
      </c>
      <c r="P1221" s="1">
        <f t="shared" si="539"/>
        <v>0</v>
      </c>
      <c r="Q1221" s="3" t="str">
        <f t="shared" si="540"/>
        <v/>
      </c>
      <c r="T1221" s="13" t="str">
        <f t="shared" si="529"/>
        <v/>
      </c>
      <c r="U1221" s="14" t="str">
        <f t="shared" si="530"/>
        <v/>
      </c>
      <c r="V1221" s="13" t="str">
        <f t="shared" si="531"/>
        <v/>
      </c>
      <c r="W1221" s="13" t="str">
        <f t="shared" si="532"/>
        <v/>
      </c>
      <c r="X1221" s="14" t="str">
        <f t="shared" si="533"/>
        <v/>
      </c>
    </row>
    <row r="1222" spans="2:24" x14ac:dyDescent="0.3">
      <c r="B1222" s="1">
        <f t="shared" si="521"/>
        <v>0</v>
      </c>
      <c r="C1222" s="1">
        <f t="shared" si="522"/>
        <v>0</v>
      </c>
      <c r="D1222" s="10">
        <f t="shared" si="523"/>
        <v>0</v>
      </c>
      <c r="E1222" s="1">
        <f t="shared" si="524"/>
        <v>0</v>
      </c>
      <c r="F1222" s="1">
        <f t="shared" si="525"/>
        <v>0</v>
      </c>
      <c r="G1222" s="1">
        <f t="shared" si="526"/>
        <v>0</v>
      </c>
      <c r="H1222" s="1">
        <f t="shared" si="534"/>
        <v>0</v>
      </c>
      <c r="I1222" s="10">
        <f t="shared" si="527"/>
        <v>0</v>
      </c>
      <c r="J1222" s="1">
        <f t="shared" si="535"/>
        <v>0</v>
      </c>
      <c r="K1222" s="1">
        <f t="shared" si="536"/>
        <v>0</v>
      </c>
      <c r="L1222" s="1" t="str">
        <f t="shared" si="537"/>
        <v>0</v>
      </c>
      <c r="M1222" s="10">
        <f t="shared" si="538"/>
        <v>0</v>
      </c>
      <c r="N1222" s="1">
        <f t="shared" si="528"/>
        <v>0</v>
      </c>
      <c r="O1222" s="1">
        <f t="shared" si="541"/>
        <v>0</v>
      </c>
      <c r="P1222" s="1">
        <f t="shared" si="539"/>
        <v>0</v>
      </c>
      <c r="Q1222" s="3" t="str">
        <f t="shared" si="540"/>
        <v/>
      </c>
      <c r="T1222" s="13" t="str">
        <f t="shared" si="529"/>
        <v/>
      </c>
      <c r="U1222" s="14" t="str">
        <f t="shared" si="530"/>
        <v/>
      </c>
      <c r="V1222" s="13" t="str">
        <f t="shared" si="531"/>
        <v/>
      </c>
      <c r="W1222" s="13" t="str">
        <f t="shared" si="532"/>
        <v/>
      </c>
      <c r="X1222" s="14" t="str">
        <f t="shared" si="533"/>
        <v/>
      </c>
    </row>
    <row r="1223" spans="2:24" x14ac:dyDescent="0.3">
      <c r="B1223" s="1">
        <f t="shared" ref="B1223:B1286" si="542">IFERROR(FIND("UP_SET(",$A1223)+7,0)</f>
        <v>0</v>
      </c>
      <c r="C1223" s="1">
        <f t="shared" ref="C1223:C1286" si="543">IF($B1223&gt;0,FIND(",",$A1223,$B1223),0)</f>
        <v>0</v>
      </c>
      <c r="D1223" s="10">
        <f t="shared" ref="D1223:D1286" si="544">IF($B1223&gt;0,MID($A1223,$B1223,$C1223-$B1223),0)</f>
        <v>0</v>
      </c>
      <c r="E1223" s="1">
        <f t="shared" ref="E1223:E1286" si="545">IF($B1223&gt;0,FIND("Up",$A1223,$C1223),0)</f>
        <v>0</v>
      </c>
      <c r="F1223" s="1">
        <f t="shared" ref="F1223:F1286" si="546">IF($B1223&gt;0,IFERROR(FIND(",",$A1223,$E1223),0),0)</f>
        <v>0</v>
      </c>
      <c r="G1223" s="1">
        <f t="shared" ref="G1223:G1286" si="547">IF($B1223&gt;0,FIND(")",$A1223,$B1223),0)</f>
        <v>0</v>
      </c>
      <c r="H1223" s="1">
        <f t="shared" si="534"/>
        <v>0</v>
      </c>
      <c r="I1223" s="10">
        <f t="shared" ref="I1223:I1286" si="548">IF($B1223&gt;0,MID($A1223,$E1223,$H1223-$E1223),0)</f>
        <v>0</v>
      </c>
      <c r="J1223" s="1">
        <f t="shared" si="535"/>
        <v>0</v>
      </c>
      <c r="K1223" s="1">
        <f t="shared" si="536"/>
        <v>0</v>
      </c>
      <c r="L1223" s="1" t="str">
        <f t="shared" si="537"/>
        <v>0</v>
      </c>
      <c r="M1223" s="10">
        <f t="shared" si="538"/>
        <v>0</v>
      </c>
      <c r="N1223" s="1">
        <f t="shared" ref="N1223:N1286" si="549">IFERROR(FIND("/*",$A1223)+2,0)</f>
        <v>0</v>
      </c>
      <c r="O1223" s="1">
        <f t="shared" si="541"/>
        <v>0</v>
      </c>
      <c r="P1223" s="1">
        <f t="shared" si="539"/>
        <v>0</v>
      </c>
      <c r="Q1223" s="3" t="str">
        <f t="shared" si="540"/>
        <v/>
      </c>
      <c r="T1223" s="13" t="str">
        <f t="shared" si="529"/>
        <v/>
      </c>
      <c r="U1223" s="14" t="str">
        <f t="shared" si="530"/>
        <v/>
      </c>
      <c r="V1223" s="13" t="str">
        <f t="shared" si="531"/>
        <v/>
      </c>
      <c r="W1223" s="13" t="str">
        <f t="shared" si="532"/>
        <v/>
      </c>
      <c r="X1223" s="14" t="str">
        <f t="shared" si="533"/>
        <v/>
      </c>
    </row>
    <row r="1224" spans="2:24" x14ac:dyDescent="0.3">
      <c r="B1224" s="1">
        <f t="shared" si="542"/>
        <v>0</v>
      </c>
      <c r="C1224" s="1">
        <f t="shared" si="543"/>
        <v>0</v>
      </c>
      <c r="D1224" s="10">
        <f t="shared" si="544"/>
        <v>0</v>
      </c>
      <c r="E1224" s="1">
        <f t="shared" si="545"/>
        <v>0</v>
      </c>
      <c r="F1224" s="1">
        <f t="shared" si="546"/>
        <v>0</v>
      </c>
      <c r="G1224" s="1">
        <f t="shared" si="547"/>
        <v>0</v>
      </c>
      <c r="H1224" s="1">
        <f t="shared" si="534"/>
        <v>0</v>
      </c>
      <c r="I1224" s="10">
        <f t="shared" si="548"/>
        <v>0</v>
      </c>
      <c r="J1224" s="1">
        <f t="shared" si="535"/>
        <v>0</v>
      </c>
      <c r="K1224" s="1">
        <f t="shared" si="536"/>
        <v>0</v>
      </c>
      <c r="L1224" s="1" t="str">
        <f t="shared" si="537"/>
        <v>0</v>
      </c>
      <c r="M1224" s="10">
        <f t="shared" si="538"/>
        <v>0</v>
      </c>
      <c r="N1224" s="1">
        <f t="shared" si="549"/>
        <v>0</v>
      </c>
      <c r="O1224" s="1">
        <f t="shared" si="541"/>
        <v>0</v>
      </c>
      <c r="P1224" s="1">
        <f t="shared" si="539"/>
        <v>0</v>
      </c>
      <c r="Q1224" s="3" t="str">
        <f t="shared" si="540"/>
        <v/>
      </c>
      <c r="T1224" s="13" t="str">
        <f t="shared" si="529"/>
        <v/>
      </c>
      <c r="U1224" s="14" t="str">
        <f t="shared" si="530"/>
        <v/>
      </c>
      <c r="V1224" s="13" t="str">
        <f t="shared" si="531"/>
        <v/>
      </c>
      <c r="W1224" s="13" t="str">
        <f t="shared" si="532"/>
        <v/>
      </c>
      <c r="X1224" s="14" t="str">
        <f t="shared" si="533"/>
        <v/>
      </c>
    </row>
    <row r="1225" spans="2:24" x14ac:dyDescent="0.3">
      <c r="B1225" s="1">
        <f t="shared" si="542"/>
        <v>0</v>
      </c>
      <c r="C1225" s="1">
        <f t="shared" si="543"/>
        <v>0</v>
      </c>
      <c r="D1225" s="10">
        <f t="shared" si="544"/>
        <v>0</v>
      </c>
      <c r="E1225" s="1">
        <f t="shared" si="545"/>
        <v>0</v>
      </c>
      <c r="F1225" s="1">
        <f t="shared" si="546"/>
        <v>0</v>
      </c>
      <c r="G1225" s="1">
        <f t="shared" si="547"/>
        <v>0</v>
      </c>
      <c r="H1225" s="1">
        <f t="shared" si="534"/>
        <v>0</v>
      </c>
      <c r="I1225" s="10">
        <f t="shared" si="548"/>
        <v>0</v>
      </c>
      <c r="J1225" s="1">
        <f t="shared" si="535"/>
        <v>0</v>
      </c>
      <c r="K1225" s="1">
        <f t="shared" si="536"/>
        <v>0</v>
      </c>
      <c r="L1225" s="1" t="str">
        <f t="shared" si="537"/>
        <v>0</v>
      </c>
      <c r="M1225" s="10">
        <f t="shared" si="538"/>
        <v>0</v>
      </c>
      <c r="N1225" s="1">
        <f t="shared" si="549"/>
        <v>0</v>
      </c>
      <c r="O1225" s="1">
        <f t="shared" si="541"/>
        <v>0</v>
      </c>
      <c r="P1225" s="1">
        <f t="shared" si="539"/>
        <v>0</v>
      </c>
      <c r="Q1225" s="3" t="str">
        <f t="shared" si="540"/>
        <v/>
      </c>
      <c r="T1225" s="13" t="str">
        <f t="shared" si="529"/>
        <v/>
      </c>
      <c r="U1225" s="14" t="str">
        <f t="shared" si="530"/>
        <v/>
      </c>
      <c r="V1225" s="13" t="str">
        <f t="shared" si="531"/>
        <v/>
      </c>
      <c r="W1225" s="13" t="str">
        <f t="shared" si="532"/>
        <v/>
      </c>
      <c r="X1225" s="14" t="str">
        <f t="shared" si="533"/>
        <v/>
      </c>
    </row>
    <row r="1226" spans="2:24" x14ac:dyDescent="0.3">
      <c r="B1226" s="1">
        <f t="shared" si="542"/>
        <v>0</v>
      </c>
      <c r="C1226" s="1">
        <f t="shared" si="543"/>
        <v>0</v>
      </c>
      <c r="D1226" s="10">
        <f t="shared" si="544"/>
        <v>0</v>
      </c>
      <c r="E1226" s="1">
        <f t="shared" si="545"/>
        <v>0</v>
      </c>
      <c r="F1226" s="1">
        <f t="shared" si="546"/>
        <v>0</v>
      </c>
      <c r="G1226" s="1">
        <f t="shared" si="547"/>
        <v>0</v>
      </c>
      <c r="H1226" s="1">
        <f t="shared" si="534"/>
        <v>0</v>
      </c>
      <c r="I1226" s="10">
        <f t="shared" si="548"/>
        <v>0</v>
      </c>
      <c r="J1226" s="1">
        <f t="shared" si="535"/>
        <v>0</v>
      </c>
      <c r="K1226" s="1">
        <f t="shared" si="536"/>
        <v>0</v>
      </c>
      <c r="L1226" s="1" t="str">
        <f t="shared" si="537"/>
        <v>0</v>
      </c>
      <c r="M1226" s="10">
        <f t="shared" si="538"/>
        <v>0</v>
      </c>
      <c r="N1226" s="1">
        <f t="shared" si="549"/>
        <v>0</v>
      </c>
      <c r="O1226" s="1">
        <f t="shared" si="541"/>
        <v>0</v>
      </c>
      <c r="P1226" s="1">
        <f t="shared" si="539"/>
        <v>0</v>
      </c>
      <c r="Q1226" s="3" t="str">
        <f t="shared" si="540"/>
        <v/>
      </c>
      <c r="T1226" s="13" t="str">
        <f t="shared" si="529"/>
        <v/>
      </c>
      <c r="U1226" s="14" t="str">
        <f t="shared" si="530"/>
        <v/>
      </c>
      <c r="V1226" s="13" t="str">
        <f t="shared" si="531"/>
        <v/>
      </c>
      <c r="W1226" s="13" t="str">
        <f t="shared" si="532"/>
        <v/>
      </c>
      <c r="X1226" s="14" t="str">
        <f t="shared" si="533"/>
        <v/>
      </c>
    </row>
    <row r="1227" spans="2:24" x14ac:dyDescent="0.3">
      <c r="B1227" s="1">
        <f t="shared" si="542"/>
        <v>0</v>
      </c>
      <c r="C1227" s="1">
        <f t="shared" si="543"/>
        <v>0</v>
      </c>
      <c r="D1227" s="10">
        <f t="shared" si="544"/>
        <v>0</v>
      </c>
      <c r="E1227" s="1">
        <f t="shared" si="545"/>
        <v>0</v>
      </c>
      <c r="F1227" s="1">
        <f t="shared" si="546"/>
        <v>0</v>
      </c>
      <c r="G1227" s="1">
        <f t="shared" si="547"/>
        <v>0</v>
      </c>
      <c r="H1227" s="1">
        <f t="shared" si="534"/>
        <v>0</v>
      </c>
      <c r="I1227" s="10">
        <f t="shared" si="548"/>
        <v>0</v>
      </c>
      <c r="J1227" s="1">
        <f t="shared" si="535"/>
        <v>0</v>
      </c>
      <c r="K1227" s="1">
        <f t="shared" si="536"/>
        <v>0</v>
      </c>
      <c r="L1227" s="1" t="str">
        <f t="shared" si="537"/>
        <v>0</v>
      </c>
      <c r="M1227" s="10">
        <f t="shared" si="538"/>
        <v>0</v>
      </c>
      <c r="N1227" s="1">
        <f t="shared" si="549"/>
        <v>0</v>
      </c>
      <c r="O1227" s="1">
        <f t="shared" si="541"/>
        <v>0</v>
      </c>
      <c r="P1227" s="1">
        <f t="shared" si="539"/>
        <v>0</v>
      </c>
      <c r="Q1227" s="3" t="str">
        <f t="shared" si="540"/>
        <v/>
      </c>
      <c r="T1227" s="13" t="str">
        <f t="shared" si="529"/>
        <v/>
      </c>
      <c r="U1227" s="14" t="str">
        <f t="shared" si="530"/>
        <v/>
      </c>
      <c r="V1227" s="13" t="str">
        <f t="shared" si="531"/>
        <v/>
      </c>
      <c r="W1227" s="13" t="str">
        <f t="shared" si="532"/>
        <v/>
      </c>
      <c r="X1227" s="14" t="str">
        <f t="shared" si="533"/>
        <v/>
      </c>
    </row>
    <row r="1228" spans="2:24" x14ac:dyDescent="0.3">
      <c r="B1228" s="1">
        <f t="shared" si="542"/>
        <v>0</v>
      </c>
      <c r="C1228" s="1">
        <f t="shared" si="543"/>
        <v>0</v>
      </c>
      <c r="D1228" s="10">
        <f t="shared" si="544"/>
        <v>0</v>
      </c>
      <c r="E1228" s="1">
        <f t="shared" si="545"/>
        <v>0</v>
      </c>
      <c r="F1228" s="1">
        <f t="shared" si="546"/>
        <v>0</v>
      </c>
      <c r="G1228" s="1">
        <f t="shared" si="547"/>
        <v>0</v>
      </c>
      <c r="H1228" s="1">
        <f t="shared" si="534"/>
        <v>0</v>
      </c>
      <c r="I1228" s="10">
        <f t="shared" si="548"/>
        <v>0</v>
      </c>
      <c r="J1228" s="1">
        <f t="shared" si="535"/>
        <v>0</v>
      </c>
      <c r="K1228" s="1">
        <f t="shared" si="536"/>
        <v>0</v>
      </c>
      <c r="L1228" s="1" t="str">
        <f t="shared" si="537"/>
        <v>0</v>
      </c>
      <c r="M1228" s="10">
        <f t="shared" si="538"/>
        <v>0</v>
      </c>
      <c r="N1228" s="1">
        <f t="shared" si="549"/>
        <v>0</v>
      </c>
      <c r="O1228" s="1">
        <f t="shared" si="541"/>
        <v>0</v>
      </c>
      <c r="P1228" s="1">
        <f t="shared" si="539"/>
        <v>0</v>
      </c>
      <c r="Q1228" s="3" t="str">
        <f t="shared" si="540"/>
        <v/>
      </c>
      <c r="T1228" s="13" t="str">
        <f t="shared" si="529"/>
        <v/>
      </c>
      <c r="U1228" s="14" t="str">
        <f t="shared" si="530"/>
        <v/>
      </c>
      <c r="V1228" s="13" t="str">
        <f t="shared" si="531"/>
        <v/>
      </c>
      <c r="W1228" s="13" t="str">
        <f t="shared" si="532"/>
        <v/>
      </c>
      <c r="X1228" s="14" t="str">
        <f t="shared" si="533"/>
        <v/>
      </c>
    </row>
    <row r="1229" spans="2:24" x14ac:dyDescent="0.3">
      <c r="B1229" s="1">
        <f t="shared" si="542"/>
        <v>0</v>
      </c>
      <c r="C1229" s="1">
        <f t="shared" si="543"/>
        <v>0</v>
      </c>
      <c r="D1229" s="10">
        <f t="shared" si="544"/>
        <v>0</v>
      </c>
      <c r="E1229" s="1">
        <f t="shared" si="545"/>
        <v>0</v>
      </c>
      <c r="F1229" s="1">
        <f t="shared" si="546"/>
        <v>0</v>
      </c>
      <c r="G1229" s="1">
        <f t="shared" si="547"/>
        <v>0</v>
      </c>
      <c r="H1229" s="1">
        <f t="shared" si="534"/>
        <v>0</v>
      </c>
      <c r="I1229" s="10">
        <f t="shared" si="548"/>
        <v>0</v>
      </c>
      <c r="J1229" s="1">
        <f t="shared" si="535"/>
        <v>0</v>
      </c>
      <c r="K1229" s="1">
        <f t="shared" si="536"/>
        <v>0</v>
      </c>
      <c r="L1229" s="1" t="str">
        <f t="shared" si="537"/>
        <v>0</v>
      </c>
      <c r="M1229" s="10">
        <f t="shared" si="538"/>
        <v>0</v>
      </c>
      <c r="N1229" s="1">
        <f t="shared" si="549"/>
        <v>0</v>
      </c>
      <c r="O1229" s="1">
        <f t="shared" si="541"/>
        <v>0</v>
      </c>
      <c r="P1229" s="1">
        <f t="shared" si="539"/>
        <v>0</v>
      </c>
      <c r="Q1229" s="3" t="str">
        <f t="shared" si="540"/>
        <v/>
      </c>
      <c r="T1229" s="13" t="str">
        <f t="shared" si="529"/>
        <v/>
      </c>
      <c r="U1229" s="14" t="str">
        <f t="shared" si="530"/>
        <v/>
      </c>
      <c r="V1229" s="13" t="str">
        <f t="shared" si="531"/>
        <v/>
      </c>
      <c r="W1229" s="13" t="str">
        <f t="shared" si="532"/>
        <v/>
      </c>
      <c r="X1229" s="14" t="str">
        <f t="shared" si="533"/>
        <v/>
      </c>
    </row>
    <row r="1230" spans="2:24" x14ac:dyDescent="0.3">
      <c r="B1230" s="1">
        <f t="shared" si="542"/>
        <v>0</v>
      </c>
      <c r="C1230" s="1">
        <f t="shared" si="543"/>
        <v>0</v>
      </c>
      <c r="D1230" s="10">
        <f t="shared" si="544"/>
        <v>0</v>
      </c>
      <c r="E1230" s="1">
        <f t="shared" si="545"/>
        <v>0</v>
      </c>
      <c r="F1230" s="1">
        <f t="shared" si="546"/>
        <v>0</v>
      </c>
      <c r="G1230" s="1">
        <f t="shared" si="547"/>
        <v>0</v>
      </c>
      <c r="H1230" s="1">
        <f t="shared" si="534"/>
        <v>0</v>
      </c>
      <c r="I1230" s="10">
        <f t="shared" si="548"/>
        <v>0</v>
      </c>
      <c r="J1230" s="1">
        <f t="shared" si="535"/>
        <v>0</v>
      </c>
      <c r="K1230" s="1">
        <f t="shared" si="536"/>
        <v>0</v>
      </c>
      <c r="L1230" s="1" t="str">
        <f t="shared" si="537"/>
        <v>0</v>
      </c>
      <c r="M1230" s="10">
        <f t="shared" si="538"/>
        <v>0</v>
      </c>
      <c r="N1230" s="1">
        <f t="shared" si="549"/>
        <v>0</v>
      </c>
      <c r="O1230" s="1">
        <f t="shared" si="541"/>
        <v>0</v>
      </c>
      <c r="P1230" s="1">
        <f t="shared" si="539"/>
        <v>0</v>
      </c>
      <c r="Q1230" s="3" t="str">
        <f t="shared" si="540"/>
        <v/>
      </c>
      <c r="T1230" s="13" t="str">
        <f t="shared" si="529"/>
        <v/>
      </c>
      <c r="U1230" s="14" t="str">
        <f t="shared" si="530"/>
        <v/>
      </c>
      <c r="V1230" s="13" t="str">
        <f t="shared" si="531"/>
        <v/>
      </c>
      <c r="W1230" s="13" t="str">
        <f t="shared" si="532"/>
        <v/>
      </c>
      <c r="X1230" s="14" t="str">
        <f t="shared" si="533"/>
        <v/>
      </c>
    </row>
    <row r="1231" spans="2:24" x14ac:dyDescent="0.3">
      <c r="B1231" s="1">
        <f t="shared" si="542"/>
        <v>0</v>
      </c>
      <c r="C1231" s="1">
        <f t="shared" si="543"/>
        <v>0</v>
      </c>
      <c r="D1231" s="10">
        <f t="shared" si="544"/>
        <v>0</v>
      </c>
      <c r="E1231" s="1">
        <f t="shared" si="545"/>
        <v>0</v>
      </c>
      <c r="F1231" s="1">
        <f t="shared" si="546"/>
        <v>0</v>
      </c>
      <c r="G1231" s="1">
        <f t="shared" si="547"/>
        <v>0</v>
      </c>
      <c r="H1231" s="1">
        <f t="shared" si="534"/>
        <v>0</v>
      </c>
      <c r="I1231" s="10">
        <f t="shared" si="548"/>
        <v>0</v>
      </c>
      <c r="J1231" s="1">
        <f t="shared" si="535"/>
        <v>0</v>
      </c>
      <c r="K1231" s="1">
        <f t="shared" si="536"/>
        <v>0</v>
      </c>
      <c r="L1231" s="1" t="str">
        <f t="shared" si="537"/>
        <v>0</v>
      </c>
      <c r="M1231" s="10">
        <f t="shared" si="538"/>
        <v>0</v>
      </c>
      <c r="N1231" s="1">
        <f t="shared" si="549"/>
        <v>0</v>
      </c>
      <c r="O1231" s="1">
        <f t="shared" si="541"/>
        <v>0</v>
      </c>
      <c r="P1231" s="1">
        <f t="shared" si="539"/>
        <v>0</v>
      </c>
      <c r="Q1231" s="3" t="str">
        <f t="shared" si="540"/>
        <v/>
      </c>
      <c r="T1231" s="13" t="str">
        <f t="shared" si="529"/>
        <v/>
      </c>
      <c r="U1231" s="14" t="str">
        <f t="shared" si="530"/>
        <v/>
      </c>
      <c r="V1231" s="13" t="str">
        <f t="shared" si="531"/>
        <v/>
      </c>
      <c r="W1231" s="13" t="str">
        <f t="shared" si="532"/>
        <v/>
      </c>
      <c r="X1231" s="14" t="str">
        <f t="shared" si="533"/>
        <v/>
      </c>
    </row>
    <row r="1232" spans="2:24" x14ac:dyDescent="0.3">
      <c r="B1232" s="1">
        <f t="shared" si="542"/>
        <v>0</v>
      </c>
      <c r="C1232" s="1">
        <f t="shared" si="543"/>
        <v>0</v>
      </c>
      <c r="D1232" s="10">
        <f t="shared" si="544"/>
        <v>0</v>
      </c>
      <c r="E1232" s="1">
        <f t="shared" si="545"/>
        <v>0</v>
      </c>
      <c r="F1232" s="1">
        <f t="shared" si="546"/>
        <v>0</v>
      </c>
      <c r="G1232" s="1">
        <f t="shared" si="547"/>
        <v>0</v>
      </c>
      <c r="H1232" s="1">
        <f t="shared" si="534"/>
        <v>0</v>
      </c>
      <c r="I1232" s="10">
        <f t="shared" si="548"/>
        <v>0</v>
      </c>
      <c r="J1232" s="1">
        <f t="shared" si="535"/>
        <v>0</v>
      </c>
      <c r="K1232" s="1">
        <f t="shared" si="536"/>
        <v>0</v>
      </c>
      <c r="L1232" s="1" t="str">
        <f t="shared" si="537"/>
        <v>0</v>
      </c>
      <c r="M1232" s="10">
        <f t="shared" si="538"/>
        <v>0</v>
      </c>
      <c r="N1232" s="1">
        <f t="shared" si="549"/>
        <v>0</v>
      </c>
      <c r="O1232" s="1">
        <f t="shared" si="541"/>
        <v>0</v>
      </c>
      <c r="P1232" s="1">
        <f t="shared" si="539"/>
        <v>0</v>
      </c>
      <c r="Q1232" s="3" t="str">
        <f t="shared" si="540"/>
        <v/>
      </c>
      <c r="T1232" s="13" t="str">
        <f t="shared" si="529"/>
        <v/>
      </c>
      <c r="U1232" s="14" t="str">
        <f t="shared" si="530"/>
        <v/>
      </c>
      <c r="V1232" s="13" t="str">
        <f t="shared" si="531"/>
        <v/>
      </c>
      <c r="W1232" s="13" t="str">
        <f t="shared" si="532"/>
        <v/>
      </c>
      <c r="X1232" s="14" t="str">
        <f t="shared" si="533"/>
        <v/>
      </c>
    </row>
    <row r="1233" spans="2:24" x14ac:dyDescent="0.3">
      <c r="B1233" s="1">
        <f t="shared" si="542"/>
        <v>0</v>
      </c>
      <c r="C1233" s="1">
        <f t="shared" si="543"/>
        <v>0</v>
      </c>
      <c r="D1233" s="10">
        <f t="shared" si="544"/>
        <v>0</v>
      </c>
      <c r="E1233" s="1">
        <f t="shared" si="545"/>
        <v>0</v>
      </c>
      <c r="F1233" s="1">
        <f t="shared" si="546"/>
        <v>0</v>
      </c>
      <c r="G1233" s="1">
        <f t="shared" si="547"/>
        <v>0</v>
      </c>
      <c r="H1233" s="1">
        <f t="shared" si="534"/>
        <v>0</v>
      </c>
      <c r="I1233" s="10">
        <f t="shared" si="548"/>
        <v>0</v>
      </c>
      <c r="J1233" s="1">
        <f t="shared" si="535"/>
        <v>0</v>
      </c>
      <c r="K1233" s="1">
        <f t="shared" si="536"/>
        <v>0</v>
      </c>
      <c r="L1233" s="1" t="str">
        <f t="shared" si="537"/>
        <v>0</v>
      </c>
      <c r="M1233" s="10">
        <f t="shared" si="538"/>
        <v>0</v>
      </c>
      <c r="N1233" s="1">
        <f t="shared" si="549"/>
        <v>0</v>
      </c>
      <c r="O1233" s="1">
        <f t="shared" si="541"/>
        <v>0</v>
      </c>
      <c r="P1233" s="1">
        <f t="shared" si="539"/>
        <v>0</v>
      </c>
      <c r="Q1233" s="3" t="str">
        <f t="shared" si="540"/>
        <v/>
      </c>
      <c r="T1233" s="13" t="str">
        <f t="shared" si="529"/>
        <v/>
      </c>
      <c r="U1233" s="14" t="str">
        <f t="shared" si="530"/>
        <v/>
      </c>
      <c r="V1233" s="13" t="str">
        <f t="shared" si="531"/>
        <v/>
      </c>
      <c r="W1233" s="13" t="str">
        <f t="shared" si="532"/>
        <v/>
      </c>
      <c r="X1233" s="14" t="str">
        <f t="shared" si="533"/>
        <v/>
      </c>
    </row>
    <row r="1234" spans="2:24" x14ac:dyDescent="0.3">
      <c r="B1234" s="1">
        <f t="shared" si="542"/>
        <v>0</v>
      </c>
      <c r="C1234" s="1">
        <f t="shared" si="543"/>
        <v>0</v>
      </c>
      <c r="D1234" s="10">
        <f t="shared" si="544"/>
        <v>0</v>
      </c>
      <c r="E1234" s="1">
        <f t="shared" si="545"/>
        <v>0</v>
      </c>
      <c r="F1234" s="1">
        <f t="shared" si="546"/>
        <v>0</v>
      </c>
      <c r="G1234" s="1">
        <f t="shared" si="547"/>
        <v>0</v>
      </c>
      <c r="H1234" s="1">
        <f t="shared" si="534"/>
        <v>0</v>
      </c>
      <c r="I1234" s="10">
        <f t="shared" si="548"/>
        <v>0</v>
      </c>
      <c r="J1234" s="1">
        <f t="shared" si="535"/>
        <v>0</v>
      </c>
      <c r="K1234" s="1">
        <f t="shared" si="536"/>
        <v>0</v>
      </c>
      <c r="L1234" s="1" t="str">
        <f t="shared" si="537"/>
        <v>0</v>
      </c>
      <c r="M1234" s="10">
        <f t="shared" si="538"/>
        <v>0</v>
      </c>
      <c r="N1234" s="1">
        <f t="shared" si="549"/>
        <v>0</v>
      </c>
      <c r="O1234" s="1">
        <f t="shared" si="541"/>
        <v>0</v>
      </c>
      <c r="P1234" s="1">
        <f t="shared" si="539"/>
        <v>0</v>
      </c>
      <c r="Q1234" s="3" t="str">
        <f t="shared" si="540"/>
        <v/>
      </c>
      <c r="T1234" s="13" t="str">
        <f t="shared" si="529"/>
        <v/>
      </c>
      <c r="U1234" s="14" t="str">
        <f t="shared" si="530"/>
        <v/>
      </c>
      <c r="V1234" s="13" t="str">
        <f t="shared" si="531"/>
        <v/>
      </c>
      <c r="W1234" s="13" t="str">
        <f t="shared" si="532"/>
        <v/>
      </c>
      <c r="X1234" s="14" t="str">
        <f t="shared" si="533"/>
        <v/>
      </c>
    </row>
    <row r="1235" spans="2:24" x14ac:dyDescent="0.3">
      <c r="B1235" s="1">
        <f t="shared" si="542"/>
        <v>0</v>
      </c>
      <c r="C1235" s="1">
        <f t="shared" si="543"/>
        <v>0</v>
      </c>
      <c r="D1235" s="10">
        <f t="shared" si="544"/>
        <v>0</v>
      </c>
      <c r="E1235" s="1">
        <f t="shared" si="545"/>
        <v>0</v>
      </c>
      <c r="F1235" s="1">
        <f t="shared" si="546"/>
        <v>0</v>
      </c>
      <c r="G1235" s="1">
        <f t="shared" si="547"/>
        <v>0</v>
      </c>
      <c r="H1235" s="1">
        <f t="shared" si="534"/>
        <v>0</v>
      </c>
      <c r="I1235" s="10">
        <f t="shared" si="548"/>
        <v>0</v>
      </c>
      <c r="J1235" s="1">
        <f t="shared" si="535"/>
        <v>0</v>
      </c>
      <c r="K1235" s="1">
        <f t="shared" si="536"/>
        <v>0</v>
      </c>
      <c r="L1235" s="1" t="str">
        <f t="shared" si="537"/>
        <v>0</v>
      </c>
      <c r="M1235" s="10">
        <f t="shared" si="538"/>
        <v>0</v>
      </c>
      <c r="N1235" s="1">
        <f t="shared" si="549"/>
        <v>0</v>
      </c>
      <c r="O1235" s="1">
        <f t="shared" si="541"/>
        <v>0</v>
      </c>
      <c r="P1235" s="1">
        <f t="shared" si="539"/>
        <v>0</v>
      </c>
      <c r="Q1235" s="3" t="str">
        <f t="shared" si="540"/>
        <v/>
      </c>
      <c r="T1235" s="13" t="str">
        <f t="shared" ref="T1235:T1298" si="550">IF(A1235="",IF(A1234="","",$T$1),IF(O1235=1,"#",IF(B1235=0,"*",DEC2HEX(R1235))))</f>
        <v/>
      </c>
      <c r="U1235" s="14" t="str">
        <f t="shared" ref="U1235:U1298" si="551">IF(A1235="",IF(A1234="","",$U$1),  IF(B1235=0,Q1235,I1235)  )</f>
        <v/>
      </c>
      <c r="V1235" s="13" t="str">
        <f t="shared" ref="V1235:V1298" si="552">IF(U1235=$U$1,"",IF(A1235="",IF(A1234="","",1),  IF(B1235=0,1,D1235)  ))</f>
        <v/>
      </c>
      <c r="W1235" s="13" t="str">
        <f t="shared" ref="W1235:W1298" si="553">IF(U1235=$U$1,"",IF(A1235="",IF(A1234="","",0),  IF(C1235=0,0,0)  ))</f>
        <v/>
      </c>
      <c r="X1235" s="14" t="str">
        <f t="shared" ref="X1235:X1298" si="554">IF(U1235=$U$1,"",IF(U1235="","",IF(B1235&gt;0,IF(Q1235&lt;&gt;"",Q1235,"No description"),"-")))</f>
        <v/>
      </c>
    </row>
    <row r="1236" spans="2:24" x14ac:dyDescent="0.3">
      <c r="B1236" s="1">
        <f t="shared" si="542"/>
        <v>0</v>
      </c>
      <c r="C1236" s="1">
        <f t="shared" si="543"/>
        <v>0</v>
      </c>
      <c r="D1236" s="10">
        <f t="shared" si="544"/>
        <v>0</v>
      </c>
      <c r="E1236" s="1">
        <f t="shared" si="545"/>
        <v>0</v>
      </c>
      <c r="F1236" s="1">
        <f t="shared" si="546"/>
        <v>0</v>
      </c>
      <c r="G1236" s="1">
        <f t="shared" si="547"/>
        <v>0</v>
      </c>
      <c r="H1236" s="1">
        <f t="shared" si="534"/>
        <v>0</v>
      </c>
      <c r="I1236" s="10">
        <f t="shared" si="548"/>
        <v>0</v>
      </c>
      <c r="J1236" s="1">
        <f t="shared" si="535"/>
        <v>0</v>
      </c>
      <c r="K1236" s="1">
        <f t="shared" si="536"/>
        <v>0</v>
      </c>
      <c r="L1236" s="1" t="str">
        <f t="shared" si="537"/>
        <v>0</v>
      </c>
      <c r="M1236" s="10">
        <f t="shared" si="538"/>
        <v>0</v>
      </c>
      <c r="N1236" s="1">
        <f t="shared" si="549"/>
        <v>0</v>
      </c>
      <c r="O1236" s="1">
        <f t="shared" si="541"/>
        <v>0</v>
      </c>
      <c r="P1236" s="1">
        <f t="shared" si="539"/>
        <v>0</v>
      </c>
      <c r="Q1236" s="3" t="str">
        <f t="shared" si="540"/>
        <v/>
      </c>
      <c r="T1236" s="13" t="str">
        <f t="shared" si="550"/>
        <v/>
      </c>
      <c r="U1236" s="14" t="str">
        <f t="shared" si="551"/>
        <v/>
      </c>
      <c r="V1236" s="13" t="str">
        <f t="shared" si="552"/>
        <v/>
      </c>
      <c r="W1236" s="13" t="str">
        <f t="shared" si="553"/>
        <v/>
      </c>
      <c r="X1236" s="14" t="str">
        <f t="shared" si="554"/>
        <v/>
      </c>
    </row>
    <row r="1237" spans="2:24" x14ac:dyDescent="0.3">
      <c r="B1237" s="1">
        <f t="shared" si="542"/>
        <v>0</v>
      </c>
      <c r="C1237" s="1">
        <f t="shared" si="543"/>
        <v>0</v>
      </c>
      <c r="D1237" s="10">
        <f t="shared" si="544"/>
        <v>0</v>
      </c>
      <c r="E1237" s="1">
        <f t="shared" si="545"/>
        <v>0</v>
      </c>
      <c r="F1237" s="1">
        <f t="shared" si="546"/>
        <v>0</v>
      </c>
      <c r="G1237" s="1">
        <f t="shared" si="547"/>
        <v>0</v>
      </c>
      <c r="H1237" s="1">
        <f t="shared" si="534"/>
        <v>0</v>
      </c>
      <c r="I1237" s="10">
        <f t="shared" si="548"/>
        <v>0</v>
      </c>
      <c r="J1237" s="1">
        <f t="shared" si="535"/>
        <v>0</v>
      </c>
      <c r="K1237" s="1">
        <f t="shared" si="536"/>
        <v>0</v>
      </c>
      <c r="L1237" s="1" t="str">
        <f t="shared" si="537"/>
        <v>0</v>
      </c>
      <c r="M1237" s="10">
        <f t="shared" si="538"/>
        <v>0</v>
      </c>
      <c r="N1237" s="1">
        <f t="shared" si="549"/>
        <v>0</v>
      </c>
      <c r="O1237" s="1">
        <f t="shared" si="541"/>
        <v>0</v>
      </c>
      <c r="P1237" s="1">
        <f t="shared" si="539"/>
        <v>0</v>
      </c>
      <c r="Q1237" s="3" t="str">
        <f t="shared" si="540"/>
        <v/>
      </c>
      <c r="T1237" s="13" t="str">
        <f t="shared" si="550"/>
        <v/>
      </c>
      <c r="U1237" s="14" t="str">
        <f t="shared" si="551"/>
        <v/>
      </c>
      <c r="V1237" s="13" t="str">
        <f t="shared" si="552"/>
        <v/>
      </c>
      <c r="W1237" s="13" t="str">
        <f t="shared" si="553"/>
        <v/>
      </c>
      <c r="X1237" s="14" t="str">
        <f t="shared" si="554"/>
        <v/>
      </c>
    </row>
    <row r="1238" spans="2:24" x14ac:dyDescent="0.3">
      <c r="B1238" s="1">
        <f t="shared" si="542"/>
        <v>0</v>
      </c>
      <c r="C1238" s="1">
        <f t="shared" si="543"/>
        <v>0</v>
      </c>
      <c r="D1238" s="10">
        <f t="shared" si="544"/>
        <v>0</v>
      </c>
      <c r="E1238" s="1">
        <f t="shared" si="545"/>
        <v>0</v>
      </c>
      <c r="F1238" s="1">
        <f t="shared" si="546"/>
        <v>0</v>
      </c>
      <c r="G1238" s="1">
        <f t="shared" si="547"/>
        <v>0</v>
      </c>
      <c r="H1238" s="1">
        <f t="shared" si="534"/>
        <v>0</v>
      </c>
      <c r="I1238" s="10">
        <f t="shared" si="548"/>
        <v>0</v>
      </c>
      <c r="J1238" s="1">
        <f t="shared" si="535"/>
        <v>0</v>
      </c>
      <c r="K1238" s="1">
        <f t="shared" si="536"/>
        <v>0</v>
      </c>
      <c r="L1238" s="1" t="str">
        <f t="shared" si="537"/>
        <v>0</v>
      </c>
      <c r="M1238" s="10">
        <f t="shared" si="538"/>
        <v>0</v>
      </c>
      <c r="N1238" s="1">
        <f t="shared" si="549"/>
        <v>0</v>
      </c>
      <c r="O1238" s="1">
        <f t="shared" si="541"/>
        <v>0</v>
      </c>
      <c r="P1238" s="1">
        <f t="shared" si="539"/>
        <v>0</v>
      </c>
      <c r="Q1238" s="3" t="str">
        <f t="shared" si="540"/>
        <v/>
      </c>
      <c r="T1238" s="13" t="str">
        <f t="shared" si="550"/>
        <v/>
      </c>
      <c r="U1238" s="14" t="str">
        <f t="shared" si="551"/>
        <v/>
      </c>
      <c r="V1238" s="13" t="str">
        <f t="shared" si="552"/>
        <v/>
      </c>
      <c r="W1238" s="13" t="str">
        <f t="shared" si="553"/>
        <v/>
      </c>
      <c r="X1238" s="14" t="str">
        <f t="shared" si="554"/>
        <v/>
      </c>
    </row>
    <row r="1239" spans="2:24" x14ac:dyDescent="0.3">
      <c r="B1239" s="1">
        <f t="shared" si="542"/>
        <v>0</v>
      </c>
      <c r="C1239" s="1">
        <f t="shared" si="543"/>
        <v>0</v>
      </c>
      <c r="D1239" s="10">
        <f t="shared" si="544"/>
        <v>0</v>
      </c>
      <c r="E1239" s="1">
        <f t="shared" si="545"/>
        <v>0</v>
      </c>
      <c r="F1239" s="1">
        <f t="shared" si="546"/>
        <v>0</v>
      </c>
      <c r="G1239" s="1">
        <f t="shared" si="547"/>
        <v>0</v>
      </c>
      <c r="H1239" s="1">
        <f t="shared" si="534"/>
        <v>0</v>
      </c>
      <c r="I1239" s="10">
        <f t="shared" si="548"/>
        <v>0</v>
      </c>
      <c r="J1239" s="1">
        <f t="shared" si="535"/>
        <v>0</v>
      </c>
      <c r="K1239" s="1">
        <f t="shared" si="536"/>
        <v>0</v>
      </c>
      <c r="L1239" s="1" t="str">
        <f t="shared" si="537"/>
        <v>0</v>
      </c>
      <c r="M1239" s="10">
        <f t="shared" si="538"/>
        <v>0</v>
      </c>
      <c r="N1239" s="1">
        <f t="shared" si="549"/>
        <v>0</v>
      </c>
      <c r="O1239" s="1">
        <f t="shared" si="541"/>
        <v>0</v>
      </c>
      <c r="P1239" s="1">
        <f t="shared" si="539"/>
        <v>0</v>
      </c>
      <c r="Q1239" s="3" t="str">
        <f t="shared" si="540"/>
        <v/>
      </c>
      <c r="T1239" s="13" t="str">
        <f t="shared" si="550"/>
        <v/>
      </c>
      <c r="U1239" s="14" t="str">
        <f t="shared" si="551"/>
        <v/>
      </c>
      <c r="V1239" s="13" t="str">
        <f t="shared" si="552"/>
        <v/>
      </c>
      <c r="W1239" s="13" t="str">
        <f t="shared" si="553"/>
        <v/>
      </c>
      <c r="X1239" s="14" t="str">
        <f t="shared" si="554"/>
        <v/>
      </c>
    </row>
    <row r="1240" spans="2:24" x14ac:dyDescent="0.3">
      <c r="B1240" s="1">
        <f t="shared" si="542"/>
        <v>0</v>
      </c>
      <c r="C1240" s="1">
        <f t="shared" si="543"/>
        <v>0</v>
      </c>
      <c r="D1240" s="10">
        <f t="shared" si="544"/>
        <v>0</v>
      </c>
      <c r="E1240" s="1">
        <f t="shared" si="545"/>
        <v>0</v>
      </c>
      <c r="F1240" s="1">
        <f t="shared" si="546"/>
        <v>0</v>
      </c>
      <c r="G1240" s="1">
        <f t="shared" si="547"/>
        <v>0</v>
      </c>
      <c r="H1240" s="1">
        <f t="shared" si="534"/>
        <v>0</v>
      </c>
      <c r="I1240" s="10">
        <f t="shared" si="548"/>
        <v>0</v>
      </c>
      <c r="J1240" s="1">
        <f t="shared" si="535"/>
        <v>0</v>
      </c>
      <c r="K1240" s="1">
        <f t="shared" si="536"/>
        <v>0</v>
      </c>
      <c r="L1240" s="1" t="str">
        <f t="shared" si="537"/>
        <v>0</v>
      </c>
      <c r="M1240" s="10">
        <f t="shared" si="538"/>
        <v>0</v>
      </c>
      <c r="N1240" s="1">
        <f t="shared" si="549"/>
        <v>0</v>
      </c>
      <c r="O1240" s="1">
        <f t="shared" si="541"/>
        <v>0</v>
      </c>
      <c r="P1240" s="1">
        <f t="shared" si="539"/>
        <v>0</v>
      </c>
      <c r="Q1240" s="3" t="str">
        <f t="shared" si="540"/>
        <v/>
      </c>
      <c r="T1240" s="13" t="str">
        <f t="shared" si="550"/>
        <v/>
      </c>
      <c r="U1240" s="14" t="str">
        <f t="shared" si="551"/>
        <v/>
      </c>
      <c r="V1240" s="13" t="str">
        <f t="shared" si="552"/>
        <v/>
      </c>
      <c r="W1240" s="13" t="str">
        <f t="shared" si="553"/>
        <v/>
      </c>
      <c r="X1240" s="14" t="str">
        <f t="shared" si="554"/>
        <v/>
      </c>
    </row>
    <row r="1241" spans="2:24" x14ac:dyDescent="0.3">
      <c r="B1241" s="1">
        <f t="shared" si="542"/>
        <v>0</v>
      </c>
      <c r="C1241" s="1">
        <f t="shared" si="543"/>
        <v>0</v>
      </c>
      <c r="D1241" s="10">
        <f t="shared" si="544"/>
        <v>0</v>
      </c>
      <c r="E1241" s="1">
        <f t="shared" si="545"/>
        <v>0</v>
      </c>
      <c r="F1241" s="1">
        <f t="shared" si="546"/>
        <v>0</v>
      </c>
      <c r="G1241" s="1">
        <f t="shared" si="547"/>
        <v>0</v>
      </c>
      <c r="H1241" s="1">
        <f t="shared" si="534"/>
        <v>0</v>
      </c>
      <c r="I1241" s="10">
        <f t="shared" si="548"/>
        <v>0</v>
      </c>
      <c r="J1241" s="1">
        <f t="shared" si="535"/>
        <v>0</v>
      </c>
      <c r="K1241" s="1">
        <f t="shared" si="536"/>
        <v>0</v>
      </c>
      <c r="L1241" s="1" t="str">
        <f t="shared" si="537"/>
        <v>0</v>
      </c>
      <c r="M1241" s="10">
        <f t="shared" si="538"/>
        <v>0</v>
      </c>
      <c r="N1241" s="1">
        <f t="shared" si="549"/>
        <v>0</v>
      </c>
      <c r="O1241" s="1">
        <f t="shared" si="541"/>
        <v>0</v>
      </c>
      <c r="P1241" s="1">
        <f t="shared" si="539"/>
        <v>0</v>
      </c>
      <c r="Q1241" s="3" t="str">
        <f t="shared" si="540"/>
        <v/>
      </c>
      <c r="T1241" s="13" t="str">
        <f t="shared" si="550"/>
        <v/>
      </c>
      <c r="U1241" s="14" t="str">
        <f t="shared" si="551"/>
        <v/>
      </c>
      <c r="V1241" s="13" t="str">
        <f t="shared" si="552"/>
        <v/>
      </c>
      <c r="W1241" s="13" t="str">
        <f t="shared" si="553"/>
        <v/>
      </c>
      <c r="X1241" s="14" t="str">
        <f t="shared" si="554"/>
        <v/>
      </c>
    </row>
    <row r="1242" spans="2:24" x14ac:dyDescent="0.3">
      <c r="B1242" s="1">
        <f t="shared" si="542"/>
        <v>0</v>
      </c>
      <c r="C1242" s="1">
        <f t="shared" si="543"/>
        <v>0</v>
      </c>
      <c r="D1242" s="10">
        <f t="shared" si="544"/>
        <v>0</v>
      </c>
      <c r="E1242" s="1">
        <f t="shared" si="545"/>
        <v>0</v>
      </c>
      <c r="F1242" s="1">
        <f t="shared" si="546"/>
        <v>0</v>
      </c>
      <c r="G1242" s="1">
        <f t="shared" si="547"/>
        <v>0</v>
      </c>
      <c r="H1242" s="1">
        <f t="shared" si="534"/>
        <v>0</v>
      </c>
      <c r="I1242" s="10">
        <f t="shared" si="548"/>
        <v>0</v>
      </c>
      <c r="J1242" s="1">
        <f t="shared" si="535"/>
        <v>0</v>
      </c>
      <c r="K1242" s="1">
        <f t="shared" si="536"/>
        <v>0</v>
      </c>
      <c r="L1242" s="1" t="str">
        <f t="shared" si="537"/>
        <v>0</v>
      </c>
      <c r="M1242" s="10">
        <f t="shared" si="538"/>
        <v>0</v>
      </c>
      <c r="N1242" s="1">
        <f t="shared" si="549"/>
        <v>0</v>
      </c>
      <c r="O1242" s="1">
        <f t="shared" si="541"/>
        <v>0</v>
      </c>
      <c r="P1242" s="1">
        <f t="shared" si="539"/>
        <v>0</v>
      </c>
      <c r="Q1242" s="3" t="str">
        <f t="shared" si="540"/>
        <v/>
      </c>
      <c r="T1242" s="13" t="str">
        <f t="shared" si="550"/>
        <v/>
      </c>
      <c r="U1242" s="14" t="str">
        <f t="shared" si="551"/>
        <v/>
      </c>
      <c r="V1242" s="13" t="str">
        <f t="shared" si="552"/>
        <v/>
      </c>
      <c r="W1242" s="13" t="str">
        <f t="shared" si="553"/>
        <v/>
      </c>
      <c r="X1242" s="14" t="str">
        <f t="shared" si="554"/>
        <v/>
      </c>
    </row>
    <row r="1243" spans="2:24" x14ac:dyDescent="0.3">
      <c r="B1243" s="1">
        <f t="shared" si="542"/>
        <v>0</v>
      </c>
      <c r="C1243" s="1">
        <f t="shared" si="543"/>
        <v>0</v>
      </c>
      <c r="D1243" s="10">
        <f t="shared" si="544"/>
        <v>0</v>
      </c>
      <c r="E1243" s="1">
        <f t="shared" si="545"/>
        <v>0</v>
      </c>
      <c r="F1243" s="1">
        <f t="shared" si="546"/>
        <v>0</v>
      </c>
      <c r="G1243" s="1">
        <f t="shared" si="547"/>
        <v>0</v>
      </c>
      <c r="H1243" s="1">
        <f t="shared" si="534"/>
        <v>0</v>
      </c>
      <c r="I1243" s="10">
        <f t="shared" si="548"/>
        <v>0</v>
      </c>
      <c r="J1243" s="1">
        <f t="shared" si="535"/>
        <v>0</v>
      </c>
      <c r="K1243" s="1">
        <f t="shared" si="536"/>
        <v>0</v>
      </c>
      <c r="L1243" s="1" t="str">
        <f t="shared" si="537"/>
        <v>0</v>
      </c>
      <c r="M1243" s="10">
        <f t="shared" si="538"/>
        <v>0</v>
      </c>
      <c r="N1243" s="1">
        <f t="shared" si="549"/>
        <v>0</v>
      </c>
      <c r="O1243" s="1">
        <f t="shared" si="541"/>
        <v>0</v>
      </c>
      <c r="P1243" s="1">
        <f t="shared" si="539"/>
        <v>0</v>
      </c>
      <c r="Q1243" s="3" t="str">
        <f t="shared" si="540"/>
        <v/>
      </c>
      <c r="T1243" s="13" t="str">
        <f t="shared" si="550"/>
        <v/>
      </c>
      <c r="U1243" s="14" t="str">
        <f t="shared" si="551"/>
        <v/>
      </c>
      <c r="V1243" s="13" t="str">
        <f t="shared" si="552"/>
        <v/>
      </c>
      <c r="W1243" s="13" t="str">
        <f t="shared" si="553"/>
        <v/>
      </c>
      <c r="X1243" s="14" t="str">
        <f t="shared" si="554"/>
        <v/>
      </c>
    </row>
    <row r="1244" spans="2:24" x14ac:dyDescent="0.3">
      <c r="B1244" s="1">
        <f t="shared" si="542"/>
        <v>0</v>
      </c>
      <c r="C1244" s="1">
        <f t="shared" si="543"/>
        <v>0</v>
      </c>
      <c r="D1244" s="10">
        <f t="shared" si="544"/>
        <v>0</v>
      </c>
      <c r="E1244" s="1">
        <f t="shared" si="545"/>
        <v>0</v>
      </c>
      <c r="F1244" s="1">
        <f t="shared" si="546"/>
        <v>0</v>
      </c>
      <c r="G1244" s="1">
        <f t="shared" si="547"/>
        <v>0</v>
      </c>
      <c r="H1244" s="1">
        <f t="shared" si="534"/>
        <v>0</v>
      </c>
      <c r="I1244" s="10">
        <f t="shared" si="548"/>
        <v>0</v>
      </c>
      <c r="J1244" s="1">
        <f t="shared" si="535"/>
        <v>0</v>
      </c>
      <c r="K1244" s="1">
        <f t="shared" si="536"/>
        <v>0</v>
      </c>
      <c r="L1244" s="1" t="str">
        <f t="shared" si="537"/>
        <v>0</v>
      </c>
      <c r="M1244" s="10">
        <f t="shared" si="538"/>
        <v>0</v>
      </c>
      <c r="N1244" s="1">
        <f t="shared" si="549"/>
        <v>0</v>
      </c>
      <c r="O1244" s="1">
        <f t="shared" si="541"/>
        <v>0</v>
      </c>
      <c r="P1244" s="1">
        <f t="shared" si="539"/>
        <v>0</v>
      </c>
      <c r="Q1244" s="3" t="str">
        <f t="shared" si="540"/>
        <v/>
      </c>
      <c r="T1244" s="13" t="str">
        <f t="shared" si="550"/>
        <v/>
      </c>
      <c r="U1244" s="14" t="str">
        <f t="shared" si="551"/>
        <v/>
      </c>
      <c r="V1244" s="13" t="str">
        <f t="shared" si="552"/>
        <v/>
      </c>
      <c r="W1244" s="13" t="str">
        <f t="shared" si="553"/>
        <v/>
      </c>
      <c r="X1244" s="14" t="str">
        <f t="shared" si="554"/>
        <v/>
      </c>
    </row>
    <row r="1245" spans="2:24" x14ac:dyDescent="0.3">
      <c r="B1245" s="1">
        <f t="shared" si="542"/>
        <v>0</v>
      </c>
      <c r="C1245" s="1">
        <f t="shared" si="543"/>
        <v>0</v>
      </c>
      <c r="D1245" s="10">
        <f t="shared" si="544"/>
        <v>0</v>
      </c>
      <c r="E1245" s="1">
        <f t="shared" si="545"/>
        <v>0</v>
      </c>
      <c r="F1245" s="1">
        <f t="shared" si="546"/>
        <v>0</v>
      </c>
      <c r="G1245" s="1">
        <f t="shared" si="547"/>
        <v>0</v>
      </c>
      <c r="H1245" s="1">
        <f t="shared" si="534"/>
        <v>0</v>
      </c>
      <c r="I1245" s="10">
        <f t="shared" si="548"/>
        <v>0</v>
      </c>
      <c r="J1245" s="1">
        <f t="shared" si="535"/>
        <v>0</v>
      </c>
      <c r="K1245" s="1">
        <f t="shared" si="536"/>
        <v>0</v>
      </c>
      <c r="L1245" s="1" t="str">
        <f t="shared" si="537"/>
        <v>0</v>
      </c>
      <c r="M1245" s="10">
        <f t="shared" si="538"/>
        <v>0</v>
      </c>
      <c r="N1245" s="1">
        <f t="shared" si="549"/>
        <v>0</v>
      </c>
      <c r="O1245" s="1">
        <f t="shared" si="541"/>
        <v>0</v>
      </c>
      <c r="P1245" s="1">
        <f t="shared" si="539"/>
        <v>0</v>
      </c>
      <c r="Q1245" s="3" t="str">
        <f t="shared" si="540"/>
        <v/>
      </c>
      <c r="T1245" s="13" t="str">
        <f t="shared" si="550"/>
        <v/>
      </c>
      <c r="U1245" s="14" t="str">
        <f t="shared" si="551"/>
        <v/>
      </c>
      <c r="V1245" s="13" t="str">
        <f t="shared" si="552"/>
        <v/>
      </c>
      <c r="W1245" s="13" t="str">
        <f t="shared" si="553"/>
        <v/>
      </c>
      <c r="X1245" s="14" t="str">
        <f t="shared" si="554"/>
        <v/>
      </c>
    </row>
    <row r="1246" spans="2:24" x14ac:dyDescent="0.3">
      <c r="B1246" s="1">
        <f t="shared" si="542"/>
        <v>0</v>
      </c>
      <c r="C1246" s="1">
        <f t="shared" si="543"/>
        <v>0</v>
      </c>
      <c r="D1246" s="10">
        <f t="shared" si="544"/>
        <v>0</v>
      </c>
      <c r="E1246" s="1">
        <f t="shared" si="545"/>
        <v>0</v>
      </c>
      <c r="F1246" s="1">
        <f t="shared" si="546"/>
        <v>0</v>
      </c>
      <c r="G1246" s="1">
        <f t="shared" si="547"/>
        <v>0</v>
      </c>
      <c r="H1246" s="1">
        <f t="shared" si="534"/>
        <v>0</v>
      </c>
      <c r="I1246" s="10">
        <f t="shared" si="548"/>
        <v>0</v>
      </c>
      <c r="J1246" s="1">
        <f t="shared" si="535"/>
        <v>0</v>
      </c>
      <c r="K1246" s="1">
        <f t="shared" si="536"/>
        <v>0</v>
      </c>
      <c r="L1246" s="1" t="str">
        <f t="shared" si="537"/>
        <v>0</v>
      </c>
      <c r="M1246" s="10">
        <f t="shared" si="538"/>
        <v>0</v>
      </c>
      <c r="N1246" s="1">
        <f t="shared" si="549"/>
        <v>0</v>
      </c>
      <c r="O1246" s="1">
        <f t="shared" si="541"/>
        <v>0</v>
      </c>
      <c r="P1246" s="1">
        <f t="shared" si="539"/>
        <v>0</v>
      </c>
      <c r="Q1246" s="3" t="str">
        <f t="shared" si="540"/>
        <v/>
      </c>
      <c r="T1246" s="13" t="str">
        <f t="shared" si="550"/>
        <v/>
      </c>
      <c r="U1246" s="14" t="str">
        <f t="shared" si="551"/>
        <v/>
      </c>
      <c r="V1246" s="13" t="str">
        <f t="shared" si="552"/>
        <v/>
      </c>
      <c r="W1246" s="13" t="str">
        <f t="shared" si="553"/>
        <v/>
      </c>
      <c r="X1246" s="14" t="str">
        <f t="shared" si="554"/>
        <v/>
      </c>
    </row>
    <row r="1247" spans="2:24" x14ac:dyDescent="0.3">
      <c r="B1247" s="1">
        <f t="shared" si="542"/>
        <v>0</v>
      </c>
      <c r="C1247" s="1">
        <f t="shared" si="543"/>
        <v>0</v>
      </c>
      <c r="D1247" s="10">
        <f t="shared" si="544"/>
        <v>0</v>
      </c>
      <c r="E1247" s="1">
        <f t="shared" si="545"/>
        <v>0</v>
      </c>
      <c r="F1247" s="1">
        <f t="shared" si="546"/>
        <v>0</v>
      </c>
      <c r="G1247" s="1">
        <f t="shared" si="547"/>
        <v>0</v>
      </c>
      <c r="H1247" s="1">
        <f t="shared" si="534"/>
        <v>0</v>
      </c>
      <c r="I1247" s="10">
        <f t="shared" si="548"/>
        <v>0</v>
      </c>
      <c r="J1247" s="1">
        <f t="shared" si="535"/>
        <v>0</v>
      </c>
      <c r="K1247" s="1">
        <f t="shared" si="536"/>
        <v>0</v>
      </c>
      <c r="L1247" s="1" t="str">
        <f t="shared" si="537"/>
        <v>0</v>
      </c>
      <c r="M1247" s="10">
        <f t="shared" si="538"/>
        <v>0</v>
      </c>
      <c r="N1247" s="1">
        <f t="shared" si="549"/>
        <v>0</v>
      </c>
      <c r="O1247" s="1">
        <f t="shared" si="541"/>
        <v>0</v>
      </c>
      <c r="P1247" s="1">
        <f t="shared" si="539"/>
        <v>0</v>
      </c>
      <c r="Q1247" s="3" t="str">
        <f t="shared" si="540"/>
        <v/>
      </c>
      <c r="T1247" s="13" t="str">
        <f t="shared" si="550"/>
        <v/>
      </c>
      <c r="U1247" s="14" t="str">
        <f t="shared" si="551"/>
        <v/>
      </c>
      <c r="V1247" s="13" t="str">
        <f t="shared" si="552"/>
        <v/>
      </c>
      <c r="W1247" s="13" t="str">
        <f t="shared" si="553"/>
        <v/>
      </c>
      <c r="X1247" s="14" t="str">
        <f t="shared" si="554"/>
        <v/>
      </c>
    </row>
    <row r="1248" spans="2:24" x14ac:dyDescent="0.3">
      <c r="B1248" s="1">
        <f t="shared" si="542"/>
        <v>0</v>
      </c>
      <c r="C1248" s="1">
        <f t="shared" si="543"/>
        <v>0</v>
      </c>
      <c r="D1248" s="10">
        <f t="shared" si="544"/>
        <v>0</v>
      </c>
      <c r="E1248" s="1">
        <f t="shared" si="545"/>
        <v>0</v>
      </c>
      <c r="F1248" s="1">
        <f t="shared" si="546"/>
        <v>0</v>
      </c>
      <c r="G1248" s="1">
        <f t="shared" si="547"/>
        <v>0</v>
      </c>
      <c r="H1248" s="1">
        <f t="shared" si="534"/>
        <v>0</v>
      </c>
      <c r="I1248" s="10">
        <f t="shared" si="548"/>
        <v>0</v>
      </c>
      <c r="J1248" s="1">
        <f t="shared" si="535"/>
        <v>0</v>
      </c>
      <c r="K1248" s="1">
        <f t="shared" si="536"/>
        <v>0</v>
      </c>
      <c r="L1248" s="1" t="str">
        <f t="shared" si="537"/>
        <v>0</v>
      </c>
      <c r="M1248" s="10">
        <f t="shared" si="538"/>
        <v>0</v>
      </c>
      <c r="N1248" s="1">
        <f t="shared" si="549"/>
        <v>0</v>
      </c>
      <c r="O1248" s="1">
        <f t="shared" si="541"/>
        <v>0</v>
      </c>
      <c r="P1248" s="1">
        <f t="shared" si="539"/>
        <v>0</v>
      </c>
      <c r="Q1248" s="3" t="str">
        <f t="shared" si="540"/>
        <v/>
      </c>
      <c r="T1248" s="13" t="str">
        <f t="shared" si="550"/>
        <v/>
      </c>
      <c r="U1248" s="14" t="str">
        <f t="shared" si="551"/>
        <v/>
      </c>
      <c r="V1248" s="13" t="str">
        <f t="shared" si="552"/>
        <v/>
      </c>
      <c r="W1248" s="13" t="str">
        <f t="shared" si="553"/>
        <v/>
      </c>
      <c r="X1248" s="14" t="str">
        <f t="shared" si="554"/>
        <v/>
      </c>
    </row>
    <row r="1249" spans="2:24" x14ac:dyDescent="0.3">
      <c r="B1249" s="1">
        <f t="shared" si="542"/>
        <v>0</v>
      </c>
      <c r="C1249" s="1">
        <f t="shared" si="543"/>
        <v>0</v>
      </c>
      <c r="D1249" s="10">
        <f t="shared" si="544"/>
        <v>0</v>
      </c>
      <c r="E1249" s="1">
        <f t="shared" si="545"/>
        <v>0</v>
      </c>
      <c r="F1249" s="1">
        <f t="shared" si="546"/>
        <v>0</v>
      </c>
      <c r="G1249" s="1">
        <f t="shared" si="547"/>
        <v>0</v>
      </c>
      <c r="H1249" s="1">
        <f t="shared" si="534"/>
        <v>0</v>
      </c>
      <c r="I1249" s="10">
        <f t="shared" si="548"/>
        <v>0</v>
      </c>
      <c r="J1249" s="1">
        <f t="shared" si="535"/>
        <v>0</v>
      </c>
      <c r="K1249" s="1">
        <f t="shared" si="536"/>
        <v>0</v>
      </c>
      <c r="L1249" s="1" t="str">
        <f t="shared" si="537"/>
        <v>0</v>
      </c>
      <c r="M1249" s="10">
        <f t="shared" si="538"/>
        <v>0</v>
      </c>
      <c r="N1249" s="1">
        <f t="shared" si="549"/>
        <v>0</v>
      </c>
      <c r="O1249" s="1">
        <f t="shared" si="541"/>
        <v>0</v>
      </c>
      <c r="P1249" s="1">
        <f t="shared" si="539"/>
        <v>0</v>
      </c>
      <c r="Q1249" s="3" t="str">
        <f t="shared" si="540"/>
        <v/>
      </c>
      <c r="T1249" s="13" t="str">
        <f t="shared" si="550"/>
        <v/>
      </c>
      <c r="U1249" s="14" t="str">
        <f t="shared" si="551"/>
        <v/>
      </c>
      <c r="V1249" s="13" t="str">
        <f t="shared" si="552"/>
        <v/>
      </c>
      <c r="W1249" s="13" t="str">
        <f t="shared" si="553"/>
        <v/>
      </c>
      <c r="X1249" s="14" t="str">
        <f t="shared" si="554"/>
        <v/>
      </c>
    </row>
    <row r="1250" spans="2:24" x14ac:dyDescent="0.3">
      <c r="B1250" s="1">
        <f t="shared" si="542"/>
        <v>0</v>
      </c>
      <c r="C1250" s="1">
        <f t="shared" si="543"/>
        <v>0</v>
      </c>
      <c r="D1250" s="10">
        <f t="shared" si="544"/>
        <v>0</v>
      </c>
      <c r="E1250" s="1">
        <f t="shared" si="545"/>
        <v>0</v>
      </c>
      <c r="F1250" s="1">
        <f t="shared" si="546"/>
        <v>0</v>
      </c>
      <c r="G1250" s="1">
        <f t="shared" si="547"/>
        <v>0</v>
      </c>
      <c r="H1250" s="1">
        <f t="shared" si="534"/>
        <v>0</v>
      </c>
      <c r="I1250" s="10">
        <f t="shared" si="548"/>
        <v>0</v>
      </c>
      <c r="J1250" s="1">
        <f t="shared" si="535"/>
        <v>0</v>
      </c>
      <c r="K1250" s="1">
        <f t="shared" si="536"/>
        <v>0</v>
      </c>
      <c r="L1250" s="1" t="str">
        <f t="shared" si="537"/>
        <v>0</v>
      </c>
      <c r="M1250" s="10">
        <f t="shared" si="538"/>
        <v>0</v>
      </c>
      <c r="N1250" s="1">
        <f t="shared" si="549"/>
        <v>0</v>
      </c>
      <c r="O1250" s="1">
        <f t="shared" si="541"/>
        <v>0</v>
      </c>
      <c r="P1250" s="1">
        <f t="shared" si="539"/>
        <v>0</v>
      </c>
      <c r="Q1250" s="3" t="str">
        <f t="shared" si="540"/>
        <v/>
      </c>
      <c r="T1250" s="13" t="str">
        <f t="shared" si="550"/>
        <v/>
      </c>
      <c r="U1250" s="14" t="str">
        <f t="shared" si="551"/>
        <v/>
      </c>
      <c r="V1250" s="13" t="str">
        <f t="shared" si="552"/>
        <v/>
      </c>
      <c r="W1250" s="13" t="str">
        <f t="shared" si="553"/>
        <v/>
      </c>
      <c r="X1250" s="14" t="str">
        <f t="shared" si="554"/>
        <v/>
      </c>
    </row>
    <row r="1251" spans="2:24" x14ac:dyDescent="0.3">
      <c r="B1251" s="1">
        <f t="shared" si="542"/>
        <v>0</v>
      </c>
      <c r="C1251" s="1">
        <f t="shared" si="543"/>
        <v>0</v>
      </c>
      <c r="D1251" s="10">
        <f t="shared" si="544"/>
        <v>0</v>
      </c>
      <c r="E1251" s="1">
        <f t="shared" si="545"/>
        <v>0</v>
      </c>
      <c r="F1251" s="1">
        <f t="shared" si="546"/>
        <v>0</v>
      </c>
      <c r="G1251" s="1">
        <f t="shared" si="547"/>
        <v>0</v>
      </c>
      <c r="H1251" s="1">
        <f t="shared" si="534"/>
        <v>0</v>
      </c>
      <c r="I1251" s="10">
        <f t="shared" si="548"/>
        <v>0</v>
      </c>
      <c r="J1251" s="1">
        <f t="shared" si="535"/>
        <v>0</v>
      </c>
      <c r="K1251" s="1">
        <f t="shared" si="536"/>
        <v>0</v>
      </c>
      <c r="L1251" s="1" t="str">
        <f t="shared" si="537"/>
        <v>0</v>
      </c>
      <c r="M1251" s="10">
        <f t="shared" si="538"/>
        <v>0</v>
      </c>
      <c r="N1251" s="1">
        <f t="shared" si="549"/>
        <v>0</v>
      </c>
      <c r="O1251" s="1">
        <f t="shared" si="541"/>
        <v>0</v>
      </c>
      <c r="P1251" s="1">
        <f t="shared" si="539"/>
        <v>0</v>
      </c>
      <c r="Q1251" s="3" t="str">
        <f t="shared" si="540"/>
        <v/>
      </c>
      <c r="T1251" s="13" t="str">
        <f t="shared" si="550"/>
        <v/>
      </c>
      <c r="U1251" s="14" t="str">
        <f t="shared" si="551"/>
        <v/>
      </c>
      <c r="V1251" s="13" t="str">
        <f t="shared" si="552"/>
        <v/>
      </c>
      <c r="W1251" s="13" t="str">
        <f t="shared" si="553"/>
        <v/>
      </c>
      <c r="X1251" s="14" t="str">
        <f t="shared" si="554"/>
        <v/>
      </c>
    </row>
    <row r="1252" spans="2:24" x14ac:dyDescent="0.3">
      <c r="B1252" s="1">
        <f t="shared" si="542"/>
        <v>0</v>
      </c>
      <c r="C1252" s="1">
        <f t="shared" si="543"/>
        <v>0</v>
      </c>
      <c r="D1252" s="10">
        <f t="shared" si="544"/>
        <v>0</v>
      </c>
      <c r="E1252" s="1">
        <f t="shared" si="545"/>
        <v>0</v>
      </c>
      <c r="F1252" s="1">
        <f t="shared" si="546"/>
        <v>0</v>
      </c>
      <c r="G1252" s="1">
        <f t="shared" si="547"/>
        <v>0</v>
      </c>
      <c r="H1252" s="1">
        <f t="shared" si="534"/>
        <v>0</v>
      </c>
      <c r="I1252" s="10">
        <f t="shared" si="548"/>
        <v>0</v>
      </c>
      <c r="J1252" s="1">
        <f t="shared" si="535"/>
        <v>0</v>
      </c>
      <c r="K1252" s="1">
        <f t="shared" si="536"/>
        <v>0</v>
      </c>
      <c r="L1252" s="1" t="str">
        <f t="shared" si="537"/>
        <v>0</v>
      </c>
      <c r="M1252" s="10">
        <f t="shared" si="538"/>
        <v>0</v>
      </c>
      <c r="N1252" s="1">
        <f t="shared" si="549"/>
        <v>0</v>
      </c>
      <c r="O1252" s="1">
        <f t="shared" si="541"/>
        <v>0</v>
      </c>
      <c r="P1252" s="1">
        <f t="shared" si="539"/>
        <v>0</v>
      </c>
      <c r="Q1252" s="3" t="str">
        <f t="shared" si="540"/>
        <v/>
      </c>
      <c r="T1252" s="13" t="str">
        <f t="shared" si="550"/>
        <v/>
      </c>
      <c r="U1252" s="14" t="str">
        <f t="shared" si="551"/>
        <v/>
      </c>
      <c r="V1252" s="13" t="str">
        <f t="shared" si="552"/>
        <v/>
      </c>
      <c r="W1252" s="13" t="str">
        <f t="shared" si="553"/>
        <v/>
      </c>
      <c r="X1252" s="14" t="str">
        <f t="shared" si="554"/>
        <v/>
      </c>
    </row>
    <row r="1253" spans="2:24" x14ac:dyDescent="0.3">
      <c r="B1253" s="1">
        <f t="shared" si="542"/>
        <v>0</v>
      </c>
      <c r="C1253" s="1">
        <f t="shared" si="543"/>
        <v>0</v>
      </c>
      <c r="D1253" s="10">
        <f t="shared" si="544"/>
        <v>0</v>
      </c>
      <c r="E1253" s="1">
        <f t="shared" si="545"/>
        <v>0</v>
      </c>
      <c r="F1253" s="1">
        <f t="shared" si="546"/>
        <v>0</v>
      </c>
      <c r="G1253" s="1">
        <f t="shared" si="547"/>
        <v>0</v>
      </c>
      <c r="H1253" s="1">
        <f t="shared" si="534"/>
        <v>0</v>
      </c>
      <c r="I1253" s="10">
        <f t="shared" si="548"/>
        <v>0</v>
      </c>
      <c r="J1253" s="1">
        <f t="shared" si="535"/>
        <v>0</v>
      </c>
      <c r="K1253" s="1">
        <f t="shared" si="536"/>
        <v>0</v>
      </c>
      <c r="L1253" s="1" t="str">
        <f t="shared" si="537"/>
        <v>0</v>
      </c>
      <c r="M1253" s="10">
        <f t="shared" si="538"/>
        <v>0</v>
      </c>
      <c r="N1253" s="1">
        <f t="shared" si="549"/>
        <v>0</v>
      </c>
      <c r="O1253" s="1">
        <f t="shared" si="541"/>
        <v>0</v>
      </c>
      <c r="P1253" s="1">
        <f t="shared" si="539"/>
        <v>0</v>
      </c>
      <c r="Q1253" s="3" t="str">
        <f t="shared" si="540"/>
        <v/>
      </c>
      <c r="T1253" s="13" t="str">
        <f t="shared" si="550"/>
        <v/>
      </c>
      <c r="U1253" s="14" t="str">
        <f t="shared" si="551"/>
        <v/>
      </c>
      <c r="V1253" s="13" t="str">
        <f t="shared" si="552"/>
        <v/>
      </c>
      <c r="W1253" s="13" t="str">
        <f t="shared" si="553"/>
        <v/>
      </c>
      <c r="X1253" s="14" t="str">
        <f t="shared" si="554"/>
        <v/>
      </c>
    </row>
    <row r="1254" spans="2:24" x14ac:dyDescent="0.3">
      <c r="B1254" s="1">
        <f t="shared" si="542"/>
        <v>0</v>
      </c>
      <c r="C1254" s="1">
        <f t="shared" si="543"/>
        <v>0</v>
      </c>
      <c r="D1254" s="10">
        <f t="shared" si="544"/>
        <v>0</v>
      </c>
      <c r="E1254" s="1">
        <f t="shared" si="545"/>
        <v>0</v>
      </c>
      <c r="F1254" s="1">
        <f t="shared" si="546"/>
        <v>0</v>
      </c>
      <c r="G1254" s="1">
        <f t="shared" si="547"/>
        <v>0</v>
      </c>
      <c r="H1254" s="1">
        <f t="shared" si="534"/>
        <v>0</v>
      </c>
      <c r="I1254" s="10">
        <f t="shared" si="548"/>
        <v>0</v>
      </c>
      <c r="J1254" s="1">
        <f t="shared" si="535"/>
        <v>0</v>
      </c>
      <c r="K1254" s="1">
        <f t="shared" si="536"/>
        <v>0</v>
      </c>
      <c r="L1254" s="1" t="str">
        <f t="shared" si="537"/>
        <v>0</v>
      </c>
      <c r="M1254" s="10">
        <f t="shared" si="538"/>
        <v>0</v>
      </c>
      <c r="N1254" s="1">
        <f t="shared" si="549"/>
        <v>0</v>
      </c>
      <c r="O1254" s="1">
        <f t="shared" si="541"/>
        <v>0</v>
      </c>
      <c r="P1254" s="1">
        <f t="shared" si="539"/>
        <v>0</v>
      </c>
      <c r="Q1254" s="3" t="str">
        <f t="shared" si="540"/>
        <v/>
      </c>
      <c r="T1254" s="13" t="str">
        <f t="shared" si="550"/>
        <v/>
      </c>
      <c r="U1254" s="14" t="str">
        <f t="shared" si="551"/>
        <v/>
      </c>
      <c r="V1254" s="13" t="str">
        <f t="shared" si="552"/>
        <v/>
      </c>
      <c r="W1254" s="13" t="str">
        <f t="shared" si="553"/>
        <v/>
      </c>
      <c r="X1254" s="14" t="str">
        <f t="shared" si="554"/>
        <v/>
      </c>
    </row>
    <row r="1255" spans="2:24" x14ac:dyDescent="0.3">
      <c r="B1255" s="1">
        <f t="shared" si="542"/>
        <v>0</v>
      </c>
      <c r="C1255" s="1">
        <f t="shared" si="543"/>
        <v>0</v>
      </c>
      <c r="D1255" s="10">
        <f t="shared" si="544"/>
        <v>0</v>
      </c>
      <c r="E1255" s="1">
        <f t="shared" si="545"/>
        <v>0</v>
      </c>
      <c r="F1255" s="1">
        <f t="shared" si="546"/>
        <v>0</v>
      </c>
      <c r="G1255" s="1">
        <f t="shared" si="547"/>
        <v>0</v>
      </c>
      <c r="H1255" s="1">
        <f t="shared" si="534"/>
        <v>0</v>
      </c>
      <c r="I1255" s="10">
        <f t="shared" si="548"/>
        <v>0</v>
      </c>
      <c r="J1255" s="1">
        <f t="shared" si="535"/>
        <v>0</v>
      </c>
      <c r="K1255" s="1">
        <f t="shared" si="536"/>
        <v>0</v>
      </c>
      <c r="L1255" s="1" t="str">
        <f t="shared" si="537"/>
        <v>0</v>
      </c>
      <c r="M1255" s="10">
        <f t="shared" si="538"/>
        <v>0</v>
      </c>
      <c r="N1255" s="1">
        <f t="shared" si="549"/>
        <v>0</v>
      </c>
      <c r="O1255" s="1">
        <f t="shared" si="541"/>
        <v>0</v>
      </c>
      <c r="P1255" s="1">
        <f t="shared" si="539"/>
        <v>0</v>
      </c>
      <c r="Q1255" s="3" t="str">
        <f t="shared" si="540"/>
        <v/>
      </c>
      <c r="T1255" s="13" t="str">
        <f t="shared" si="550"/>
        <v/>
      </c>
      <c r="U1255" s="14" t="str">
        <f t="shared" si="551"/>
        <v/>
      </c>
      <c r="V1255" s="13" t="str">
        <f t="shared" si="552"/>
        <v/>
      </c>
      <c r="W1255" s="13" t="str">
        <f t="shared" si="553"/>
        <v/>
      </c>
      <c r="X1255" s="14" t="str">
        <f t="shared" si="554"/>
        <v/>
      </c>
    </row>
    <row r="1256" spans="2:24" x14ac:dyDescent="0.3">
      <c r="B1256" s="1">
        <f t="shared" si="542"/>
        <v>0</v>
      </c>
      <c r="C1256" s="1">
        <f t="shared" si="543"/>
        <v>0</v>
      </c>
      <c r="D1256" s="10">
        <f t="shared" si="544"/>
        <v>0</v>
      </c>
      <c r="E1256" s="1">
        <f t="shared" si="545"/>
        <v>0</v>
      </c>
      <c r="F1256" s="1">
        <f t="shared" si="546"/>
        <v>0</v>
      </c>
      <c r="G1256" s="1">
        <f t="shared" si="547"/>
        <v>0</v>
      </c>
      <c r="H1256" s="1">
        <f t="shared" si="534"/>
        <v>0</v>
      </c>
      <c r="I1256" s="10">
        <f t="shared" si="548"/>
        <v>0</v>
      </c>
      <c r="J1256" s="1">
        <f t="shared" si="535"/>
        <v>0</v>
      </c>
      <c r="K1256" s="1">
        <f t="shared" si="536"/>
        <v>0</v>
      </c>
      <c r="L1256" s="1" t="str">
        <f t="shared" si="537"/>
        <v>0</v>
      </c>
      <c r="M1256" s="10">
        <f t="shared" si="538"/>
        <v>0</v>
      </c>
      <c r="N1256" s="1">
        <f t="shared" si="549"/>
        <v>0</v>
      </c>
      <c r="O1256" s="1">
        <f t="shared" si="541"/>
        <v>0</v>
      </c>
      <c r="P1256" s="1">
        <f t="shared" si="539"/>
        <v>0</v>
      </c>
      <c r="Q1256" s="3" t="str">
        <f t="shared" si="540"/>
        <v/>
      </c>
      <c r="T1256" s="13" t="str">
        <f t="shared" si="550"/>
        <v/>
      </c>
      <c r="U1256" s="14" t="str">
        <f t="shared" si="551"/>
        <v/>
      </c>
      <c r="V1256" s="13" t="str">
        <f t="shared" si="552"/>
        <v/>
      </c>
      <c r="W1256" s="13" t="str">
        <f t="shared" si="553"/>
        <v/>
      </c>
      <c r="X1256" s="14" t="str">
        <f t="shared" si="554"/>
        <v/>
      </c>
    </row>
    <row r="1257" spans="2:24" x14ac:dyDescent="0.3">
      <c r="B1257" s="1">
        <f t="shared" si="542"/>
        <v>0</v>
      </c>
      <c r="C1257" s="1">
        <f t="shared" si="543"/>
        <v>0</v>
      </c>
      <c r="D1257" s="10">
        <f t="shared" si="544"/>
        <v>0</v>
      </c>
      <c r="E1257" s="1">
        <f t="shared" si="545"/>
        <v>0</v>
      </c>
      <c r="F1257" s="1">
        <f t="shared" si="546"/>
        <v>0</v>
      </c>
      <c r="G1257" s="1">
        <f t="shared" si="547"/>
        <v>0</v>
      </c>
      <c r="H1257" s="1">
        <f t="shared" si="534"/>
        <v>0</v>
      </c>
      <c r="I1257" s="10">
        <f t="shared" si="548"/>
        <v>0</v>
      </c>
      <c r="J1257" s="1">
        <f t="shared" si="535"/>
        <v>0</v>
      </c>
      <c r="K1257" s="1">
        <f t="shared" si="536"/>
        <v>0</v>
      </c>
      <c r="L1257" s="1" t="str">
        <f t="shared" si="537"/>
        <v>0</v>
      </c>
      <c r="M1257" s="10">
        <f t="shared" si="538"/>
        <v>0</v>
      </c>
      <c r="N1257" s="1">
        <f t="shared" si="549"/>
        <v>0</v>
      </c>
      <c r="O1257" s="1">
        <f t="shared" si="541"/>
        <v>0</v>
      </c>
      <c r="P1257" s="1">
        <f t="shared" si="539"/>
        <v>0</v>
      </c>
      <c r="Q1257" s="3" t="str">
        <f t="shared" si="540"/>
        <v/>
      </c>
      <c r="T1257" s="13" t="str">
        <f t="shared" si="550"/>
        <v/>
      </c>
      <c r="U1257" s="14" t="str">
        <f t="shared" si="551"/>
        <v/>
      </c>
      <c r="V1257" s="13" t="str">
        <f t="shared" si="552"/>
        <v/>
      </c>
      <c r="W1257" s="13" t="str">
        <f t="shared" si="553"/>
        <v/>
      </c>
      <c r="X1257" s="14" t="str">
        <f t="shared" si="554"/>
        <v/>
      </c>
    </row>
    <row r="1258" spans="2:24" x14ac:dyDescent="0.3">
      <c r="B1258" s="1">
        <f t="shared" si="542"/>
        <v>0</v>
      </c>
      <c r="C1258" s="1">
        <f t="shared" si="543"/>
        <v>0</v>
      </c>
      <c r="D1258" s="10">
        <f t="shared" si="544"/>
        <v>0</v>
      </c>
      <c r="E1258" s="1">
        <f t="shared" si="545"/>
        <v>0</v>
      </c>
      <c r="F1258" s="1">
        <f t="shared" si="546"/>
        <v>0</v>
      </c>
      <c r="G1258" s="1">
        <f t="shared" si="547"/>
        <v>0</v>
      </c>
      <c r="H1258" s="1">
        <f t="shared" si="534"/>
        <v>0</v>
      </c>
      <c r="I1258" s="10">
        <f t="shared" si="548"/>
        <v>0</v>
      </c>
      <c r="J1258" s="1">
        <f t="shared" si="535"/>
        <v>0</v>
      </c>
      <c r="K1258" s="1">
        <f t="shared" si="536"/>
        <v>0</v>
      </c>
      <c r="L1258" s="1" t="str">
        <f t="shared" si="537"/>
        <v>0</v>
      </c>
      <c r="M1258" s="10">
        <f t="shared" si="538"/>
        <v>0</v>
      </c>
      <c r="N1258" s="1">
        <f t="shared" si="549"/>
        <v>0</v>
      </c>
      <c r="O1258" s="1">
        <f t="shared" si="541"/>
        <v>0</v>
      </c>
      <c r="P1258" s="1">
        <f t="shared" si="539"/>
        <v>0</v>
      </c>
      <c r="Q1258" s="3" t="str">
        <f t="shared" si="540"/>
        <v/>
      </c>
      <c r="T1258" s="13" t="str">
        <f t="shared" si="550"/>
        <v/>
      </c>
      <c r="U1258" s="14" t="str">
        <f t="shared" si="551"/>
        <v/>
      </c>
      <c r="V1258" s="13" t="str">
        <f t="shared" si="552"/>
        <v/>
      </c>
      <c r="W1258" s="13" t="str">
        <f t="shared" si="553"/>
        <v/>
      </c>
      <c r="X1258" s="14" t="str">
        <f t="shared" si="554"/>
        <v/>
      </c>
    </row>
    <row r="1259" spans="2:24" x14ac:dyDescent="0.3">
      <c r="B1259" s="1">
        <f t="shared" si="542"/>
        <v>0</v>
      </c>
      <c r="C1259" s="1">
        <f t="shared" si="543"/>
        <v>0</v>
      </c>
      <c r="D1259" s="10">
        <f t="shared" si="544"/>
        <v>0</v>
      </c>
      <c r="E1259" s="1">
        <f t="shared" si="545"/>
        <v>0</v>
      </c>
      <c r="F1259" s="1">
        <f t="shared" si="546"/>
        <v>0</v>
      </c>
      <c r="G1259" s="1">
        <f t="shared" si="547"/>
        <v>0</v>
      </c>
      <c r="H1259" s="1">
        <f t="shared" si="534"/>
        <v>0</v>
      </c>
      <c r="I1259" s="10">
        <f t="shared" si="548"/>
        <v>0</v>
      </c>
      <c r="J1259" s="1">
        <f t="shared" si="535"/>
        <v>0</v>
      </c>
      <c r="K1259" s="1">
        <f t="shared" si="536"/>
        <v>0</v>
      </c>
      <c r="L1259" s="1" t="str">
        <f t="shared" si="537"/>
        <v>0</v>
      </c>
      <c r="M1259" s="10">
        <f t="shared" si="538"/>
        <v>0</v>
      </c>
      <c r="N1259" s="1">
        <f t="shared" si="549"/>
        <v>0</v>
      </c>
      <c r="O1259" s="1">
        <f t="shared" si="541"/>
        <v>0</v>
      </c>
      <c r="P1259" s="1">
        <f t="shared" si="539"/>
        <v>0</v>
      </c>
      <c r="Q1259" s="3" t="str">
        <f t="shared" si="540"/>
        <v/>
      </c>
      <c r="T1259" s="13" t="str">
        <f t="shared" si="550"/>
        <v/>
      </c>
      <c r="U1259" s="14" t="str">
        <f t="shared" si="551"/>
        <v/>
      </c>
      <c r="V1259" s="13" t="str">
        <f t="shared" si="552"/>
        <v/>
      </c>
      <c r="W1259" s="13" t="str">
        <f t="shared" si="553"/>
        <v/>
      </c>
      <c r="X1259" s="14" t="str">
        <f t="shared" si="554"/>
        <v/>
      </c>
    </row>
    <row r="1260" spans="2:24" x14ac:dyDescent="0.3">
      <c r="B1260" s="1">
        <f t="shared" si="542"/>
        <v>0</v>
      </c>
      <c r="C1260" s="1">
        <f t="shared" si="543"/>
        <v>0</v>
      </c>
      <c r="D1260" s="10">
        <f t="shared" si="544"/>
        <v>0</v>
      </c>
      <c r="E1260" s="1">
        <f t="shared" si="545"/>
        <v>0</v>
      </c>
      <c r="F1260" s="1">
        <f t="shared" si="546"/>
        <v>0</v>
      </c>
      <c r="G1260" s="1">
        <f t="shared" si="547"/>
        <v>0</v>
      </c>
      <c r="H1260" s="1">
        <f t="shared" si="534"/>
        <v>0</v>
      </c>
      <c r="I1260" s="10">
        <f t="shared" si="548"/>
        <v>0</v>
      </c>
      <c r="J1260" s="1">
        <f t="shared" si="535"/>
        <v>0</v>
      </c>
      <c r="K1260" s="1">
        <f t="shared" si="536"/>
        <v>0</v>
      </c>
      <c r="L1260" s="1" t="str">
        <f t="shared" si="537"/>
        <v>0</v>
      </c>
      <c r="M1260" s="10">
        <f t="shared" si="538"/>
        <v>0</v>
      </c>
      <c r="N1260" s="1">
        <f t="shared" si="549"/>
        <v>0</v>
      </c>
      <c r="O1260" s="1">
        <f t="shared" si="541"/>
        <v>0</v>
      </c>
      <c r="P1260" s="1">
        <f t="shared" si="539"/>
        <v>0</v>
      </c>
      <c r="Q1260" s="3" t="str">
        <f t="shared" si="540"/>
        <v/>
      </c>
      <c r="T1260" s="13" t="str">
        <f t="shared" si="550"/>
        <v/>
      </c>
      <c r="U1260" s="14" t="str">
        <f t="shared" si="551"/>
        <v/>
      </c>
      <c r="V1260" s="13" t="str">
        <f t="shared" si="552"/>
        <v/>
      </c>
      <c r="W1260" s="13" t="str">
        <f t="shared" si="553"/>
        <v/>
      </c>
      <c r="X1260" s="14" t="str">
        <f t="shared" si="554"/>
        <v/>
      </c>
    </row>
    <row r="1261" spans="2:24" x14ac:dyDescent="0.3">
      <c r="B1261" s="1">
        <f t="shared" si="542"/>
        <v>0</v>
      </c>
      <c r="C1261" s="1">
        <f t="shared" si="543"/>
        <v>0</v>
      </c>
      <c r="D1261" s="10">
        <f t="shared" si="544"/>
        <v>0</v>
      </c>
      <c r="E1261" s="1">
        <f t="shared" si="545"/>
        <v>0</v>
      </c>
      <c r="F1261" s="1">
        <f t="shared" si="546"/>
        <v>0</v>
      </c>
      <c r="G1261" s="1">
        <f t="shared" si="547"/>
        <v>0</v>
      </c>
      <c r="H1261" s="1">
        <f t="shared" si="534"/>
        <v>0</v>
      </c>
      <c r="I1261" s="10">
        <f t="shared" si="548"/>
        <v>0</v>
      </c>
      <c r="J1261" s="1">
        <f t="shared" si="535"/>
        <v>0</v>
      </c>
      <c r="K1261" s="1">
        <f t="shared" si="536"/>
        <v>0</v>
      </c>
      <c r="L1261" s="1" t="str">
        <f t="shared" si="537"/>
        <v>0</v>
      </c>
      <c r="M1261" s="10">
        <f t="shared" si="538"/>
        <v>0</v>
      </c>
      <c r="N1261" s="1">
        <f t="shared" si="549"/>
        <v>0</v>
      </c>
      <c r="O1261" s="1">
        <f t="shared" si="541"/>
        <v>0</v>
      </c>
      <c r="P1261" s="1">
        <f t="shared" si="539"/>
        <v>0</v>
      </c>
      <c r="Q1261" s="3" t="str">
        <f t="shared" si="540"/>
        <v/>
      </c>
      <c r="T1261" s="13" t="str">
        <f t="shared" si="550"/>
        <v/>
      </c>
      <c r="U1261" s="14" t="str">
        <f t="shared" si="551"/>
        <v/>
      </c>
      <c r="V1261" s="13" t="str">
        <f t="shared" si="552"/>
        <v/>
      </c>
      <c r="W1261" s="13" t="str">
        <f t="shared" si="553"/>
        <v/>
      </c>
      <c r="X1261" s="14" t="str">
        <f t="shared" si="554"/>
        <v/>
      </c>
    </row>
    <row r="1262" spans="2:24" x14ac:dyDescent="0.3">
      <c r="B1262" s="1">
        <f t="shared" si="542"/>
        <v>0</v>
      </c>
      <c r="C1262" s="1">
        <f t="shared" si="543"/>
        <v>0</v>
      </c>
      <c r="D1262" s="10">
        <f t="shared" si="544"/>
        <v>0</v>
      </c>
      <c r="E1262" s="1">
        <f t="shared" si="545"/>
        <v>0</v>
      </c>
      <c r="F1262" s="1">
        <f t="shared" si="546"/>
        <v>0</v>
      </c>
      <c r="G1262" s="1">
        <f t="shared" si="547"/>
        <v>0</v>
      </c>
      <c r="H1262" s="1">
        <f t="shared" si="534"/>
        <v>0</v>
      </c>
      <c r="I1262" s="10">
        <f t="shared" si="548"/>
        <v>0</v>
      </c>
      <c r="J1262" s="1">
        <f t="shared" si="535"/>
        <v>0</v>
      </c>
      <c r="K1262" s="1">
        <f t="shared" si="536"/>
        <v>0</v>
      </c>
      <c r="L1262" s="1" t="str">
        <f t="shared" si="537"/>
        <v>0</v>
      </c>
      <c r="M1262" s="10">
        <f t="shared" si="538"/>
        <v>0</v>
      </c>
      <c r="N1262" s="1">
        <f t="shared" si="549"/>
        <v>0</v>
      </c>
      <c r="O1262" s="1">
        <f t="shared" si="541"/>
        <v>0</v>
      </c>
      <c r="P1262" s="1">
        <f t="shared" si="539"/>
        <v>0</v>
      </c>
      <c r="Q1262" s="3" t="str">
        <f t="shared" si="540"/>
        <v/>
      </c>
      <c r="T1262" s="13" t="str">
        <f t="shared" si="550"/>
        <v/>
      </c>
      <c r="U1262" s="14" t="str">
        <f t="shared" si="551"/>
        <v/>
      </c>
      <c r="V1262" s="13" t="str">
        <f t="shared" si="552"/>
        <v/>
      </c>
      <c r="W1262" s="13" t="str">
        <f t="shared" si="553"/>
        <v/>
      </c>
      <c r="X1262" s="14" t="str">
        <f t="shared" si="554"/>
        <v/>
      </c>
    </row>
    <row r="1263" spans="2:24" x14ac:dyDescent="0.3">
      <c r="B1263" s="1">
        <f t="shared" si="542"/>
        <v>0</v>
      </c>
      <c r="C1263" s="1">
        <f t="shared" si="543"/>
        <v>0</v>
      </c>
      <c r="D1263" s="10">
        <f t="shared" si="544"/>
        <v>0</v>
      </c>
      <c r="E1263" s="1">
        <f t="shared" si="545"/>
        <v>0</v>
      </c>
      <c r="F1263" s="1">
        <f t="shared" si="546"/>
        <v>0</v>
      </c>
      <c r="G1263" s="1">
        <f t="shared" si="547"/>
        <v>0</v>
      </c>
      <c r="H1263" s="1">
        <f t="shared" si="534"/>
        <v>0</v>
      </c>
      <c r="I1263" s="10">
        <f t="shared" si="548"/>
        <v>0</v>
      </c>
      <c r="J1263" s="1">
        <f t="shared" si="535"/>
        <v>0</v>
      </c>
      <c r="K1263" s="1">
        <f t="shared" si="536"/>
        <v>0</v>
      </c>
      <c r="L1263" s="1" t="str">
        <f t="shared" si="537"/>
        <v>0</v>
      </c>
      <c r="M1263" s="10">
        <f t="shared" si="538"/>
        <v>0</v>
      </c>
      <c r="N1263" s="1">
        <f t="shared" si="549"/>
        <v>0</v>
      </c>
      <c r="O1263" s="1">
        <f t="shared" si="541"/>
        <v>0</v>
      </c>
      <c r="P1263" s="1">
        <f t="shared" si="539"/>
        <v>0</v>
      </c>
      <c r="Q1263" s="3" t="str">
        <f t="shared" si="540"/>
        <v/>
      </c>
      <c r="T1263" s="13" t="str">
        <f t="shared" si="550"/>
        <v/>
      </c>
      <c r="U1263" s="14" t="str">
        <f t="shared" si="551"/>
        <v/>
      </c>
      <c r="V1263" s="13" t="str">
        <f t="shared" si="552"/>
        <v/>
      </c>
      <c r="W1263" s="13" t="str">
        <f t="shared" si="553"/>
        <v/>
      </c>
      <c r="X1263" s="14" t="str">
        <f t="shared" si="554"/>
        <v/>
      </c>
    </row>
    <row r="1264" spans="2:24" x14ac:dyDescent="0.3">
      <c r="B1264" s="1">
        <f t="shared" si="542"/>
        <v>0</v>
      </c>
      <c r="C1264" s="1">
        <f t="shared" si="543"/>
        <v>0</v>
      </c>
      <c r="D1264" s="10">
        <f t="shared" si="544"/>
        <v>0</v>
      </c>
      <c r="E1264" s="1">
        <f t="shared" si="545"/>
        <v>0</v>
      </c>
      <c r="F1264" s="1">
        <f t="shared" si="546"/>
        <v>0</v>
      </c>
      <c r="G1264" s="1">
        <f t="shared" si="547"/>
        <v>0</v>
      </c>
      <c r="H1264" s="1">
        <f t="shared" si="534"/>
        <v>0</v>
      </c>
      <c r="I1264" s="10">
        <f t="shared" si="548"/>
        <v>0</v>
      </c>
      <c r="J1264" s="1">
        <f t="shared" si="535"/>
        <v>0</v>
      </c>
      <c r="K1264" s="1">
        <f t="shared" si="536"/>
        <v>0</v>
      </c>
      <c r="L1264" s="1" t="str">
        <f t="shared" si="537"/>
        <v>0</v>
      </c>
      <c r="M1264" s="10">
        <f t="shared" si="538"/>
        <v>0</v>
      </c>
      <c r="N1264" s="1">
        <f t="shared" si="549"/>
        <v>0</v>
      </c>
      <c r="O1264" s="1">
        <f t="shared" si="541"/>
        <v>0</v>
      </c>
      <c r="P1264" s="1">
        <f t="shared" si="539"/>
        <v>0</v>
      </c>
      <c r="Q1264" s="3" t="str">
        <f t="shared" si="540"/>
        <v/>
      </c>
      <c r="T1264" s="13" t="str">
        <f t="shared" si="550"/>
        <v/>
      </c>
      <c r="U1264" s="14" t="str">
        <f t="shared" si="551"/>
        <v/>
      </c>
      <c r="V1264" s="13" t="str">
        <f t="shared" si="552"/>
        <v/>
      </c>
      <c r="W1264" s="13" t="str">
        <f t="shared" si="553"/>
        <v/>
      </c>
      <c r="X1264" s="14" t="str">
        <f t="shared" si="554"/>
        <v/>
      </c>
    </row>
    <row r="1265" spans="2:24" x14ac:dyDescent="0.3">
      <c r="B1265" s="1">
        <f t="shared" si="542"/>
        <v>0</v>
      </c>
      <c r="C1265" s="1">
        <f t="shared" si="543"/>
        <v>0</v>
      </c>
      <c r="D1265" s="10">
        <f t="shared" si="544"/>
        <v>0</v>
      </c>
      <c r="E1265" s="1">
        <f t="shared" si="545"/>
        <v>0</v>
      </c>
      <c r="F1265" s="1">
        <f t="shared" si="546"/>
        <v>0</v>
      </c>
      <c r="G1265" s="1">
        <f t="shared" si="547"/>
        <v>0</v>
      </c>
      <c r="H1265" s="1">
        <f t="shared" si="534"/>
        <v>0</v>
      </c>
      <c r="I1265" s="10">
        <f t="shared" si="548"/>
        <v>0</v>
      </c>
      <c r="J1265" s="1">
        <f t="shared" si="535"/>
        <v>0</v>
      </c>
      <c r="K1265" s="1">
        <f t="shared" si="536"/>
        <v>0</v>
      </c>
      <c r="L1265" s="1" t="str">
        <f t="shared" si="537"/>
        <v>0</v>
      </c>
      <c r="M1265" s="10">
        <f t="shared" si="538"/>
        <v>0</v>
      </c>
      <c r="N1265" s="1">
        <f t="shared" si="549"/>
        <v>0</v>
      </c>
      <c r="O1265" s="1">
        <f t="shared" si="541"/>
        <v>0</v>
      </c>
      <c r="P1265" s="1">
        <f t="shared" si="539"/>
        <v>0</v>
      </c>
      <c r="Q1265" s="3" t="str">
        <f t="shared" si="540"/>
        <v/>
      </c>
      <c r="T1265" s="13" t="str">
        <f t="shared" si="550"/>
        <v/>
      </c>
      <c r="U1265" s="14" t="str">
        <f t="shared" si="551"/>
        <v/>
      </c>
      <c r="V1265" s="13" t="str">
        <f t="shared" si="552"/>
        <v/>
      </c>
      <c r="W1265" s="13" t="str">
        <f t="shared" si="553"/>
        <v/>
      </c>
      <c r="X1265" s="14" t="str">
        <f t="shared" si="554"/>
        <v/>
      </c>
    </row>
    <row r="1266" spans="2:24" x14ac:dyDescent="0.3">
      <c r="B1266" s="1">
        <f t="shared" si="542"/>
        <v>0</v>
      </c>
      <c r="C1266" s="1">
        <f t="shared" si="543"/>
        <v>0</v>
      </c>
      <c r="D1266" s="10">
        <f t="shared" si="544"/>
        <v>0</v>
      </c>
      <c r="E1266" s="1">
        <f t="shared" si="545"/>
        <v>0</v>
      </c>
      <c r="F1266" s="1">
        <f t="shared" si="546"/>
        <v>0</v>
      </c>
      <c r="G1266" s="1">
        <f t="shared" si="547"/>
        <v>0</v>
      </c>
      <c r="H1266" s="1">
        <f t="shared" si="534"/>
        <v>0</v>
      </c>
      <c r="I1266" s="10">
        <f t="shared" si="548"/>
        <v>0</v>
      </c>
      <c r="J1266" s="1">
        <f t="shared" si="535"/>
        <v>0</v>
      </c>
      <c r="K1266" s="1">
        <f t="shared" si="536"/>
        <v>0</v>
      </c>
      <c r="L1266" s="1" t="str">
        <f t="shared" si="537"/>
        <v>0</v>
      </c>
      <c r="M1266" s="10">
        <f t="shared" si="538"/>
        <v>0</v>
      </c>
      <c r="N1266" s="1">
        <f t="shared" si="549"/>
        <v>0</v>
      </c>
      <c r="O1266" s="1">
        <f t="shared" si="541"/>
        <v>0</v>
      </c>
      <c r="P1266" s="1">
        <f t="shared" si="539"/>
        <v>0</v>
      </c>
      <c r="Q1266" s="3" t="str">
        <f t="shared" si="540"/>
        <v/>
      </c>
      <c r="T1266" s="13" t="str">
        <f t="shared" si="550"/>
        <v/>
      </c>
      <c r="U1266" s="14" t="str">
        <f t="shared" si="551"/>
        <v/>
      </c>
      <c r="V1266" s="13" t="str">
        <f t="shared" si="552"/>
        <v/>
      </c>
      <c r="W1266" s="13" t="str">
        <f t="shared" si="553"/>
        <v/>
      </c>
      <c r="X1266" s="14" t="str">
        <f t="shared" si="554"/>
        <v/>
      </c>
    </row>
    <row r="1267" spans="2:24" x14ac:dyDescent="0.3">
      <c r="B1267" s="1">
        <f t="shared" si="542"/>
        <v>0</v>
      </c>
      <c r="C1267" s="1">
        <f t="shared" si="543"/>
        <v>0</v>
      </c>
      <c r="D1267" s="10">
        <f t="shared" si="544"/>
        <v>0</v>
      </c>
      <c r="E1267" s="1">
        <f t="shared" si="545"/>
        <v>0</v>
      </c>
      <c r="F1267" s="1">
        <f t="shared" si="546"/>
        <v>0</v>
      </c>
      <c r="G1267" s="1">
        <f t="shared" si="547"/>
        <v>0</v>
      </c>
      <c r="H1267" s="1">
        <f t="shared" si="534"/>
        <v>0</v>
      </c>
      <c r="I1267" s="10">
        <f t="shared" si="548"/>
        <v>0</v>
      </c>
      <c r="J1267" s="1">
        <f t="shared" si="535"/>
        <v>0</v>
      </c>
      <c r="K1267" s="1">
        <f t="shared" si="536"/>
        <v>0</v>
      </c>
      <c r="L1267" s="1" t="str">
        <f t="shared" si="537"/>
        <v>0</v>
      </c>
      <c r="M1267" s="10">
        <f t="shared" si="538"/>
        <v>0</v>
      </c>
      <c r="N1267" s="1">
        <f t="shared" si="549"/>
        <v>0</v>
      </c>
      <c r="O1267" s="1">
        <f t="shared" si="541"/>
        <v>0</v>
      </c>
      <c r="P1267" s="1">
        <f t="shared" si="539"/>
        <v>0</v>
      </c>
      <c r="Q1267" s="3" t="str">
        <f t="shared" si="540"/>
        <v/>
      </c>
      <c r="T1267" s="13" t="str">
        <f t="shared" si="550"/>
        <v/>
      </c>
      <c r="U1267" s="14" t="str">
        <f t="shared" si="551"/>
        <v/>
      </c>
      <c r="V1267" s="13" t="str">
        <f t="shared" si="552"/>
        <v/>
      </c>
      <c r="W1267" s="13" t="str">
        <f t="shared" si="553"/>
        <v/>
      </c>
      <c r="X1267" s="14" t="str">
        <f t="shared" si="554"/>
        <v/>
      </c>
    </row>
    <row r="1268" spans="2:24" x14ac:dyDescent="0.3">
      <c r="B1268" s="1">
        <f t="shared" si="542"/>
        <v>0</v>
      </c>
      <c r="C1268" s="1">
        <f t="shared" si="543"/>
        <v>0</v>
      </c>
      <c r="D1268" s="10">
        <f t="shared" si="544"/>
        <v>0</v>
      </c>
      <c r="E1268" s="1">
        <f t="shared" si="545"/>
        <v>0</v>
      </c>
      <c r="F1268" s="1">
        <f t="shared" si="546"/>
        <v>0</v>
      </c>
      <c r="G1268" s="1">
        <f t="shared" si="547"/>
        <v>0</v>
      </c>
      <c r="H1268" s="1">
        <f t="shared" si="534"/>
        <v>0</v>
      </c>
      <c r="I1268" s="10">
        <f t="shared" si="548"/>
        <v>0</v>
      </c>
      <c r="J1268" s="1">
        <f t="shared" si="535"/>
        <v>0</v>
      </c>
      <c r="K1268" s="1">
        <f t="shared" si="536"/>
        <v>0</v>
      </c>
      <c r="L1268" s="1" t="str">
        <f t="shared" si="537"/>
        <v>0</v>
      </c>
      <c r="M1268" s="10">
        <f t="shared" si="538"/>
        <v>0</v>
      </c>
      <c r="N1268" s="1">
        <f t="shared" si="549"/>
        <v>0</v>
      </c>
      <c r="O1268" s="1">
        <f t="shared" si="541"/>
        <v>0</v>
      </c>
      <c r="P1268" s="1">
        <f t="shared" si="539"/>
        <v>0</v>
      </c>
      <c r="Q1268" s="3" t="str">
        <f t="shared" si="540"/>
        <v/>
      </c>
      <c r="T1268" s="13" t="str">
        <f t="shared" si="550"/>
        <v/>
      </c>
      <c r="U1268" s="14" t="str">
        <f t="shared" si="551"/>
        <v/>
      </c>
      <c r="V1268" s="13" t="str">
        <f t="shared" si="552"/>
        <v/>
      </c>
      <c r="W1268" s="13" t="str">
        <f t="shared" si="553"/>
        <v/>
      </c>
      <c r="X1268" s="14" t="str">
        <f t="shared" si="554"/>
        <v/>
      </c>
    </row>
    <row r="1269" spans="2:24" x14ac:dyDescent="0.3">
      <c r="B1269" s="1">
        <f t="shared" si="542"/>
        <v>0</v>
      </c>
      <c r="C1269" s="1">
        <f t="shared" si="543"/>
        <v>0</v>
      </c>
      <c r="D1269" s="10">
        <f t="shared" si="544"/>
        <v>0</v>
      </c>
      <c r="E1269" s="1">
        <f t="shared" si="545"/>
        <v>0</v>
      </c>
      <c r="F1269" s="1">
        <f t="shared" si="546"/>
        <v>0</v>
      </c>
      <c r="G1269" s="1">
        <f t="shared" si="547"/>
        <v>0</v>
      </c>
      <c r="H1269" s="1">
        <f t="shared" ref="H1269:H1332" si="555">IF(AND(F1269&gt;0,F1269&lt;G1269),F1269,G1269)</f>
        <v>0</v>
      </c>
      <c r="I1269" s="10">
        <f t="shared" si="548"/>
        <v>0</v>
      </c>
      <c r="J1269" s="1">
        <f t="shared" ref="J1269:J1332" si="556">IF(AND(F1269&gt;0,F1269&lt;G1269),FIND("=",A1269,F1269)+1,0)</f>
        <v>0</v>
      </c>
      <c r="K1269" s="1">
        <f t="shared" ref="K1269:K1332" si="557">IF(J1269&gt;0,MID(A1269,J1269,G1269-J1269),0)</f>
        <v>0</v>
      </c>
      <c r="L1269" s="1" t="str">
        <f t="shared" ref="L1269:L1332" si="558">IFERROR(RIGHT(K1269,LEN(K1269)-FIND("0x",K1269)-1),DEC2HEX(K1269))</f>
        <v>0</v>
      </c>
      <c r="M1269" s="10">
        <f t="shared" ref="M1269:M1332" si="559">HEX2DEC(L1269)</f>
        <v>0</v>
      </c>
      <c r="N1269" s="1">
        <f t="shared" si="549"/>
        <v>0</v>
      </c>
      <c r="O1269" s="1">
        <f t="shared" si="541"/>
        <v>0</v>
      </c>
      <c r="P1269" s="1">
        <f t="shared" ref="P1269:P1332" si="560">IFERROR(FIND("*/",$A1269,N1269+1),0)</f>
        <v>0</v>
      </c>
      <c r="Q1269" s="3" t="str">
        <f t="shared" si="540"/>
        <v/>
      </c>
      <c r="T1269" s="13" t="str">
        <f t="shared" si="550"/>
        <v/>
      </c>
      <c r="U1269" s="14" t="str">
        <f t="shared" si="551"/>
        <v/>
      </c>
      <c r="V1269" s="13" t="str">
        <f t="shared" si="552"/>
        <v/>
      </c>
      <c r="W1269" s="13" t="str">
        <f t="shared" si="553"/>
        <v/>
      </c>
      <c r="X1269" s="14" t="str">
        <f t="shared" si="554"/>
        <v/>
      </c>
    </row>
    <row r="1270" spans="2:24" x14ac:dyDescent="0.3">
      <c r="B1270" s="1">
        <f t="shared" si="542"/>
        <v>0</v>
      </c>
      <c r="C1270" s="1">
        <f t="shared" si="543"/>
        <v>0</v>
      </c>
      <c r="D1270" s="10">
        <f t="shared" si="544"/>
        <v>0</v>
      </c>
      <c r="E1270" s="1">
        <f t="shared" si="545"/>
        <v>0</v>
      </c>
      <c r="F1270" s="1">
        <f t="shared" si="546"/>
        <v>0</v>
      </c>
      <c r="G1270" s="1">
        <f t="shared" si="547"/>
        <v>0</v>
      </c>
      <c r="H1270" s="1">
        <f t="shared" si="555"/>
        <v>0</v>
      </c>
      <c r="I1270" s="10">
        <f t="shared" si="548"/>
        <v>0</v>
      </c>
      <c r="J1270" s="1">
        <f t="shared" si="556"/>
        <v>0</v>
      </c>
      <c r="K1270" s="1">
        <f t="shared" si="557"/>
        <v>0</v>
      </c>
      <c r="L1270" s="1" t="str">
        <f t="shared" si="558"/>
        <v>0</v>
      </c>
      <c r="M1270" s="10">
        <f t="shared" si="559"/>
        <v>0</v>
      </c>
      <c r="N1270" s="1">
        <f t="shared" si="549"/>
        <v>0</v>
      </c>
      <c r="O1270" s="1">
        <f t="shared" si="541"/>
        <v>0</v>
      </c>
      <c r="P1270" s="1">
        <f t="shared" si="560"/>
        <v>0</v>
      </c>
      <c r="Q1270" s="3" t="str">
        <f t="shared" si="540"/>
        <v/>
      </c>
      <c r="T1270" s="13" t="str">
        <f t="shared" si="550"/>
        <v/>
      </c>
      <c r="U1270" s="14" t="str">
        <f t="shared" si="551"/>
        <v/>
      </c>
      <c r="V1270" s="13" t="str">
        <f t="shared" si="552"/>
        <v/>
      </c>
      <c r="W1270" s="13" t="str">
        <f t="shared" si="553"/>
        <v/>
      </c>
      <c r="X1270" s="14" t="str">
        <f t="shared" si="554"/>
        <v/>
      </c>
    </row>
    <row r="1271" spans="2:24" x14ac:dyDescent="0.3">
      <c r="B1271" s="1">
        <f t="shared" si="542"/>
        <v>0</v>
      </c>
      <c r="C1271" s="1">
        <f t="shared" si="543"/>
        <v>0</v>
      </c>
      <c r="D1271" s="10">
        <f t="shared" si="544"/>
        <v>0</v>
      </c>
      <c r="E1271" s="1">
        <f t="shared" si="545"/>
        <v>0</v>
      </c>
      <c r="F1271" s="1">
        <f t="shared" si="546"/>
        <v>0</v>
      </c>
      <c r="G1271" s="1">
        <f t="shared" si="547"/>
        <v>0</v>
      </c>
      <c r="H1271" s="1">
        <f t="shared" si="555"/>
        <v>0</v>
      </c>
      <c r="I1271" s="10">
        <f t="shared" si="548"/>
        <v>0</v>
      </c>
      <c r="J1271" s="1">
        <f t="shared" si="556"/>
        <v>0</v>
      </c>
      <c r="K1271" s="1">
        <f t="shared" si="557"/>
        <v>0</v>
      </c>
      <c r="L1271" s="1" t="str">
        <f t="shared" si="558"/>
        <v>0</v>
      </c>
      <c r="M1271" s="10">
        <f t="shared" si="559"/>
        <v>0</v>
      </c>
      <c r="N1271" s="1">
        <f t="shared" si="549"/>
        <v>0</v>
      </c>
      <c r="O1271" s="1">
        <f t="shared" si="541"/>
        <v>0</v>
      </c>
      <c r="P1271" s="1">
        <f t="shared" si="560"/>
        <v>0</v>
      </c>
      <c r="Q1271" s="3" t="str">
        <f t="shared" si="540"/>
        <v/>
      </c>
      <c r="T1271" s="13" t="str">
        <f t="shared" si="550"/>
        <v/>
      </c>
      <c r="U1271" s="14" t="str">
        <f t="shared" si="551"/>
        <v/>
      </c>
      <c r="V1271" s="13" t="str">
        <f t="shared" si="552"/>
        <v/>
      </c>
      <c r="W1271" s="13" t="str">
        <f t="shared" si="553"/>
        <v/>
      </c>
      <c r="X1271" s="14" t="str">
        <f t="shared" si="554"/>
        <v/>
      </c>
    </row>
    <row r="1272" spans="2:24" x14ac:dyDescent="0.3">
      <c r="B1272" s="1">
        <f t="shared" si="542"/>
        <v>0</v>
      </c>
      <c r="C1272" s="1">
        <f t="shared" si="543"/>
        <v>0</v>
      </c>
      <c r="D1272" s="10">
        <f t="shared" si="544"/>
        <v>0</v>
      </c>
      <c r="E1272" s="1">
        <f t="shared" si="545"/>
        <v>0</v>
      </c>
      <c r="F1272" s="1">
        <f t="shared" si="546"/>
        <v>0</v>
      </c>
      <c r="G1272" s="1">
        <f t="shared" si="547"/>
        <v>0</v>
      </c>
      <c r="H1272" s="1">
        <f t="shared" si="555"/>
        <v>0</v>
      </c>
      <c r="I1272" s="10">
        <f t="shared" si="548"/>
        <v>0</v>
      </c>
      <c r="J1272" s="1">
        <f t="shared" si="556"/>
        <v>0</v>
      </c>
      <c r="K1272" s="1">
        <f t="shared" si="557"/>
        <v>0</v>
      </c>
      <c r="L1272" s="1" t="str">
        <f t="shared" si="558"/>
        <v>0</v>
      </c>
      <c r="M1272" s="10">
        <f t="shared" si="559"/>
        <v>0</v>
      </c>
      <c r="N1272" s="1">
        <f t="shared" si="549"/>
        <v>0</v>
      </c>
      <c r="O1272" s="1">
        <f t="shared" si="541"/>
        <v>0</v>
      </c>
      <c r="P1272" s="1">
        <f t="shared" si="560"/>
        <v>0</v>
      </c>
      <c r="Q1272" s="3" t="str">
        <f t="shared" si="540"/>
        <v/>
      </c>
      <c r="T1272" s="13" t="str">
        <f t="shared" si="550"/>
        <v/>
      </c>
      <c r="U1272" s="14" t="str">
        <f t="shared" si="551"/>
        <v/>
      </c>
      <c r="V1272" s="13" t="str">
        <f t="shared" si="552"/>
        <v/>
      </c>
      <c r="W1272" s="13" t="str">
        <f t="shared" si="553"/>
        <v/>
      </c>
      <c r="X1272" s="14" t="str">
        <f t="shared" si="554"/>
        <v/>
      </c>
    </row>
    <row r="1273" spans="2:24" x14ac:dyDescent="0.3">
      <c r="B1273" s="1">
        <f t="shared" si="542"/>
        <v>0</v>
      </c>
      <c r="C1273" s="1">
        <f t="shared" si="543"/>
        <v>0</v>
      </c>
      <c r="D1273" s="10">
        <f t="shared" si="544"/>
        <v>0</v>
      </c>
      <c r="E1273" s="1">
        <f t="shared" si="545"/>
        <v>0</v>
      </c>
      <c r="F1273" s="1">
        <f t="shared" si="546"/>
        <v>0</v>
      </c>
      <c r="G1273" s="1">
        <f t="shared" si="547"/>
        <v>0</v>
      </c>
      <c r="H1273" s="1">
        <f t="shared" si="555"/>
        <v>0</v>
      </c>
      <c r="I1273" s="10">
        <f t="shared" si="548"/>
        <v>0</v>
      </c>
      <c r="J1273" s="1">
        <f t="shared" si="556"/>
        <v>0</v>
      </c>
      <c r="K1273" s="1">
        <f t="shared" si="557"/>
        <v>0</v>
      </c>
      <c r="L1273" s="1" t="str">
        <f t="shared" si="558"/>
        <v>0</v>
      </c>
      <c r="M1273" s="10">
        <f t="shared" si="559"/>
        <v>0</v>
      </c>
      <c r="N1273" s="1">
        <f t="shared" si="549"/>
        <v>0</v>
      </c>
      <c r="O1273" s="1">
        <f t="shared" si="541"/>
        <v>0</v>
      </c>
      <c r="P1273" s="1">
        <f t="shared" si="560"/>
        <v>0</v>
      </c>
      <c r="Q1273" s="3" t="str">
        <f t="shared" si="540"/>
        <v/>
      </c>
      <c r="T1273" s="13" t="str">
        <f t="shared" si="550"/>
        <v/>
      </c>
      <c r="U1273" s="14" t="str">
        <f t="shared" si="551"/>
        <v/>
      </c>
      <c r="V1273" s="13" t="str">
        <f t="shared" si="552"/>
        <v/>
      </c>
      <c r="W1273" s="13" t="str">
        <f t="shared" si="553"/>
        <v/>
      </c>
      <c r="X1273" s="14" t="str">
        <f t="shared" si="554"/>
        <v/>
      </c>
    </row>
    <row r="1274" spans="2:24" x14ac:dyDescent="0.3">
      <c r="B1274" s="1">
        <f t="shared" si="542"/>
        <v>0</v>
      </c>
      <c r="C1274" s="1">
        <f t="shared" si="543"/>
        <v>0</v>
      </c>
      <c r="D1274" s="10">
        <f t="shared" si="544"/>
        <v>0</v>
      </c>
      <c r="E1274" s="1">
        <f t="shared" si="545"/>
        <v>0</v>
      </c>
      <c r="F1274" s="1">
        <f t="shared" si="546"/>
        <v>0</v>
      </c>
      <c r="G1274" s="1">
        <f t="shared" si="547"/>
        <v>0</v>
      </c>
      <c r="H1274" s="1">
        <f t="shared" si="555"/>
        <v>0</v>
      </c>
      <c r="I1274" s="10">
        <f t="shared" si="548"/>
        <v>0</v>
      </c>
      <c r="J1274" s="1">
        <f t="shared" si="556"/>
        <v>0</v>
      </c>
      <c r="K1274" s="1">
        <f t="shared" si="557"/>
        <v>0</v>
      </c>
      <c r="L1274" s="1" t="str">
        <f t="shared" si="558"/>
        <v>0</v>
      </c>
      <c r="M1274" s="10">
        <f t="shared" si="559"/>
        <v>0</v>
      </c>
      <c r="N1274" s="1">
        <f t="shared" si="549"/>
        <v>0</v>
      </c>
      <c r="O1274" s="1">
        <f t="shared" si="541"/>
        <v>0</v>
      </c>
      <c r="P1274" s="1">
        <f t="shared" si="560"/>
        <v>0</v>
      </c>
      <c r="Q1274" s="3" t="str">
        <f t="shared" si="540"/>
        <v/>
      </c>
      <c r="T1274" s="13" t="str">
        <f t="shared" si="550"/>
        <v/>
      </c>
      <c r="U1274" s="14" t="str">
        <f t="shared" si="551"/>
        <v/>
      </c>
      <c r="V1274" s="13" t="str">
        <f t="shared" si="552"/>
        <v/>
      </c>
      <c r="W1274" s="13" t="str">
        <f t="shared" si="553"/>
        <v/>
      </c>
      <c r="X1274" s="14" t="str">
        <f t="shared" si="554"/>
        <v/>
      </c>
    </row>
    <row r="1275" spans="2:24" x14ac:dyDescent="0.3">
      <c r="B1275" s="1">
        <f t="shared" si="542"/>
        <v>0</v>
      </c>
      <c r="C1275" s="1">
        <f t="shared" si="543"/>
        <v>0</v>
      </c>
      <c r="D1275" s="10">
        <f t="shared" si="544"/>
        <v>0</v>
      </c>
      <c r="E1275" s="1">
        <f t="shared" si="545"/>
        <v>0</v>
      </c>
      <c r="F1275" s="1">
        <f t="shared" si="546"/>
        <v>0</v>
      </c>
      <c r="G1275" s="1">
        <f t="shared" si="547"/>
        <v>0</v>
      </c>
      <c r="H1275" s="1">
        <f t="shared" si="555"/>
        <v>0</v>
      </c>
      <c r="I1275" s="10">
        <f t="shared" si="548"/>
        <v>0</v>
      </c>
      <c r="J1275" s="1">
        <f t="shared" si="556"/>
        <v>0</v>
      </c>
      <c r="K1275" s="1">
        <f t="shared" si="557"/>
        <v>0</v>
      </c>
      <c r="L1275" s="1" t="str">
        <f t="shared" si="558"/>
        <v>0</v>
      </c>
      <c r="M1275" s="10">
        <f t="shared" si="559"/>
        <v>0</v>
      </c>
      <c r="N1275" s="1">
        <f t="shared" si="549"/>
        <v>0</v>
      </c>
      <c r="O1275" s="1">
        <f t="shared" si="541"/>
        <v>0</v>
      </c>
      <c r="P1275" s="1">
        <f t="shared" si="560"/>
        <v>0</v>
      </c>
      <c r="Q1275" s="3" t="str">
        <f t="shared" si="540"/>
        <v/>
      </c>
      <c r="T1275" s="13" t="str">
        <f t="shared" si="550"/>
        <v/>
      </c>
      <c r="U1275" s="14" t="str">
        <f t="shared" si="551"/>
        <v/>
      </c>
      <c r="V1275" s="13" t="str">
        <f t="shared" si="552"/>
        <v/>
      </c>
      <c r="W1275" s="13" t="str">
        <f t="shared" si="553"/>
        <v/>
      </c>
      <c r="X1275" s="14" t="str">
        <f t="shared" si="554"/>
        <v/>
      </c>
    </row>
    <row r="1276" spans="2:24" x14ac:dyDescent="0.3">
      <c r="B1276" s="1">
        <f t="shared" si="542"/>
        <v>0</v>
      </c>
      <c r="C1276" s="1">
        <f t="shared" si="543"/>
        <v>0</v>
      </c>
      <c r="D1276" s="10">
        <f t="shared" si="544"/>
        <v>0</v>
      </c>
      <c r="E1276" s="1">
        <f t="shared" si="545"/>
        <v>0</v>
      </c>
      <c r="F1276" s="1">
        <f t="shared" si="546"/>
        <v>0</v>
      </c>
      <c r="G1276" s="1">
        <f t="shared" si="547"/>
        <v>0</v>
      </c>
      <c r="H1276" s="1">
        <f t="shared" si="555"/>
        <v>0</v>
      </c>
      <c r="I1276" s="10">
        <f t="shared" si="548"/>
        <v>0</v>
      </c>
      <c r="J1276" s="1">
        <f t="shared" si="556"/>
        <v>0</v>
      </c>
      <c r="K1276" s="1">
        <f t="shared" si="557"/>
        <v>0</v>
      </c>
      <c r="L1276" s="1" t="str">
        <f t="shared" si="558"/>
        <v>0</v>
      </c>
      <c r="M1276" s="10">
        <f t="shared" si="559"/>
        <v>0</v>
      </c>
      <c r="N1276" s="1">
        <f t="shared" si="549"/>
        <v>0</v>
      </c>
      <c r="O1276" s="1">
        <f t="shared" si="541"/>
        <v>0</v>
      </c>
      <c r="P1276" s="1">
        <f t="shared" si="560"/>
        <v>0</v>
      </c>
      <c r="Q1276" s="3" t="str">
        <f t="shared" si="540"/>
        <v/>
      </c>
      <c r="T1276" s="13" t="str">
        <f t="shared" si="550"/>
        <v/>
      </c>
      <c r="U1276" s="14" t="str">
        <f t="shared" si="551"/>
        <v/>
      </c>
      <c r="V1276" s="13" t="str">
        <f t="shared" si="552"/>
        <v/>
      </c>
      <c r="W1276" s="13" t="str">
        <f t="shared" si="553"/>
        <v/>
      </c>
      <c r="X1276" s="14" t="str">
        <f t="shared" si="554"/>
        <v/>
      </c>
    </row>
    <row r="1277" spans="2:24" x14ac:dyDescent="0.3">
      <c r="B1277" s="1">
        <f t="shared" si="542"/>
        <v>0</v>
      </c>
      <c r="C1277" s="1">
        <f t="shared" si="543"/>
        <v>0</v>
      </c>
      <c r="D1277" s="10">
        <f t="shared" si="544"/>
        <v>0</v>
      </c>
      <c r="E1277" s="1">
        <f t="shared" si="545"/>
        <v>0</v>
      </c>
      <c r="F1277" s="1">
        <f t="shared" si="546"/>
        <v>0</v>
      </c>
      <c r="G1277" s="1">
        <f t="shared" si="547"/>
        <v>0</v>
      </c>
      <c r="H1277" s="1">
        <f t="shared" si="555"/>
        <v>0</v>
      </c>
      <c r="I1277" s="10">
        <f t="shared" si="548"/>
        <v>0</v>
      </c>
      <c r="J1277" s="1">
        <f t="shared" si="556"/>
        <v>0</v>
      </c>
      <c r="K1277" s="1">
        <f t="shared" si="557"/>
        <v>0</v>
      </c>
      <c r="L1277" s="1" t="str">
        <f t="shared" si="558"/>
        <v>0</v>
      </c>
      <c r="M1277" s="10">
        <f t="shared" si="559"/>
        <v>0</v>
      </c>
      <c r="N1277" s="1">
        <f t="shared" si="549"/>
        <v>0</v>
      </c>
      <c r="O1277" s="1">
        <f t="shared" si="541"/>
        <v>0</v>
      </c>
      <c r="P1277" s="1">
        <f t="shared" si="560"/>
        <v>0</v>
      </c>
      <c r="Q1277" s="3" t="str">
        <f t="shared" si="540"/>
        <v/>
      </c>
      <c r="T1277" s="13" t="str">
        <f t="shared" si="550"/>
        <v/>
      </c>
      <c r="U1277" s="14" t="str">
        <f t="shared" si="551"/>
        <v/>
      </c>
      <c r="V1277" s="13" t="str">
        <f t="shared" si="552"/>
        <v/>
      </c>
      <c r="W1277" s="13" t="str">
        <f t="shared" si="553"/>
        <v/>
      </c>
      <c r="X1277" s="14" t="str">
        <f t="shared" si="554"/>
        <v/>
      </c>
    </row>
    <row r="1278" spans="2:24" x14ac:dyDescent="0.3">
      <c r="B1278" s="1">
        <f t="shared" si="542"/>
        <v>0</v>
      </c>
      <c r="C1278" s="1">
        <f t="shared" si="543"/>
        <v>0</v>
      </c>
      <c r="D1278" s="10">
        <f t="shared" si="544"/>
        <v>0</v>
      </c>
      <c r="E1278" s="1">
        <f t="shared" si="545"/>
        <v>0</v>
      </c>
      <c r="F1278" s="1">
        <f t="shared" si="546"/>
        <v>0</v>
      </c>
      <c r="G1278" s="1">
        <f t="shared" si="547"/>
        <v>0</v>
      </c>
      <c r="H1278" s="1">
        <f t="shared" si="555"/>
        <v>0</v>
      </c>
      <c r="I1278" s="10">
        <f t="shared" si="548"/>
        <v>0</v>
      </c>
      <c r="J1278" s="1">
        <f t="shared" si="556"/>
        <v>0</v>
      </c>
      <c r="K1278" s="1">
        <f t="shared" si="557"/>
        <v>0</v>
      </c>
      <c r="L1278" s="1" t="str">
        <f t="shared" si="558"/>
        <v>0</v>
      </c>
      <c r="M1278" s="10">
        <f t="shared" si="559"/>
        <v>0</v>
      </c>
      <c r="N1278" s="1">
        <f t="shared" si="549"/>
        <v>0</v>
      </c>
      <c r="O1278" s="1">
        <f t="shared" si="541"/>
        <v>0</v>
      </c>
      <c r="P1278" s="1">
        <f t="shared" si="560"/>
        <v>0</v>
      </c>
      <c r="Q1278" s="3" t="str">
        <f t="shared" si="540"/>
        <v/>
      </c>
      <c r="T1278" s="13" t="str">
        <f t="shared" si="550"/>
        <v/>
      </c>
      <c r="U1278" s="14" t="str">
        <f t="shared" si="551"/>
        <v/>
      </c>
      <c r="V1278" s="13" t="str">
        <f t="shared" si="552"/>
        <v/>
      </c>
      <c r="W1278" s="13" t="str">
        <f t="shared" si="553"/>
        <v/>
      </c>
      <c r="X1278" s="14" t="str">
        <f t="shared" si="554"/>
        <v/>
      </c>
    </row>
    <row r="1279" spans="2:24" x14ac:dyDescent="0.3">
      <c r="B1279" s="1">
        <f t="shared" si="542"/>
        <v>0</v>
      </c>
      <c r="C1279" s="1">
        <f t="shared" si="543"/>
        <v>0</v>
      </c>
      <c r="D1279" s="10">
        <f t="shared" si="544"/>
        <v>0</v>
      </c>
      <c r="E1279" s="1">
        <f t="shared" si="545"/>
        <v>0</v>
      </c>
      <c r="F1279" s="1">
        <f t="shared" si="546"/>
        <v>0</v>
      </c>
      <c r="G1279" s="1">
        <f t="shared" si="547"/>
        <v>0</v>
      </c>
      <c r="H1279" s="1">
        <f t="shared" si="555"/>
        <v>0</v>
      </c>
      <c r="I1279" s="10">
        <f t="shared" si="548"/>
        <v>0</v>
      </c>
      <c r="J1279" s="1">
        <f t="shared" si="556"/>
        <v>0</v>
      </c>
      <c r="K1279" s="1">
        <f t="shared" si="557"/>
        <v>0</v>
      </c>
      <c r="L1279" s="1" t="str">
        <f t="shared" si="558"/>
        <v>0</v>
      </c>
      <c r="M1279" s="10">
        <f t="shared" si="559"/>
        <v>0</v>
      </c>
      <c r="N1279" s="1">
        <f t="shared" si="549"/>
        <v>0</v>
      </c>
      <c r="O1279" s="1">
        <f t="shared" si="541"/>
        <v>0</v>
      </c>
      <c r="P1279" s="1">
        <f t="shared" si="560"/>
        <v>0</v>
      </c>
      <c r="Q1279" s="3" t="str">
        <f t="shared" si="540"/>
        <v/>
      </c>
      <c r="T1279" s="13" t="str">
        <f t="shared" si="550"/>
        <v/>
      </c>
      <c r="U1279" s="14" t="str">
        <f t="shared" si="551"/>
        <v/>
      </c>
      <c r="V1279" s="13" t="str">
        <f t="shared" si="552"/>
        <v/>
      </c>
      <c r="W1279" s="13" t="str">
        <f t="shared" si="553"/>
        <v/>
      </c>
      <c r="X1279" s="14" t="str">
        <f t="shared" si="554"/>
        <v/>
      </c>
    </row>
    <row r="1280" spans="2:24" x14ac:dyDescent="0.3">
      <c r="B1280" s="1">
        <f t="shared" si="542"/>
        <v>0</v>
      </c>
      <c r="C1280" s="1">
        <f t="shared" si="543"/>
        <v>0</v>
      </c>
      <c r="D1280" s="10">
        <f t="shared" si="544"/>
        <v>0</v>
      </c>
      <c r="E1280" s="1">
        <f t="shared" si="545"/>
        <v>0</v>
      </c>
      <c r="F1280" s="1">
        <f t="shared" si="546"/>
        <v>0</v>
      </c>
      <c r="G1280" s="1">
        <f t="shared" si="547"/>
        <v>0</v>
      </c>
      <c r="H1280" s="1">
        <f t="shared" si="555"/>
        <v>0</v>
      </c>
      <c r="I1280" s="10">
        <f t="shared" si="548"/>
        <v>0</v>
      </c>
      <c r="J1280" s="1">
        <f t="shared" si="556"/>
        <v>0</v>
      </c>
      <c r="K1280" s="1">
        <f t="shared" si="557"/>
        <v>0</v>
      </c>
      <c r="L1280" s="1" t="str">
        <f t="shared" si="558"/>
        <v>0</v>
      </c>
      <c r="M1280" s="10">
        <f t="shared" si="559"/>
        <v>0</v>
      </c>
      <c r="N1280" s="1">
        <f t="shared" si="549"/>
        <v>0</v>
      </c>
      <c r="O1280" s="1">
        <f t="shared" si="541"/>
        <v>0</v>
      </c>
      <c r="P1280" s="1">
        <f t="shared" si="560"/>
        <v>0</v>
      </c>
      <c r="Q1280" s="3" t="str">
        <f t="shared" si="540"/>
        <v/>
      </c>
      <c r="T1280" s="13" t="str">
        <f t="shared" si="550"/>
        <v/>
      </c>
      <c r="U1280" s="14" t="str">
        <f t="shared" si="551"/>
        <v/>
      </c>
      <c r="V1280" s="13" t="str">
        <f t="shared" si="552"/>
        <v/>
      </c>
      <c r="W1280" s="13" t="str">
        <f t="shared" si="553"/>
        <v/>
      </c>
      <c r="X1280" s="14" t="str">
        <f t="shared" si="554"/>
        <v/>
      </c>
    </row>
    <row r="1281" spans="2:24" x14ac:dyDescent="0.3">
      <c r="B1281" s="1">
        <f t="shared" si="542"/>
        <v>0</v>
      </c>
      <c r="C1281" s="1">
        <f t="shared" si="543"/>
        <v>0</v>
      </c>
      <c r="D1281" s="10">
        <f t="shared" si="544"/>
        <v>0</v>
      </c>
      <c r="E1281" s="1">
        <f t="shared" si="545"/>
        <v>0</v>
      </c>
      <c r="F1281" s="1">
        <f t="shared" si="546"/>
        <v>0</v>
      </c>
      <c r="G1281" s="1">
        <f t="shared" si="547"/>
        <v>0</v>
      </c>
      <c r="H1281" s="1">
        <f t="shared" si="555"/>
        <v>0</v>
      </c>
      <c r="I1281" s="10">
        <f t="shared" si="548"/>
        <v>0</v>
      </c>
      <c r="J1281" s="1">
        <f t="shared" si="556"/>
        <v>0</v>
      </c>
      <c r="K1281" s="1">
        <f t="shared" si="557"/>
        <v>0</v>
      </c>
      <c r="L1281" s="1" t="str">
        <f t="shared" si="558"/>
        <v>0</v>
      </c>
      <c r="M1281" s="10">
        <f t="shared" si="559"/>
        <v>0</v>
      </c>
      <c r="N1281" s="1">
        <f t="shared" si="549"/>
        <v>0</v>
      </c>
      <c r="O1281" s="1">
        <f t="shared" si="541"/>
        <v>0</v>
      </c>
      <c r="P1281" s="1">
        <f t="shared" si="560"/>
        <v>0</v>
      </c>
      <c r="Q1281" s="3" t="str">
        <f t="shared" si="540"/>
        <v/>
      </c>
      <c r="T1281" s="13" t="str">
        <f t="shared" si="550"/>
        <v/>
      </c>
      <c r="U1281" s="14" t="str">
        <f t="shared" si="551"/>
        <v/>
      </c>
      <c r="V1281" s="13" t="str">
        <f t="shared" si="552"/>
        <v/>
      </c>
      <c r="W1281" s="13" t="str">
        <f t="shared" si="553"/>
        <v/>
      </c>
      <c r="X1281" s="14" t="str">
        <f t="shared" si="554"/>
        <v/>
      </c>
    </row>
    <row r="1282" spans="2:24" x14ac:dyDescent="0.3">
      <c r="B1282" s="1">
        <f t="shared" si="542"/>
        <v>0</v>
      </c>
      <c r="C1282" s="1">
        <f t="shared" si="543"/>
        <v>0</v>
      </c>
      <c r="D1282" s="10">
        <f t="shared" si="544"/>
        <v>0</v>
      </c>
      <c r="E1282" s="1">
        <f t="shared" si="545"/>
        <v>0</v>
      </c>
      <c r="F1282" s="1">
        <f t="shared" si="546"/>
        <v>0</v>
      </c>
      <c r="G1282" s="1">
        <f t="shared" si="547"/>
        <v>0</v>
      </c>
      <c r="H1282" s="1">
        <f t="shared" si="555"/>
        <v>0</v>
      </c>
      <c r="I1282" s="10">
        <f t="shared" si="548"/>
        <v>0</v>
      </c>
      <c r="J1282" s="1">
        <f t="shared" si="556"/>
        <v>0</v>
      </c>
      <c r="K1282" s="1">
        <f t="shared" si="557"/>
        <v>0</v>
      </c>
      <c r="L1282" s="1" t="str">
        <f t="shared" si="558"/>
        <v>0</v>
      </c>
      <c r="M1282" s="10">
        <f t="shared" si="559"/>
        <v>0</v>
      </c>
      <c r="N1282" s="1">
        <f t="shared" si="549"/>
        <v>0</v>
      </c>
      <c r="O1282" s="1">
        <f t="shared" si="541"/>
        <v>0</v>
      </c>
      <c r="P1282" s="1">
        <f t="shared" si="560"/>
        <v>0</v>
      </c>
      <c r="Q1282" s="3" t="str">
        <f t="shared" si="540"/>
        <v/>
      </c>
      <c r="T1282" s="13" t="str">
        <f t="shared" si="550"/>
        <v/>
      </c>
      <c r="U1282" s="14" t="str">
        <f t="shared" si="551"/>
        <v/>
      </c>
      <c r="V1282" s="13" t="str">
        <f t="shared" si="552"/>
        <v/>
      </c>
      <c r="W1282" s="13" t="str">
        <f t="shared" si="553"/>
        <v/>
      </c>
      <c r="X1282" s="14" t="str">
        <f t="shared" si="554"/>
        <v/>
      </c>
    </row>
    <row r="1283" spans="2:24" x14ac:dyDescent="0.3">
      <c r="B1283" s="1">
        <f t="shared" si="542"/>
        <v>0</v>
      </c>
      <c r="C1283" s="1">
        <f t="shared" si="543"/>
        <v>0</v>
      </c>
      <c r="D1283" s="10">
        <f t="shared" si="544"/>
        <v>0</v>
      </c>
      <c r="E1283" s="1">
        <f t="shared" si="545"/>
        <v>0</v>
      </c>
      <c r="F1283" s="1">
        <f t="shared" si="546"/>
        <v>0</v>
      </c>
      <c r="G1283" s="1">
        <f t="shared" si="547"/>
        <v>0</v>
      </c>
      <c r="H1283" s="1">
        <f t="shared" si="555"/>
        <v>0</v>
      </c>
      <c r="I1283" s="10">
        <f t="shared" si="548"/>
        <v>0</v>
      </c>
      <c r="J1283" s="1">
        <f t="shared" si="556"/>
        <v>0</v>
      </c>
      <c r="K1283" s="1">
        <f t="shared" si="557"/>
        <v>0</v>
      </c>
      <c r="L1283" s="1" t="str">
        <f t="shared" si="558"/>
        <v>0</v>
      </c>
      <c r="M1283" s="10">
        <f t="shared" si="559"/>
        <v>0</v>
      </c>
      <c r="N1283" s="1">
        <f t="shared" si="549"/>
        <v>0</v>
      </c>
      <c r="O1283" s="1">
        <f t="shared" si="541"/>
        <v>0</v>
      </c>
      <c r="P1283" s="1">
        <f t="shared" si="560"/>
        <v>0</v>
      </c>
      <c r="Q1283" s="3" t="str">
        <f t="shared" si="540"/>
        <v/>
      </c>
      <c r="T1283" s="13" t="str">
        <f t="shared" si="550"/>
        <v/>
      </c>
      <c r="U1283" s="14" t="str">
        <f t="shared" si="551"/>
        <v/>
      </c>
      <c r="V1283" s="13" t="str">
        <f t="shared" si="552"/>
        <v/>
      </c>
      <c r="W1283" s="13" t="str">
        <f t="shared" si="553"/>
        <v/>
      </c>
      <c r="X1283" s="14" t="str">
        <f t="shared" si="554"/>
        <v/>
      </c>
    </row>
    <row r="1284" spans="2:24" x14ac:dyDescent="0.3">
      <c r="B1284" s="1">
        <f t="shared" si="542"/>
        <v>0</v>
      </c>
      <c r="C1284" s="1">
        <f t="shared" si="543"/>
        <v>0</v>
      </c>
      <c r="D1284" s="10">
        <f t="shared" si="544"/>
        <v>0</v>
      </c>
      <c r="E1284" s="1">
        <f t="shared" si="545"/>
        <v>0</v>
      </c>
      <c r="F1284" s="1">
        <f t="shared" si="546"/>
        <v>0</v>
      </c>
      <c r="G1284" s="1">
        <f t="shared" si="547"/>
        <v>0</v>
      </c>
      <c r="H1284" s="1">
        <f t="shared" si="555"/>
        <v>0</v>
      </c>
      <c r="I1284" s="10">
        <f t="shared" si="548"/>
        <v>0</v>
      </c>
      <c r="J1284" s="1">
        <f t="shared" si="556"/>
        <v>0</v>
      </c>
      <c r="K1284" s="1">
        <f t="shared" si="557"/>
        <v>0</v>
      </c>
      <c r="L1284" s="1" t="str">
        <f t="shared" si="558"/>
        <v>0</v>
      </c>
      <c r="M1284" s="10">
        <f t="shared" si="559"/>
        <v>0</v>
      </c>
      <c r="N1284" s="1">
        <f t="shared" si="549"/>
        <v>0</v>
      </c>
      <c r="O1284" s="1">
        <f t="shared" si="541"/>
        <v>0</v>
      </c>
      <c r="P1284" s="1">
        <f t="shared" si="560"/>
        <v>0</v>
      </c>
      <c r="Q1284" s="3" t="str">
        <f t="shared" ref="Q1284:Q1347" si="561">IF($N1284&gt;0,MID($A1284,($N1284+$O1284),$P1284-($N1284+$O1284)),"")</f>
        <v/>
      </c>
      <c r="T1284" s="13" t="str">
        <f t="shared" si="550"/>
        <v/>
      </c>
      <c r="U1284" s="14" t="str">
        <f t="shared" si="551"/>
        <v/>
      </c>
      <c r="V1284" s="13" t="str">
        <f t="shared" si="552"/>
        <v/>
      </c>
      <c r="W1284" s="13" t="str">
        <f t="shared" si="553"/>
        <v/>
      </c>
      <c r="X1284" s="14" t="str">
        <f t="shared" si="554"/>
        <v/>
      </c>
    </row>
    <row r="1285" spans="2:24" x14ac:dyDescent="0.3">
      <c r="B1285" s="1">
        <f t="shared" si="542"/>
        <v>0</v>
      </c>
      <c r="C1285" s="1">
        <f t="shared" si="543"/>
        <v>0</v>
      </c>
      <c r="D1285" s="10">
        <f t="shared" si="544"/>
        <v>0</v>
      </c>
      <c r="E1285" s="1">
        <f t="shared" si="545"/>
        <v>0</v>
      </c>
      <c r="F1285" s="1">
        <f t="shared" si="546"/>
        <v>0</v>
      </c>
      <c r="G1285" s="1">
        <f t="shared" si="547"/>
        <v>0</v>
      </c>
      <c r="H1285" s="1">
        <f t="shared" si="555"/>
        <v>0</v>
      </c>
      <c r="I1285" s="10">
        <f t="shared" si="548"/>
        <v>0</v>
      </c>
      <c r="J1285" s="1">
        <f t="shared" si="556"/>
        <v>0</v>
      </c>
      <c r="K1285" s="1">
        <f t="shared" si="557"/>
        <v>0</v>
      </c>
      <c r="L1285" s="1" t="str">
        <f t="shared" si="558"/>
        <v>0</v>
      </c>
      <c r="M1285" s="10">
        <f t="shared" si="559"/>
        <v>0</v>
      </c>
      <c r="N1285" s="1">
        <f t="shared" si="549"/>
        <v>0</v>
      </c>
      <c r="O1285" s="1">
        <f t="shared" ref="O1285:O1348" si="562">IFERROR(FIND("#",$A1285)+1-N1285,0)</f>
        <v>0</v>
      </c>
      <c r="P1285" s="1">
        <f t="shared" si="560"/>
        <v>0</v>
      </c>
      <c r="Q1285" s="3" t="str">
        <f t="shared" si="561"/>
        <v/>
      </c>
      <c r="T1285" s="13" t="str">
        <f t="shared" si="550"/>
        <v/>
      </c>
      <c r="U1285" s="14" t="str">
        <f t="shared" si="551"/>
        <v/>
      </c>
      <c r="V1285" s="13" t="str">
        <f t="shared" si="552"/>
        <v/>
      </c>
      <c r="W1285" s="13" t="str">
        <f t="shared" si="553"/>
        <v/>
      </c>
      <c r="X1285" s="14" t="str">
        <f t="shared" si="554"/>
        <v/>
      </c>
    </row>
    <row r="1286" spans="2:24" x14ac:dyDescent="0.3">
      <c r="B1286" s="1">
        <f t="shared" si="542"/>
        <v>0</v>
      </c>
      <c r="C1286" s="1">
        <f t="shared" si="543"/>
        <v>0</v>
      </c>
      <c r="D1286" s="10">
        <f t="shared" si="544"/>
        <v>0</v>
      </c>
      <c r="E1286" s="1">
        <f t="shared" si="545"/>
        <v>0</v>
      </c>
      <c r="F1286" s="1">
        <f t="shared" si="546"/>
        <v>0</v>
      </c>
      <c r="G1286" s="1">
        <f t="shared" si="547"/>
        <v>0</v>
      </c>
      <c r="H1286" s="1">
        <f t="shared" si="555"/>
        <v>0</v>
      </c>
      <c r="I1286" s="10">
        <f t="shared" si="548"/>
        <v>0</v>
      </c>
      <c r="J1286" s="1">
        <f t="shared" si="556"/>
        <v>0</v>
      </c>
      <c r="K1286" s="1">
        <f t="shared" si="557"/>
        <v>0</v>
      </c>
      <c r="L1286" s="1" t="str">
        <f t="shared" si="558"/>
        <v>0</v>
      </c>
      <c r="M1286" s="10">
        <f t="shared" si="559"/>
        <v>0</v>
      </c>
      <c r="N1286" s="1">
        <f t="shared" si="549"/>
        <v>0</v>
      </c>
      <c r="O1286" s="1">
        <f t="shared" si="562"/>
        <v>0</v>
      </c>
      <c r="P1286" s="1">
        <f t="shared" si="560"/>
        <v>0</v>
      </c>
      <c r="Q1286" s="3" t="str">
        <f t="shared" si="561"/>
        <v/>
      </c>
      <c r="T1286" s="13" t="str">
        <f t="shared" si="550"/>
        <v/>
      </c>
      <c r="U1286" s="14" t="str">
        <f t="shared" si="551"/>
        <v/>
      </c>
      <c r="V1286" s="13" t="str">
        <f t="shared" si="552"/>
        <v/>
      </c>
      <c r="W1286" s="13" t="str">
        <f t="shared" si="553"/>
        <v/>
      </c>
      <c r="X1286" s="14" t="str">
        <f t="shared" si="554"/>
        <v/>
      </c>
    </row>
    <row r="1287" spans="2:24" x14ac:dyDescent="0.3">
      <c r="B1287" s="1">
        <f t="shared" ref="B1287:B1350" si="563">IFERROR(FIND("UP_SET(",$A1287)+7,0)</f>
        <v>0</v>
      </c>
      <c r="C1287" s="1">
        <f t="shared" ref="C1287:C1350" si="564">IF($B1287&gt;0,FIND(",",$A1287,$B1287),0)</f>
        <v>0</v>
      </c>
      <c r="D1287" s="10">
        <f t="shared" ref="D1287:D1350" si="565">IF($B1287&gt;0,MID($A1287,$B1287,$C1287-$B1287),0)</f>
        <v>0</v>
      </c>
      <c r="E1287" s="1">
        <f t="shared" ref="E1287:E1350" si="566">IF($B1287&gt;0,FIND("Up",$A1287,$C1287),0)</f>
        <v>0</v>
      </c>
      <c r="F1287" s="1">
        <f t="shared" ref="F1287:F1350" si="567">IF($B1287&gt;0,IFERROR(FIND(",",$A1287,$E1287),0),0)</f>
        <v>0</v>
      </c>
      <c r="G1287" s="1">
        <f t="shared" ref="G1287:G1350" si="568">IF($B1287&gt;0,FIND(")",$A1287,$B1287),0)</f>
        <v>0</v>
      </c>
      <c r="H1287" s="1">
        <f t="shared" si="555"/>
        <v>0</v>
      </c>
      <c r="I1287" s="10">
        <f t="shared" ref="I1287:I1350" si="569">IF($B1287&gt;0,MID($A1287,$E1287,$H1287-$E1287),0)</f>
        <v>0</v>
      </c>
      <c r="J1287" s="1">
        <f t="shared" si="556"/>
        <v>0</v>
      </c>
      <c r="K1287" s="1">
        <f t="shared" si="557"/>
        <v>0</v>
      </c>
      <c r="L1287" s="1" t="str">
        <f t="shared" si="558"/>
        <v>0</v>
      </c>
      <c r="M1287" s="10">
        <f t="shared" si="559"/>
        <v>0</v>
      </c>
      <c r="N1287" s="1">
        <f t="shared" ref="N1287:N1350" si="570">IFERROR(FIND("/*",$A1287)+2,0)</f>
        <v>0</v>
      </c>
      <c r="O1287" s="1">
        <f t="shared" si="562"/>
        <v>0</v>
      </c>
      <c r="P1287" s="1">
        <f t="shared" si="560"/>
        <v>0</v>
      </c>
      <c r="Q1287" s="3" t="str">
        <f t="shared" si="561"/>
        <v/>
      </c>
      <c r="T1287" s="13" t="str">
        <f t="shared" si="550"/>
        <v/>
      </c>
      <c r="U1287" s="14" t="str">
        <f t="shared" si="551"/>
        <v/>
      </c>
      <c r="V1287" s="13" t="str">
        <f t="shared" si="552"/>
        <v/>
      </c>
      <c r="W1287" s="13" t="str">
        <f t="shared" si="553"/>
        <v/>
      </c>
      <c r="X1287" s="14" t="str">
        <f t="shared" si="554"/>
        <v/>
      </c>
    </row>
    <row r="1288" spans="2:24" x14ac:dyDescent="0.3">
      <c r="B1288" s="1">
        <f t="shared" si="563"/>
        <v>0</v>
      </c>
      <c r="C1288" s="1">
        <f t="shared" si="564"/>
        <v>0</v>
      </c>
      <c r="D1288" s="10">
        <f t="shared" si="565"/>
        <v>0</v>
      </c>
      <c r="E1288" s="1">
        <f t="shared" si="566"/>
        <v>0</v>
      </c>
      <c r="F1288" s="1">
        <f t="shared" si="567"/>
        <v>0</v>
      </c>
      <c r="G1288" s="1">
        <f t="shared" si="568"/>
        <v>0</v>
      </c>
      <c r="H1288" s="1">
        <f t="shared" si="555"/>
        <v>0</v>
      </c>
      <c r="I1288" s="10">
        <f t="shared" si="569"/>
        <v>0</v>
      </c>
      <c r="J1288" s="1">
        <f t="shared" si="556"/>
        <v>0</v>
      </c>
      <c r="K1288" s="1">
        <f t="shared" si="557"/>
        <v>0</v>
      </c>
      <c r="L1288" s="1" t="str">
        <f t="shared" si="558"/>
        <v>0</v>
      </c>
      <c r="M1288" s="10">
        <f t="shared" si="559"/>
        <v>0</v>
      </c>
      <c r="N1288" s="1">
        <f t="shared" si="570"/>
        <v>0</v>
      </c>
      <c r="O1288" s="1">
        <f t="shared" si="562"/>
        <v>0</v>
      </c>
      <c r="P1288" s="1">
        <f t="shared" si="560"/>
        <v>0</v>
      </c>
      <c r="Q1288" s="3" t="str">
        <f t="shared" si="561"/>
        <v/>
      </c>
      <c r="T1288" s="13" t="str">
        <f t="shared" si="550"/>
        <v/>
      </c>
      <c r="U1288" s="14" t="str">
        <f t="shared" si="551"/>
        <v/>
      </c>
      <c r="V1288" s="13" t="str">
        <f t="shared" si="552"/>
        <v/>
      </c>
      <c r="W1288" s="13" t="str">
        <f t="shared" si="553"/>
        <v/>
      </c>
      <c r="X1288" s="14" t="str">
        <f t="shared" si="554"/>
        <v/>
      </c>
    </row>
    <row r="1289" spans="2:24" x14ac:dyDescent="0.3">
      <c r="B1289" s="1">
        <f t="shared" si="563"/>
        <v>0</v>
      </c>
      <c r="C1289" s="1">
        <f t="shared" si="564"/>
        <v>0</v>
      </c>
      <c r="D1289" s="10">
        <f t="shared" si="565"/>
        <v>0</v>
      </c>
      <c r="E1289" s="1">
        <f t="shared" si="566"/>
        <v>0</v>
      </c>
      <c r="F1289" s="1">
        <f t="shared" si="567"/>
        <v>0</v>
      </c>
      <c r="G1289" s="1">
        <f t="shared" si="568"/>
        <v>0</v>
      </c>
      <c r="H1289" s="1">
        <f t="shared" si="555"/>
        <v>0</v>
      </c>
      <c r="I1289" s="10">
        <f t="shared" si="569"/>
        <v>0</v>
      </c>
      <c r="J1289" s="1">
        <f t="shared" si="556"/>
        <v>0</v>
      </c>
      <c r="K1289" s="1">
        <f t="shared" si="557"/>
        <v>0</v>
      </c>
      <c r="L1289" s="1" t="str">
        <f t="shared" si="558"/>
        <v>0</v>
      </c>
      <c r="M1289" s="10">
        <f t="shared" si="559"/>
        <v>0</v>
      </c>
      <c r="N1289" s="1">
        <f t="shared" si="570"/>
        <v>0</v>
      </c>
      <c r="O1289" s="1">
        <f t="shared" si="562"/>
        <v>0</v>
      </c>
      <c r="P1289" s="1">
        <f t="shared" si="560"/>
        <v>0</v>
      </c>
      <c r="Q1289" s="3" t="str">
        <f t="shared" si="561"/>
        <v/>
      </c>
      <c r="T1289" s="13" t="str">
        <f t="shared" si="550"/>
        <v/>
      </c>
      <c r="U1289" s="14" t="str">
        <f t="shared" si="551"/>
        <v/>
      </c>
      <c r="V1289" s="13" t="str">
        <f t="shared" si="552"/>
        <v/>
      </c>
      <c r="W1289" s="13" t="str">
        <f t="shared" si="553"/>
        <v/>
      </c>
      <c r="X1289" s="14" t="str">
        <f t="shared" si="554"/>
        <v/>
      </c>
    </row>
    <row r="1290" spans="2:24" x14ac:dyDescent="0.3">
      <c r="B1290" s="1">
        <f t="shared" si="563"/>
        <v>0</v>
      </c>
      <c r="C1290" s="1">
        <f t="shared" si="564"/>
        <v>0</v>
      </c>
      <c r="D1290" s="10">
        <f t="shared" si="565"/>
        <v>0</v>
      </c>
      <c r="E1290" s="1">
        <f t="shared" si="566"/>
        <v>0</v>
      </c>
      <c r="F1290" s="1">
        <f t="shared" si="567"/>
        <v>0</v>
      </c>
      <c r="G1290" s="1">
        <f t="shared" si="568"/>
        <v>0</v>
      </c>
      <c r="H1290" s="1">
        <f t="shared" si="555"/>
        <v>0</v>
      </c>
      <c r="I1290" s="10">
        <f t="shared" si="569"/>
        <v>0</v>
      </c>
      <c r="J1290" s="1">
        <f t="shared" si="556"/>
        <v>0</v>
      </c>
      <c r="K1290" s="1">
        <f t="shared" si="557"/>
        <v>0</v>
      </c>
      <c r="L1290" s="1" t="str">
        <f t="shared" si="558"/>
        <v>0</v>
      </c>
      <c r="M1290" s="10">
        <f t="shared" si="559"/>
        <v>0</v>
      </c>
      <c r="N1290" s="1">
        <f t="shared" si="570"/>
        <v>0</v>
      </c>
      <c r="O1290" s="1">
        <f t="shared" si="562"/>
        <v>0</v>
      </c>
      <c r="P1290" s="1">
        <f t="shared" si="560"/>
        <v>0</v>
      </c>
      <c r="Q1290" s="3" t="str">
        <f t="shared" si="561"/>
        <v/>
      </c>
      <c r="T1290" s="13" t="str">
        <f t="shared" si="550"/>
        <v/>
      </c>
      <c r="U1290" s="14" t="str">
        <f t="shared" si="551"/>
        <v/>
      </c>
      <c r="V1290" s="13" t="str">
        <f t="shared" si="552"/>
        <v/>
      </c>
      <c r="W1290" s="13" t="str">
        <f t="shared" si="553"/>
        <v/>
      </c>
      <c r="X1290" s="14" t="str">
        <f t="shared" si="554"/>
        <v/>
      </c>
    </row>
    <row r="1291" spans="2:24" x14ac:dyDescent="0.3">
      <c r="B1291" s="1">
        <f t="shared" si="563"/>
        <v>0</v>
      </c>
      <c r="C1291" s="1">
        <f t="shared" si="564"/>
        <v>0</v>
      </c>
      <c r="D1291" s="10">
        <f t="shared" si="565"/>
        <v>0</v>
      </c>
      <c r="E1291" s="1">
        <f t="shared" si="566"/>
        <v>0</v>
      </c>
      <c r="F1291" s="1">
        <f t="shared" si="567"/>
        <v>0</v>
      </c>
      <c r="G1291" s="1">
        <f t="shared" si="568"/>
        <v>0</v>
      </c>
      <c r="H1291" s="1">
        <f t="shared" si="555"/>
        <v>0</v>
      </c>
      <c r="I1291" s="10">
        <f t="shared" si="569"/>
        <v>0</v>
      </c>
      <c r="J1291" s="1">
        <f t="shared" si="556"/>
        <v>0</v>
      </c>
      <c r="K1291" s="1">
        <f t="shared" si="557"/>
        <v>0</v>
      </c>
      <c r="L1291" s="1" t="str">
        <f t="shared" si="558"/>
        <v>0</v>
      </c>
      <c r="M1291" s="10">
        <f t="shared" si="559"/>
        <v>0</v>
      </c>
      <c r="N1291" s="1">
        <f t="shared" si="570"/>
        <v>0</v>
      </c>
      <c r="O1291" s="1">
        <f t="shared" si="562"/>
        <v>0</v>
      </c>
      <c r="P1291" s="1">
        <f t="shared" si="560"/>
        <v>0</v>
      </c>
      <c r="Q1291" s="3" t="str">
        <f t="shared" si="561"/>
        <v/>
      </c>
      <c r="T1291" s="13" t="str">
        <f t="shared" si="550"/>
        <v/>
      </c>
      <c r="U1291" s="14" t="str">
        <f t="shared" si="551"/>
        <v/>
      </c>
      <c r="V1291" s="13" t="str">
        <f t="shared" si="552"/>
        <v/>
      </c>
      <c r="W1291" s="13" t="str">
        <f t="shared" si="553"/>
        <v/>
      </c>
      <c r="X1291" s="14" t="str">
        <f t="shared" si="554"/>
        <v/>
      </c>
    </row>
    <row r="1292" spans="2:24" x14ac:dyDescent="0.3">
      <c r="B1292" s="1">
        <f t="shared" si="563"/>
        <v>0</v>
      </c>
      <c r="C1292" s="1">
        <f t="shared" si="564"/>
        <v>0</v>
      </c>
      <c r="D1292" s="10">
        <f t="shared" si="565"/>
        <v>0</v>
      </c>
      <c r="E1292" s="1">
        <f t="shared" si="566"/>
        <v>0</v>
      </c>
      <c r="F1292" s="1">
        <f t="shared" si="567"/>
        <v>0</v>
      </c>
      <c r="G1292" s="1">
        <f t="shared" si="568"/>
        <v>0</v>
      </c>
      <c r="H1292" s="1">
        <f t="shared" si="555"/>
        <v>0</v>
      </c>
      <c r="I1292" s="10">
        <f t="shared" si="569"/>
        <v>0</v>
      </c>
      <c r="J1292" s="1">
        <f t="shared" si="556"/>
        <v>0</v>
      </c>
      <c r="K1292" s="1">
        <f t="shared" si="557"/>
        <v>0</v>
      </c>
      <c r="L1292" s="1" t="str">
        <f t="shared" si="558"/>
        <v>0</v>
      </c>
      <c r="M1292" s="10">
        <f t="shared" si="559"/>
        <v>0</v>
      </c>
      <c r="N1292" s="1">
        <f t="shared" si="570"/>
        <v>0</v>
      </c>
      <c r="O1292" s="1">
        <f t="shared" si="562"/>
        <v>0</v>
      </c>
      <c r="P1292" s="1">
        <f t="shared" si="560"/>
        <v>0</v>
      </c>
      <c r="Q1292" s="3" t="str">
        <f t="shared" si="561"/>
        <v/>
      </c>
      <c r="T1292" s="13" t="str">
        <f t="shared" si="550"/>
        <v/>
      </c>
      <c r="U1292" s="14" t="str">
        <f t="shared" si="551"/>
        <v/>
      </c>
      <c r="V1292" s="13" t="str">
        <f t="shared" si="552"/>
        <v/>
      </c>
      <c r="W1292" s="13" t="str">
        <f t="shared" si="553"/>
        <v/>
      </c>
      <c r="X1292" s="14" t="str">
        <f t="shared" si="554"/>
        <v/>
      </c>
    </row>
    <row r="1293" spans="2:24" x14ac:dyDescent="0.3">
      <c r="B1293" s="1">
        <f t="shared" si="563"/>
        <v>0</v>
      </c>
      <c r="C1293" s="1">
        <f t="shared" si="564"/>
        <v>0</v>
      </c>
      <c r="D1293" s="10">
        <f t="shared" si="565"/>
        <v>0</v>
      </c>
      <c r="E1293" s="1">
        <f t="shared" si="566"/>
        <v>0</v>
      </c>
      <c r="F1293" s="1">
        <f t="shared" si="567"/>
        <v>0</v>
      </c>
      <c r="G1293" s="1">
        <f t="shared" si="568"/>
        <v>0</v>
      </c>
      <c r="H1293" s="1">
        <f t="shared" si="555"/>
        <v>0</v>
      </c>
      <c r="I1293" s="10">
        <f t="shared" si="569"/>
        <v>0</v>
      </c>
      <c r="J1293" s="1">
        <f t="shared" si="556"/>
        <v>0</v>
      </c>
      <c r="K1293" s="1">
        <f t="shared" si="557"/>
        <v>0</v>
      </c>
      <c r="L1293" s="1" t="str">
        <f t="shared" si="558"/>
        <v>0</v>
      </c>
      <c r="M1293" s="10">
        <f t="shared" si="559"/>
        <v>0</v>
      </c>
      <c r="N1293" s="1">
        <f t="shared" si="570"/>
        <v>0</v>
      </c>
      <c r="O1293" s="1">
        <f t="shared" si="562"/>
        <v>0</v>
      </c>
      <c r="P1293" s="1">
        <f t="shared" si="560"/>
        <v>0</v>
      </c>
      <c r="Q1293" s="3" t="str">
        <f t="shared" si="561"/>
        <v/>
      </c>
      <c r="T1293" s="13" t="str">
        <f t="shared" si="550"/>
        <v/>
      </c>
      <c r="U1293" s="14" t="str">
        <f t="shared" si="551"/>
        <v/>
      </c>
      <c r="V1293" s="13" t="str">
        <f t="shared" si="552"/>
        <v/>
      </c>
      <c r="W1293" s="13" t="str">
        <f t="shared" si="553"/>
        <v/>
      </c>
      <c r="X1293" s="14" t="str">
        <f t="shared" si="554"/>
        <v/>
      </c>
    </row>
    <row r="1294" spans="2:24" x14ac:dyDescent="0.3">
      <c r="B1294" s="1">
        <f t="shared" si="563"/>
        <v>0</v>
      </c>
      <c r="C1294" s="1">
        <f t="shared" si="564"/>
        <v>0</v>
      </c>
      <c r="D1294" s="10">
        <f t="shared" si="565"/>
        <v>0</v>
      </c>
      <c r="E1294" s="1">
        <f t="shared" si="566"/>
        <v>0</v>
      </c>
      <c r="F1294" s="1">
        <f t="shared" si="567"/>
        <v>0</v>
      </c>
      <c r="G1294" s="1">
        <f t="shared" si="568"/>
        <v>0</v>
      </c>
      <c r="H1294" s="1">
        <f t="shared" si="555"/>
        <v>0</v>
      </c>
      <c r="I1294" s="10">
        <f t="shared" si="569"/>
        <v>0</v>
      </c>
      <c r="J1294" s="1">
        <f t="shared" si="556"/>
        <v>0</v>
      </c>
      <c r="K1294" s="1">
        <f t="shared" si="557"/>
        <v>0</v>
      </c>
      <c r="L1294" s="1" t="str">
        <f t="shared" si="558"/>
        <v>0</v>
      </c>
      <c r="M1294" s="10">
        <f t="shared" si="559"/>
        <v>0</v>
      </c>
      <c r="N1294" s="1">
        <f t="shared" si="570"/>
        <v>0</v>
      </c>
      <c r="O1294" s="1">
        <f t="shared" si="562"/>
        <v>0</v>
      </c>
      <c r="P1294" s="1">
        <f t="shared" si="560"/>
        <v>0</v>
      </c>
      <c r="Q1294" s="3" t="str">
        <f t="shared" si="561"/>
        <v/>
      </c>
      <c r="T1294" s="13" t="str">
        <f t="shared" si="550"/>
        <v/>
      </c>
      <c r="U1294" s="14" t="str">
        <f t="shared" si="551"/>
        <v/>
      </c>
      <c r="V1294" s="13" t="str">
        <f t="shared" si="552"/>
        <v/>
      </c>
      <c r="W1294" s="13" t="str">
        <f t="shared" si="553"/>
        <v/>
      </c>
      <c r="X1294" s="14" t="str">
        <f t="shared" si="554"/>
        <v/>
      </c>
    </row>
    <row r="1295" spans="2:24" x14ac:dyDescent="0.3">
      <c r="B1295" s="1">
        <f t="shared" si="563"/>
        <v>0</v>
      </c>
      <c r="C1295" s="1">
        <f t="shared" si="564"/>
        <v>0</v>
      </c>
      <c r="D1295" s="10">
        <f t="shared" si="565"/>
        <v>0</v>
      </c>
      <c r="E1295" s="1">
        <f t="shared" si="566"/>
        <v>0</v>
      </c>
      <c r="F1295" s="1">
        <f t="shared" si="567"/>
        <v>0</v>
      </c>
      <c r="G1295" s="1">
        <f t="shared" si="568"/>
        <v>0</v>
      </c>
      <c r="H1295" s="1">
        <f t="shared" si="555"/>
        <v>0</v>
      </c>
      <c r="I1295" s="10">
        <f t="shared" si="569"/>
        <v>0</v>
      </c>
      <c r="J1295" s="1">
        <f t="shared" si="556"/>
        <v>0</v>
      </c>
      <c r="K1295" s="1">
        <f t="shared" si="557"/>
        <v>0</v>
      </c>
      <c r="L1295" s="1" t="str">
        <f t="shared" si="558"/>
        <v>0</v>
      </c>
      <c r="M1295" s="10">
        <f t="shared" si="559"/>
        <v>0</v>
      </c>
      <c r="N1295" s="1">
        <f t="shared" si="570"/>
        <v>0</v>
      </c>
      <c r="O1295" s="1">
        <f t="shared" si="562"/>
        <v>0</v>
      </c>
      <c r="P1295" s="1">
        <f t="shared" si="560"/>
        <v>0</v>
      </c>
      <c r="Q1295" s="3" t="str">
        <f t="shared" si="561"/>
        <v/>
      </c>
      <c r="T1295" s="13" t="str">
        <f t="shared" si="550"/>
        <v/>
      </c>
      <c r="U1295" s="14" t="str">
        <f t="shared" si="551"/>
        <v/>
      </c>
      <c r="V1295" s="13" t="str">
        <f t="shared" si="552"/>
        <v/>
      </c>
      <c r="W1295" s="13" t="str">
        <f t="shared" si="553"/>
        <v/>
      </c>
      <c r="X1295" s="14" t="str">
        <f t="shared" si="554"/>
        <v/>
      </c>
    </row>
    <row r="1296" spans="2:24" x14ac:dyDescent="0.3">
      <c r="B1296" s="1">
        <f t="shared" si="563"/>
        <v>0</v>
      </c>
      <c r="C1296" s="1">
        <f t="shared" si="564"/>
        <v>0</v>
      </c>
      <c r="D1296" s="10">
        <f t="shared" si="565"/>
        <v>0</v>
      </c>
      <c r="E1296" s="1">
        <f t="shared" si="566"/>
        <v>0</v>
      </c>
      <c r="F1296" s="1">
        <f t="shared" si="567"/>
        <v>0</v>
      </c>
      <c r="G1296" s="1">
        <f t="shared" si="568"/>
        <v>0</v>
      </c>
      <c r="H1296" s="1">
        <f t="shared" si="555"/>
        <v>0</v>
      </c>
      <c r="I1296" s="10">
        <f t="shared" si="569"/>
        <v>0</v>
      </c>
      <c r="J1296" s="1">
        <f t="shared" si="556"/>
        <v>0</v>
      </c>
      <c r="K1296" s="1">
        <f t="shared" si="557"/>
        <v>0</v>
      </c>
      <c r="L1296" s="1" t="str">
        <f t="shared" si="558"/>
        <v>0</v>
      </c>
      <c r="M1296" s="10">
        <f t="shared" si="559"/>
        <v>0</v>
      </c>
      <c r="N1296" s="1">
        <f t="shared" si="570"/>
        <v>0</v>
      </c>
      <c r="O1296" s="1">
        <f t="shared" si="562"/>
        <v>0</v>
      </c>
      <c r="P1296" s="1">
        <f t="shared" si="560"/>
        <v>0</v>
      </c>
      <c r="Q1296" s="3" t="str">
        <f t="shared" si="561"/>
        <v/>
      </c>
      <c r="T1296" s="13" t="str">
        <f t="shared" si="550"/>
        <v/>
      </c>
      <c r="U1296" s="14" t="str">
        <f t="shared" si="551"/>
        <v/>
      </c>
      <c r="V1296" s="13" t="str">
        <f t="shared" si="552"/>
        <v/>
      </c>
      <c r="W1296" s="13" t="str">
        <f t="shared" si="553"/>
        <v/>
      </c>
      <c r="X1296" s="14" t="str">
        <f t="shared" si="554"/>
        <v/>
      </c>
    </row>
    <row r="1297" spans="2:24" x14ac:dyDescent="0.3">
      <c r="B1297" s="1">
        <f t="shared" si="563"/>
        <v>0</v>
      </c>
      <c r="C1297" s="1">
        <f t="shared" si="564"/>
        <v>0</v>
      </c>
      <c r="D1297" s="10">
        <f t="shared" si="565"/>
        <v>0</v>
      </c>
      <c r="E1297" s="1">
        <f t="shared" si="566"/>
        <v>0</v>
      </c>
      <c r="F1297" s="1">
        <f t="shared" si="567"/>
        <v>0</v>
      </c>
      <c r="G1297" s="1">
        <f t="shared" si="568"/>
        <v>0</v>
      </c>
      <c r="H1297" s="1">
        <f t="shared" si="555"/>
        <v>0</v>
      </c>
      <c r="I1297" s="10">
        <f t="shared" si="569"/>
        <v>0</v>
      </c>
      <c r="J1297" s="1">
        <f t="shared" si="556"/>
        <v>0</v>
      </c>
      <c r="K1297" s="1">
        <f t="shared" si="557"/>
        <v>0</v>
      </c>
      <c r="L1297" s="1" t="str">
        <f t="shared" si="558"/>
        <v>0</v>
      </c>
      <c r="M1297" s="10">
        <f t="shared" si="559"/>
        <v>0</v>
      </c>
      <c r="N1297" s="1">
        <f t="shared" si="570"/>
        <v>0</v>
      </c>
      <c r="O1297" s="1">
        <f t="shared" si="562"/>
        <v>0</v>
      </c>
      <c r="P1297" s="1">
        <f t="shared" si="560"/>
        <v>0</v>
      </c>
      <c r="Q1297" s="3" t="str">
        <f t="shared" si="561"/>
        <v/>
      </c>
      <c r="T1297" s="13" t="str">
        <f t="shared" si="550"/>
        <v/>
      </c>
      <c r="U1297" s="14" t="str">
        <f t="shared" si="551"/>
        <v/>
      </c>
      <c r="V1297" s="13" t="str">
        <f t="shared" si="552"/>
        <v/>
      </c>
      <c r="W1297" s="13" t="str">
        <f t="shared" si="553"/>
        <v/>
      </c>
      <c r="X1297" s="14" t="str">
        <f t="shared" si="554"/>
        <v/>
      </c>
    </row>
    <row r="1298" spans="2:24" x14ac:dyDescent="0.3">
      <c r="B1298" s="1">
        <f t="shared" si="563"/>
        <v>0</v>
      </c>
      <c r="C1298" s="1">
        <f t="shared" si="564"/>
        <v>0</v>
      </c>
      <c r="D1298" s="10">
        <f t="shared" si="565"/>
        <v>0</v>
      </c>
      <c r="E1298" s="1">
        <f t="shared" si="566"/>
        <v>0</v>
      </c>
      <c r="F1298" s="1">
        <f t="shared" si="567"/>
        <v>0</v>
      </c>
      <c r="G1298" s="1">
        <f t="shared" si="568"/>
        <v>0</v>
      </c>
      <c r="H1298" s="1">
        <f t="shared" si="555"/>
        <v>0</v>
      </c>
      <c r="I1298" s="10">
        <f t="shared" si="569"/>
        <v>0</v>
      </c>
      <c r="J1298" s="1">
        <f t="shared" si="556"/>
        <v>0</v>
      </c>
      <c r="K1298" s="1">
        <f t="shared" si="557"/>
        <v>0</v>
      </c>
      <c r="L1298" s="1" t="str">
        <f t="shared" si="558"/>
        <v>0</v>
      </c>
      <c r="M1298" s="10">
        <f t="shared" si="559"/>
        <v>0</v>
      </c>
      <c r="N1298" s="1">
        <f t="shared" si="570"/>
        <v>0</v>
      </c>
      <c r="O1298" s="1">
        <f t="shared" si="562"/>
        <v>0</v>
      </c>
      <c r="P1298" s="1">
        <f t="shared" si="560"/>
        <v>0</v>
      </c>
      <c r="Q1298" s="3" t="str">
        <f t="shared" si="561"/>
        <v/>
      </c>
      <c r="T1298" s="13" t="str">
        <f t="shared" si="550"/>
        <v/>
      </c>
      <c r="U1298" s="14" t="str">
        <f t="shared" si="551"/>
        <v/>
      </c>
      <c r="V1298" s="13" t="str">
        <f t="shared" si="552"/>
        <v/>
      </c>
      <c r="W1298" s="13" t="str">
        <f t="shared" si="553"/>
        <v/>
      </c>
      <c r="X1298" s="14" t="str">
        <f t="shared" si="554"/>
        <v/>
      </c>
    </row>
    <row r="1299" spans="2:24" x14ac:dyDescent="0.3">
      <c r="B1299" s="1">
        <f t="shared" si="563"/>
        <v>0</v>
      </c>
      <c r="C1299" s="1">
        <f t="shared" si="564"/>
        <v>0</v>
      </c>
      <c r="D1299" s="10">
        <f t="shared" si="565"/>
        <v>0</v>
      </c>
      <c r="E1299" s="1">
        <f t="shared" si="566"/>
        <v>0</v>
      </c>
      <c r="F1299" s="1">
        <f t="shared" si="567"/>
        <v>0</v>
      </c>
      <c r="G1299" s="1">
        <f t="shared" si="568"/>
        <v>0</v>
      </c>
      <c r="H1299" s="1">
        <f t="shared" si="555"/>
        <v>0</v>
      </c>
      <c r="I1299" s="10">
        <f t="shared" si="569"/>
        <v>0</v>
      </c>
      <c r="J1299" s="1">
        <f t="shared" si="556"/>
        <v>0</v>
      </c>
      <c r="K1299" s="1">
        <f t="shared" si="557"/>
        <v>0</v>
      </c>
      <c r="L1299" s="1" t="str">
        <f t="shared" si="558"/>
        <v>0</v>
      </c>
      <c r="M1299" s="10">
        <f t="shared" si="559"/>
        <v>0</v>
      </c>
      <c r="N1299" s="1">
        <f t="shared" si="570"/>
        <v>0</v>
      </c>
      <c r="O1299" s="1">
        <f t="shared" si="562"/>
        <v>0</v>
      </c>
      <c r="P1299" s="1">
        <f t="shared" si="560"/>
        <v>0</v>
      </c>
      <c r="Q1299" s="3" t="str">
        <f t="shared" si="561"/>
        <v/>
      </c>
      <c r="T1299" s="13" t="str">
        <f t="shared" ref="T1299:T1362" si="571">IF(A1299="",IF(A1298="","",$T$1),IF(O1299=1,"#",IF(B1299=0,"*",DEC2HEX(R1299))))</f>
        <v/>
      </c>
      <c r="U1299" s="14" t="str">
        <f t="shared" ref="U1299:U1362" si="572">IF(A1299="",IF(A1298="","",$U$1),  IF(B1299=0,Q1299,I1299)  )</f>
        <v/>
      </c>
      <c r="V1299" s="13" t="str">
        <f t="shared" ref="V1299:V1362" si="573">IF(U1299=$U$1,"",IF(A1299="",IF(A1298="","",1),  IF(B1299=0,1,D1299)  ))</f>
        <v/>
      </c>
      <c r="W1299" s="13" t="str">
        <f t="shared" ref="W1299:W1362" si="574">IF(U1299=$U$1,"",IF(A1299="",IF(A1298="","",0),  IF(C1299=0,0,0)  ))</f>
        <v/>
      </c>
      <c r="X1299" s="14" t="str">
        <f t="shared" ref="X1299:X1362" si="575">IF(U1299=$U$1,"",IF(U1299="","",IF(B1299&gt;0,IF(Q1299&lt;&gt;"",Q1299,"No description"),"-")))</f>
        <v/>
      </c>
    </row>
    <row r="1300" spans="2:24" x14ac:dyDescent="0.3">
      <c r="B1300" s="1">
        <f t="shared" si="563"/>
        <v>0</v>
      </c>
      <c r="C1300" s="1">
        <f t="shared" si="564"/>
        <v>0</v>
      </c>
      <c r="D1300" s="10">
        <f t="shared" si="565"/>
        <v>0</v>
      </c>
      <c r="E1300" s="1">
        <f t="shared" si="566"/>
        <v>0</v>
      </c>
      <c r="F1300" s="1">
        <f t="shared" si="567"/>
        <v>0</v>
      </c>
      <c r="G1300" s="1">
        <f t="shared" si="568"/>
        <v>0</v>
      </c>
      <c r="H1300" s="1">
        <f t="shared" si="555"/>
        <v>0</v>
      </c>
      <c r="I1300" s="10">
        <f t="shared" si="569"/>
        <v>0</v>
      </c>
      <c r="J1300" s="1">
        <f t="shared" si="556"/>
        <v>0</v>
      </c>
      <c r="K1300" s="1">
        <f t="shared" si="557"/>
        <v>0</v>
      </c>
      <c r="L1300" s="1" t="str">
        <f t="shared" si="558"/>
        <v>0</v>
      </c>
      <c r="M1300" s="10">
        <f t="shared" si="559"/>
        <v>0</v>
      </c>
      <c r="N1300" s="1">
        <f t="shared" si="570"/>
        <v>0</v>
      </c>
      <c r="O1300" s="1">
        <f t="shared" si="562"/>
        <v>0</v>
      </c>
      <c r="P1300" s="1">
        <f t="shared" si="560"/>
        <v>0</v>
      </c>
      <c r="Q1300" s="3" t="str">
        <f t="shared" si="561"/>
        <v/>
      </c>
      <c r="T1300" s="13" t="str">
        <f t="shared" si="571"/>
        <v/>
      </c>
      <c r="U1300" s="14" t="str">
        <f t="shared" si="572"/>
        <v/>
      </c>
      <c r="V1300" s="13" t="str">
        <f t="shared" si="573"/>
        <v/>
      </c>
      <c r="W1300" s="13" t="str">
        <f t="shared" si="574"/>
        <v/>
      </c>
      <c r="X1300" s="14" t="str">
        <f t="shared" si="575"/>
        <v/>
      </c>
    </row>
    <row r="1301" spans="2:24" x14ac:dyDescent="0.3">
      <c r="B1301" s="1">
        <f t="shared" si="563"/>
        <v>0</v>
      </c>
      <c r="C1301" s="1">
        <f t="shared" si="564"/>
        <v>0</v>
      </c>
      <c r="D1301" s="10">
        <f t="shared" si="565"/>
        <v>0</v>
      </c>
      <c r="E1301" s="1">
        <f t="shared" si="566"/>
        <v>0</v>
      </c>
      <c r="F1301" s="1">
        <f t="shared" si="567"/>
        <v>0</v>
      </c>
      <c r="G1301" s="1">
        <f t="shared" si="568"/>
        <v>0</v>
      </c>
      <c r="H1301" s="1">
        <f t="shared" si="555"/>
        <v>0</v>
      </c>
      <c r="I1301" s="10">
        <f t="shared" si="569"/>
        <v>0</v>
      </c>
      <c r="J1301" s="1">
        <f t="shared" si="556"/>
        <v>0</v>
      </c>
      <c r="K1301" s="1">
        <f t="shared" si="557"/>
        <v>0</v>
      </c>
      <c r="L1301" s="1" t="str">
        <f t="shared" si="558"/>
        <v>0</v>
      </c>
      <c r="M1301" s="10">
        <f t="shared" si="559"/>
        <v>0</v>
      </c>
      <c r="N1301" s="1">
        <f t="shared" si="570"/>
        <v>0</v>
      </c>
      <c r="O1301" s="1">
        <f t="shared" si="562"/>
        <v>0</v>
      </c>
      <c r="P1301" s="1">
        <f t="shared" si="560"/>
        <v>0</v>
      </c>
      <c r="Q1301" s="3" t="str">
        <f t="shared" si="561"/>
        <v/>
      </c>
      <c r="T1301" s="13" t="str">
        <f t="shared" si="571"/>
        <v/>
      </c>
      <c r="U1301" s="14" t="str">
        <f t="shared" si="572"/>
        <v/>
      </c>
      <c r="V1301" s="13" t="str">
        <f t="shared" si="573"/>
        <v/>
      </c>
      <c r="W1301" s="13" t="str">
        <f t="shared" si="574"/>
        <v/>
      </c>
      <c r="X1301" s="14" t="str">
        <f t="shared" si="575"/>
        <v/>
      </c>
    </row>
    <row r="1302" spans="2:24" x14ac:dyDescent="0.3">
      <c r="B1302" s="1">
        <f t="shared" si="563"/>
        <v>0</v>
      </c>
      <c r="C1302" s="1">
        <f t="shared" si="564"/>
        <v>0</v>
      </c>
      <c r="D1302" s="10">
        <f t="shared" si="565"/>
        <v>0</v>
      </c>
      <c r="E1302" s="1">
        <f t="shared" si="566"/>
        <v>0</v>
      </c>
      <c r="F1302" s="1">
        <f t="shared" si="567"/>
        <v>0</v>
      </c>
      <c r="G1302" s="1">
        <f t="shared" si="568"/>
        <v>0</v>
      </c>
      <c r="H1302" s="1">
        <f t="shared" si="555"/>
        <v>0</v>
      </c>
      <c r="I1302" s="10">
        <f t="shared" si="569"/>
        <v>0</v>
      </c>
      <c r="J1302" s="1">
        <f t="shared" si="556"/>
        <v>0</v>
      </c>
      <c r="K1302" s="1">
        <f t="shared" si="557"/>
        <v>0</v>
      </c>
      <c r="L1302" s="1" t="str">
        <f t="shared" si="558"/>
        <v>0</v>
      </c>
      <c r="M1302" s="10">
        <f t="shared" si="559"/>
        <v>0</v>
      </c>
      <c r="N1302" s="1">
        <f t="shared" si="570"/>
        <v>0</v>
      </c>
      <c r="O1302" s="1">
        <f t="shared" si="562"/>
        <v>0</v>
      </c>
      <c r="P1302" s="1">
        <f t="shared" si="560"/>
        <v>0</v>
      </c>
      <c r="Q1302" s="3" t="str">
        <f t="shared" si="561"/>
        <v/>
      </c>
      <c r="T1302" s="13" t="str">
        <f t="shared" si="571"/>
        <v/>
      </c>
      <c r="U1302" s="14" t="str">
        <f t="shared" si="572"/>
        <v/>
      </c>
      <c r="V1302" s="13" t="str">
        <f t="shared" si="573"/>
        <v/>
      </c>
      <c r="W1302" s="13" t="str">
        <f t="shared" si="574"/>
        <v/>
      </c>
      <c r="X1302" s="14" t="str">
        <f t="shared" si="575"/>
        <v/>
      </c>
    </row>
    <row r="1303" spans="2:24" x14ac:dyDescent="0.3">
      <c r="B1303" s="1">
        <f t="shared" si="563"/>
        <v>0</v>
      </c>
      <c r="C1303" s="1">
        <f t="shared" si="564"/>
        <v>0</v>
      </c>
      <c r="D1303" s="10">
        <f t="shared" si="565"/>
        <v>0</v>
      </c>
      <c r="E1303" s="1">
        <f t="shared" si="566"/>
        <v>0</v>
      </c>
      <c r="F1303" s="1">
        <f t="shared" si="567"/>
        <v>0</v>
      </c>
      <c r="G1303" s="1">
        <f t="shared" si="568"/>
        <v>0</v>
      </c>
      <c r="H1303" s="1">
        <f t="shared" si="555"/>
        <v>0</v>
      </c>
      <c r="I1303" s="10">
        <f t="shared" si="569"/>
        <v>0</v>
      </c>
      <c r="J1303" s="1">
        <f t="shared" si="556"/>
        <v>0</v>
      </c>
      <c r="K1303" s="1">
        <f t="shared" si="557"/>
        <v>0</v>
      </c>
      <c r="L1303" s="1" t="str">
        <f t="shared" si="558"/>
        <v>0</v>
      </c>
      <c r="M1303" s="10">
        <f t="shared" si="559"/>
        <v>0</v>
      </c>
      <c r="N1303" s="1">
        <f t="shared" si="570"/>
        <v>0</v>
      </c>
      <c r="O1303" s="1">
        <f t="shared" si="562"/>
        <v>0</v>
      </c>
      <c r="P1303" s="1">
        <f t="shared" si="560"/>
        <v>0</v>
      </c>
      <c r="Q1303" s="3" t="str">
        <f t="shared" si="561"/>
        <v/>
      </c>
      <c r="T1303" s="13" t="str">
        <f t="shared" si="571"/>
        <v/>
      </c>
      <c r="U1303" s="14" t="str">
        <f t="shared" si="572"/>
        <v/>
      </c>
      <c r="V1303" s="13" t="str">
        <f t="shared" si="573"/>
        <v/>
      </c>
      <c r="W1303" s="13" t="str">
        <f t="shared" si="574"/>
        <v/>
      </c>
      <c r="X1303" s="14" t="str">
        <f t="shared" si="575"/>
        <v/>
      </c>
    </row>
    <row r="1304" spans="2:24" x14ac:dyDescent="0.3">
      <c r="B1304" s="1">
        <f t="shared" si="563"/>
        <v>0</v>
      </c>
      <c r="C1304" s="1">
        <f t="shared" si="564"/>
        <v>0</v>
      </c>
      <c r="D1304" s="10">
        <f t="shared" si="565"/>
        <v>0</v>
      </c>
      <c r="E1304" s="1">
        <f t="shared" si="566"/>
        <v>0</v>
      </c>
      <c r="F1304" s="1">
        <f t="shared" si="567"/>
        <v>0</v>
      </c>
      <c r="G1304" s="1">
        <f t="shared" si="568"/>
        <v>0</v>
      </c>
      <c r="H1304" s="1">
        <f t="shared" si="555"/>
        <v>0</v>
      </c>
      <c r="I1304" s="10">
        <f t="shared" si="569"/>
        <v>0</v>
      </c>
      <c r="J1304" s="1">
        <f t="shared" si="556"/>
        <v>0</v>
      </c>
      <c r="K1304" s="1">
        <f t="shared" si="557"/>
        <v>0</v>
      </c>
      <c r="L1304" s="1" t="str">
        <f t="shared" si="558"/>
        <v>0</v>
      </c>
      <c r="M1304" s="10">
        <f t="shared" si="559"/>
        <v>0</v>
      </c>
      <c r="N1304" s="1">
        <f t="shared" si="570"/>
        <v>0</v>
      </c>
      <c r="O1304" s="1">
        <f t="shared" si="562"/>
        <v>0</v>
      </c>
      <c r="P1304" s="1">
        <f t="shared" si="560"/>
        <v>0</v>
      </c>
      <c r="Q1304" s="3" t="str">
        <f t="shared" si="561"/>
        <v/>
      </c>
      <c r="T1304" s="13" t="str">
        <f t="shared" si="571"/>
        <v/>
      </c>
      <c r="U1304" s="14" t="str">
        <f t="shared" si="572"/>
        <v/>
      </c>
      <c r="V1304" s="13" t="str">
        <f t="shared" si="573"/>
        <v/>
      </c>
      <c r="W1304" s="13" t="str">
        <f t="shared" si="574"/>
        <v/>
      </c>
      <c r="X1304" s="14" t="str">
        <f t="shared" si="575"/>
        <v/>
      </c>
    </row>
    <row r="1305" spans="2:24" x14ac:dyDescent="0.3">
      <c r="B1305" s="1">
        <f t="shared" si="563"/>
        <v>0</v>
      </c>
      <c r="C1305" s="1">
        <f t="shared" si="564"/>
        <v>0</v>
      </c>
      <c r="D1305" s="10">
        <f t="shared" si="565"/>
        <v>0</v>
      </c>
      <c r="E1305" s="1">
        <f t="shared" si="566"/>
        <v>0</v>
      </c>
      <c r="F1305" s="1">
        <f t="shared" si="567"/>
        <v>0</v>
      </c>
      <c r="G1305" s="1">
        <f t="shared" si="568"/>
        <v>0</v>
      </c>
      <c r="H1305" s="1">
        <f t="shared" si="555"/>
        <v>0</v>
      </c>
      <c r="I1305" s="10">
        <f t="shared" si="569"/>
        <v>0</v>
      </c>
      <c r="J1305" s="1">
        <f t="shared" si="556"/>
        <v>0</v>
      </c>
      <c r="K1305" s="1">
        <f t="shared" si="557"/>
        <v>0</v>
      </c>
      <c r="L1305" s="1" t="str">
        <f t="shared" si="558"/>
        <v>0</v>
      </c>
      <c r="M1305" s="10">
        <f t="shared" si="559"/>
        <v>0</v>
      </c>
      <c r="N1305" s="1">
        <f t="shared" si="570"/>
        <v>0</v>
      </c>
      <c r="O1305" s="1">
        <f t="shared" si="562"/>
        <v>0</v>
      </c>
      <c r="P1305" s="1">
        <f t="shared" si="560"/>
        <v>0</v>
      </c>
      <c r="Q1305" s="3" t="str">
        <f t="shared" si="561"/>
        <v/>
      </c>
      <c r="T1305" s="13" t="str">
        <f t="shared" si="571"/>
        <v/>
      </c>
      <c r="U1305" s="14" t="str">
        <f t="shared" si="572"/>
        <v/>
      </c>
      <c r="V1305" s="13" t="str">
        <f t="shared" si="573"/>
        <v/>
      </c>
      <c r="W1305" s="13" t="str">
        <f t="shared" si="574"/>
        <v/>
      </c>
      <c r="X1305" s="14" t="str">
        <f t="shared" si="575"/>
        <v/>
      </c>
    </row>
    <row r="1306" spans="2:24" x14ac:dyDescent="0.3">
      <c r="B1306" s="1">
        <f t="shared" si="563"/>
        <v>0</v>
      </c>
      <c r="C1306" s="1">
        <f t="shared" si="564"/>
        <v>0</v>
      </c>
      <c r="D1306" s="10">
        <f t="shared" si="565"/>
        <v>0</v>
      </c>
      <c r="E1306" s="1">
        <f t="shared" si="566"/>
        <v>0</v>
      </c>
      <c r="F1306" s="1">
        <f t="shared" si="567"/>
        <v>0</v>
      </c>
      <c r="G1306" s="1">
        <f t="shared" si="568"/>
        <v>0</v>
      </c>
      <c r="H1306" s="1">
        <f t="shared" si="555"/>
        <v>0</v>
      </c>
      <c r="I1306" s="10">
        <f t="shared" si="569"/>
        <v>0</v>
      </c>
      <c r="J1306" s="1">
        <f t="shared" si="556"/>
        <v>0</v>
      </c>
      <c r="K1306" s="1">
        <f t="shared" si="557"/>
        <v>0</v>
      </c>
      <c r="L1306" s="1" t="str">
        <f t="shared" si="558"/>
        <v>0</v>
      </c>
      <c r="M1306" s="10">
        <f t="shared" si="559"/>
        <v>0</v>
      </c>
      <c r="N1306" s="1">
        <f t="shared" si="570"/>
        <v>0</v>
      </c>
      <c r="O1306" s="1">
        <f t="shared" si="562"/>
        <v>0</v>
      </c>
      <c r="P1306" s="1">
        <f t="shared" si="560"/>
        <v>0</v>
      </c>
      <c r="Q1306" s="3" t="str">
        <f t="shared" si="561"/>
        <v/>
      </c>
      <c r="T1306" s="13" t="str">
        <f t="shared" si="571"/>
        <v/>
      </c>
      <c r="U1306" s="14" t="str">
        <f t="shared" si="572"/>
        <v/>
      </c>
      <c r="V1306" s="13" t="str">
        <f t="shared" si="573"/>
        <v/>
      </c>
      <c r="W1306" s="13" t="str">
        <f t="shared" si="574"/>
        <v/>
      </c>
      <c r="X1306" s="14" t="str">
        <f t="shared" si="575"/>
        <v/>
      </c>
    </row>
    <row r="1307" spans="2:24" x14ac:dyDescent="0.3">
      <c r="B1307" s="1">
        <f t="shared" si="563"/>
        <v>0</v>
      </c>
      <c r="C1307" s="1">
        <f t="shared" si="564"/>
        <v>0</v>
      </c>
      <c r="D1307" s="10">
        <f t="shared" si="565"/>
        <v>0</v>
      </c>
      <c r="E1307" s="1">
        <f t="shared" si="566"/>
        <v>0</v>
      </c>
      <c r="F1307" s="1">
        <f t="shared" si="567"/>
        <v>0</v>
      </c>
      <c r="G1307" s="1">
        <f t="shared" si="568"/>
        <v>0</v>
      </c>
      <c r="H1307" s="1">
        <f t="shared" si="555"/>
        <v>0</v>
      </c>
      <c r="I1307" s="10">
        <f t="shared" si="569"/>
        <v>0</v>
      </c>
      <c r="J1307" s="1">
        <f t="shared" si="556"/>
        <v>0</v>
      </c>
      <c r="K1307" s="1">
        <f t="shared" si="557"/>
        <v>0</v>
      </c>
      <c r="L1307" s="1" t="str">
        <f t="shared" si="558"/>
        <v>0</v>
      </c>
      <c r="M1307" s="10">
        <f t="shared" si="559"/>
        <v>0</v>
      </c>
      <c r="N1307" s="1">
        <f t="shared" si="570"/>
        <v>0</v>
      </c>
      <c r="O1307" s="1">
        <f t="shared" si="562"/>
        <v>0</v>
      </c>
      <c r="P1307" s="1">
        <f t="shared" si="560"/>
        <v>0</v>
      </c>
      <c r="Q1307" s="3" t="str">
        <f t="shared" si="561"/>
        <v/>
      </c>
      <c r="T1307" s="13" t="str">
        <f t="shared" si="571"/>
        <v/>
      </c>
      <c r="U1307" s="14" t="str">
        <f t="shared" si="572"/>
        <v/>
      </c>
      <c r="V1307" s="13" t="str">
        <f t="shared" si="573"/>
        <v/>
      </c>
      <c r="W1307" s="13" t="str">
        <f t="shared" si="574"/>
        <v/>
      </c>
      <c r="X1307" s="14" t="str">
        <f t="shared" si="575"/>
        <v/>
      </c>
    </row>
    <row r="1308" spans="2:24" x14ac:dyDescent="0.3">
      <c r="B1308" s="1">
        <f t="shared" si="563"/>
        <v>0</v>
      </c>
      <c r="C1308" s="1">
        <f t="shared" si="564"/>
        <v>0</v>
      </c>
      <c r="D1308" s="10">
        <f t="shared" si="565"/>
        <v>0</v>
      </c>
      <c r="E1308" s="1">
        <f t="shared" si="566"/>
        <v>0</v>
      </c>
      <c r="F1308" s="1">
        <f t="shared" si="567"/>
        <v>0</v>
      </c>
      <c r="G1308" s="1">
        <f t="shared" si="568"/>
        <v>0</v>
      </c>
      <c r="H1308" s="1">
        <f t="shared" si="555"/>
        <v>0</v>
      </c>
      <c r="I1308" s="10">
        <f t="shared" si="569"/>
        <v>0</v>
      </c>
      <c r="J1308" s="1">
        <f t="shared" si="556"/>
        <v>0</v>
      </c>
      <c r="K1308" s="1">
        <f t="shared" si="557"/>
        <v>0</v>
      </c>
      <c r="L1308" s="1" t="str">
        <f t="shared" si="558"/>
        <v>0</v>
      </c>
      <c r="M1308" s="10">
        <f t="shared" si="559"/>
        <v>0</v>
      </c>
      <c r="N1308" s="1">
        <f t="shared" si="570"/>
        <v>0</v>
      </c>
      <c r="O1308" s="1">
        <f t="shared" si="562"/>
        <v>0</v>
      </c>
      <c r="P1308" s="1">
        <f t="shared" si="560"/>
        <v>0</v>
      </c>
      <c r="Q1308" s="3" t="str">
        <f t="shared" si="561"/>
        <v/>
      </c>
      <c r="T1308" s="13" t="str">
        <f t="shared" si="571"/>
        <v/>
      </c>
      <c r="U1308" s="14" t="str">
        <f t="shared" si="572"/>
        <v/>
      </c>
      <c r="V1308" s="13" t="str">
        <f t="shared" si="573"/>
        <v/>
      </c>
      <c r="W1308" s="13" t="str">
        <f t="shared" si="574"/>
        <v/>
      </c>
      <c r="X1308" s="14" t="str">
        <f t="shared" si="575"/>
        <v/>
      </c>
    </row>
    <row r="1309" spans="2:24" x14ac:dyDescent="0.3">
      <c r="B1309" s="1">
        <f t="shared" si="563"/>
        <v>0</v>
      </c>
      <c r="C1309" s="1">
        <f t="shared" si="564"/>
        <v>0</v>
      </c>
      <c r="D1309" s="10">
        <f t="shared" si="565"/>
        <v>0</v>
      </c>
      <c r="E1309" s="1">
        <f t="shared" si="566"/>
        <v>0</v>
      </c>
      <c r="F1309" s="1">
        <f t="shared" si="567"/>
        <v>0</v>
      </c>
      <c r="G1309" s="1">
        <f t="shared" si="568"/>
        <v>0</v>
      </c>
      <c r="H1309" s="1">
        <f t="shared" si="555"/>
        <v>0</v>
      </c>
      <c r="I1309" s="10">
        <f t="shared" si="569"/>
        <v>0</v>
      </c>
      <c r="J1309" s="1">
        <f t="shared" si="556"/>
        <v>0</v>
      </c>
      <c r="K1309" s="1">
        <f t="shared" si="557"/>
        <v>0</v>
      </c>
      <c r="L1309" s="1" t="str">
        <f t="shared" si="558"/>
        <v>0</v>
      </c>
      <c r="M1309" s="10">
        <f t="shared" si="559"/>
        <v>0</v>
      </c>
      <c r="N1309" s="1">
        <f t="shared" si="570"/>
        <v>0</v>
      </c>
      <c r="O1309" s="1">
        <f t="shared" si="562"/>
        <v>0</v>
      </c>
      <c r="P1309" s="1">
        <f t="shared" si="560"/>
        <v>0</v>
      </c>
      <c r="Q1309" s="3" t="str">
        <f t="shared" si="561"/>
        <v/>
      </c>
      <c r="T1309" s="13" t="str">
        <f t="shared" si="571"/>
        <v/>
      </c>
      <c r="U1309" s="14" t="str">
        <f t="shared" si="572"/>
        <v/>
      </c>
      <c r="V1309" s="13" t="str">
        <f t="shared" si="573"/>
        <v/>
      </c>
      <c r="W1309" s="13" t="str">
        <f t="shared" si="574"/>
        <v/>
      </c>
      <c r="X1309" s="14" t="str">
        <f t="shared" si="575"/>
        <v/>
      </c>
    </row>
    <row r="1310" spans="2:24" x14ac:dyDescent="0.3">
      <c r="B1310" s="1">
        <f t="shared" si="563"/>
        <v>0</v>
      </c>
      <c r="C1310" s="1">
        <f t="shared" si="564"/>
        <v>0</v>
      </c>
      <c r="D1310" s="10">
        <f t="shared" si="565"/>
        <v>0</v>
      </c>
      <c r="E1310" s="1">
        <f t="shared" si="566"/>
        <v>0</v>
      </c>
      <c r="F1310" s="1">
        <f t="shared" si="567"/>
        <v>0</v>
      </c>
      <c r="G1310" s="1">
        <f t="shared" si="568"/>
        <v>0</v>
      </c>
      <c r="H1310" s="1">
        <f t="shared" si="555"/>
        <v>0</v>
      </c>
      <c r="I1310" s="10">
        <f t="shared" si="569"/>
        <v>0</v>
      </c>
      <c r="J1310" s="1">
        <f t="shared" si="556"/>
        <v>0</v>
      </c>
      <c r="K1310" s="1">
        <f t="shared" si="557"/>
        <v>0</v>
      </c>
      <c r="L1310" s="1" t="str">
        <f t="shared" si="558"/>
        <v>0</v>
      </c>
      <c r="M1310" s="10">
        <f t="shared" si="559"/>
        <v>0</v>
      </c>
      <c r="N1310" s="1">
        <f t="shared" si="570"/>
        <v>0</v>
      </c>
      <c r="O1310" s="1">
        <f t="shared" si="562"/>
        <v>0</v>
      </c>
      <c r="P1310" s="1">
        <f t="shared" si="560"/>
        <v>0</v>
      </c>
      <c r="Q1310" s="3" t="str">
        <f t="shared" si="561"/>
        <v/>
      </c>
      <c r="T1310" s="13" t="str">
        <f t="shared" si="571"/>
        <v/>
      </c>
      <c r="U1310" s="14" t="str">
        <f t="shared" si="572"/>
        <v/>
      </c>
      <c r="V1310" s="13" t="str">
        <f t="shared" si="573"/>
        <v/>
      </c>
      <c r="W1310" s="13" t="str">
        <f t="shared" si="574"/>
        <v/>
      </c>
      <c r="X1310" s="14" t="str">
        <f t="shared" si="575"/>
        <v/>
      </c>
    </row>
    <row r="1311" spans="2:24" x14ac:dyDescent="0.3">
      <c r="B1311" s="1">
        <f t="shared" si="563"/>
        <v>0</v>
      </c>
      <c r="C1311" s="1">
        <f t="shared" si="564"/>
        <v>0</v>
      </c>
      <c r="D1311" s="10">
        <f t="shared" si="565"/>
        <v>0</v>
      </c>
      <c r="E1311" s="1">
        <f t="shared" si="566"/>
        <v>0</v>
      </c>
      <c r="F1311" s="1">
        <f t="shared" si="567"/>
        <v>0</v>
      </c>
      <c r="G1311" s="1">
        <f t="shared" si="568"/>
        <v>0</v>
      </c>
      <c r="H1311" s="1">
        <f t="shared" si="555"/>
        <v>0</v>
      </c>
      <c r="I1311" s="10">
        <f t="shared" si="569"/>
        <v>0</v>
      </c>
      <c r="J1311" s="1">
        <f t="shared" si="556"/>
        <v>0</v>
      </c>
      <c r="K1311" s="1">
        <f t="shared" si="557"/>
        <v>0</v>
      </c>
      <c r="L1311" s="1" t="str">
        <f t="shared" si="558"/>
        <v>0</v>
      </c>
      <c r="M1311" s="10">
        <f t="shared" si="559"/>
        <v>0</v>
      </c>
      <c r="N1311" s="1">
        <f t="shared" si="570"/>
        <v>0</v>
      </c>
      <c r="O1311" s="1">
        <f t="shared" si="562"/>
        <v>0</v>
      </c>
      <c r="P1311" s="1">
        <f t="shared" si="560"/>
        <v>0</v>
      </c>
      <c r="Q1311" s="3" t="str">
        <f t="shared" si="561"/>
        <v/>
      </c>
      <c r="T1311" s="13" t="str">
        <f t="shared" si="571"/>
        <v/>
      </c>
      <c r="U1311" s="14" t="str">
        <f t="shared" si="572"/>
        <v/>
      </c>
      <c r="V1311" s="13" t="str">
        <f t="shared" si="573"/>
        <v/>
      </c>
      <c r="W1311" s="13" t="str">
        <f t="shared" si="574"/>
        <v/>
      </c>
      <c r="X1311" s="14" t="str">
        <f t="shared" si="575"/>
        <v/>
      </c>
    </row>
    <row r="1312" spans="2:24" x14ac:dyDescent="0.3">
      <c r="B1312" s="1">
        <f t="shared" si="563"/>
        <v>0</v>
      </c>
      <c r="C1312" s="1">
        <f t="shared" si="564"/>
        <v>0</v>
      </c>
      <c r="D1312" s="10">
        <f t="shared" si="565"/>
        <v>0</v>
      </c>
      <c r="E1312" s="1">
        <f t="shared" si="566"/>
        <v>0</v>
      </c>
      <c r="F1312" s="1">
        <f t="shared" si="567"/>
        <v>0</v>
      </c>
      <c r="G1312" s="1">
        <f t="shared" si="568"/>
        <v>0</v>
      </c>
      <c r="H1312" s="1">
        <f t="shared" si="555"/>
        <v>0</v>
      </c>
      <c r="I1312" s="10">
        <f t="shared" si="569"/>
        <v>0</v>
      </c>
      <c r="J1312" s="1">
        <f t="shared" si="556"/>
        <v>0</v>
      </c>
      <c r="K1312" s="1">
        <f t="shared" si="557"/>
        <v>0</v>
      </c>
      <c r="L1312" s="1" t="str">
        <f t="shared" si="558"/>
        <v>0</v>
      </c>
      <c r="M1312" s="10">
        <f t="shared" si="559"/>
        <v>0</v>
      </c>
      <c r="N1312" s="1">
        <f t="shared" si="570"/>
        <v>0</v>
      </c>
      <c r="O1312" s="1">
        <f t="shared" si="562"/>
        <v>0</v>
      </c>
      <c r="P1312" s="1">
        <f t="shared" si="560"/>
        <v>0</v>
      </c>
      <c r="Q1312" s="3" t="str">
        <f t="shared" si="561"/>
        <v/>
      </c>
      <c r="T1312" s="13" t="str">
        <f t="shared" si="571"/>
        <v/>
      </c>
      <c r="U1312" s="14" t="str">
        <f t="shared" si="572"/>
        <v/>
      </c>
      <c r="V1312" s="13" t="str">
        <f t="shared" si="573"/>
        <v/>
      </c>
      <c r="W1312" s="13" t="str">
        <f t="shared" si="574"/>
        <v/>
      </c>
      <c r="X1312" s="14" t="str">
        <f t="shared" si="575"/>
        <v/>
      </c>
    </row>
    <row r="1313" spans="2:24" x14ac:dyDescent="0.3">
      <c r="B1313" s="1">
        <f t="shared" si="563"/>
        <v>0</v>
      </c>
      <c r="C1313" s="1">
        <f t="shared" si="564"/>
        <v>0</v>
      </c>
      <c r="D1313" s="10">
        <f t="shared" si="565"/>
        <v>0</v>
      </c>
      <c r="E1313" s="1">
        <f t="shared" si="566"/>
        <v>0</v>
      </c>
      <c r="F1313" s="1">
        <f t="shared" si="567"/>
        <v>0</v>
      </c>
      <c r="G1313" s="1">
        <f t="shared" si="568"/>
        <v>0</v>
      </c>
      <c r="H1313" s="1">
        <f t="shared" si="555"/>
        <v>0</v>
      </c>
      <c r="I1313" s="10">
        <f t="shared" si="569"/>
        <v>0</v>
      </c>
      <c r="J1313" s="1">
        <f t="shared" si="556"/>
        <v>0</v>
      </c>
      <c r="K1313" s="1">
        <f t="shared" si="557"/>
        <v>0</v>
      </c>
      <c r="L1313" s="1" t="str">
        <f t="shared" si="558"/>
        <v>0</v>
      </c>
      <c r="M1313" s="10">
        <f t="shared" si="559"/>
        <v>0</v>
      </c>
      <c r="N1313" s="1">
        <f t="shared" si="570"/>
        <v>0</v>
      </c>
      <c r="O1313" s="1">
        <f t="shared" si="562"/>
        <v>0</v>
      </c>
      <c r="P1313" s="1">
        <f t="shared" si="560"/>
        <v>0</v>
      </c>
      <c r="Q1313" s="3" t="str">
        <f t="shared" si="561"/>
        <v/>
      </c>
      <c r="T1313" s="13" t="str">
        <f t="shared" si="571"/>
        <v/>
      </c>
      <c r="U1313" s="14" t="str">
        <f t="shared" si="572"/>
        <v/>
      </c>
      <c r="V1313" s="13" t="str">
        <f t="shared" si="573"/>
        <v/>
      </c>
      <c r="W1313" s="13" t="str">
        <f t="shared" si="574"/>
        <v/>
      </c>
      <c r="X1313" s="14" t="str">
        <f t="shared" si="575"/>
        <v/>
      </c>
    </row>
    <row r="1314" spans="2:24" x14ac:dyDescent="0.3">
      <c r="B1314" s="1">
        <f t="shared" si="563"/>
        <v>0</v>
      </c>
      <c r="C1314" s="1">
        <f t="shared" si="564"/>
        <v>0</v>
      </c>
      <c r="D1314" s="10">
        <f t="shared" si="565"/>
        <v>0</v>
      </c>
      <c r="E1314" s="1">
        <f t="shared" si="566"/>
        <v>0</v>
      </c>
      <c r="F1314" s="1">
        <f t="shared" si="567"/>
        <v>0</v>
      </c>
      <c r="G1314" s="1">
        <f t="shared" si="568"/>
        <v>0</v>
      </c>
      <c r="H1314" s="1">
        <f t="shared" si="555"/>
        <v>0</v>
      </c>
      <c r="I1314" s="10">
        <f t="shared" si="569"/>
        <v>0</v>
      </c>
      <c r="J1314" s="1">
        <f t="shared" si="556"/>
        <v>0</v>
      </c>
      <c r="K1314" s="1">
        <f t="shared" si="557"/>
        <v>0</v>
      </c>
      <c r="L1314" s="1" t="str">
        <f t="shared" si="558"/>
        <v>0</v>
      </c>
      <c r="M1314" s="10">
        <f t="shared" si="559"/>
        <v>0</v>
      </c>
      <c r="N1314" s="1">
        <f t="shared" si="570"/>
        <v>0</v>
      </c>
      <c r="O1314" s="1">
        <f t="shared" si="562"/>
        <v>0</v>
      </c>
      <c r="P1314" s="1">
        <f t="shared" si="560"/>
        <v>0</v>
      </c>
      <c r="Q1314" s="3" t="str">
        <f t="shared" si="561"/>
        <v/>
      </c>
      <c r="T1314" s="13" t="str">
        <f t="shared" si="571"/>
        <v/>
      </c>
      <c r="U1314" s="14" t="str">
        <f t="shared" si="572"/>
        <v/>
      </c>
      <c r="V1314" s="13" t="str">
        <f t="shared" si="573"/>
        <v/>
      </c>
      <c r="W1314" s="13" t="str">
        <f t="shared" si="574"/>
        <v/>
      </c>
      <c r="X1314" s="14" t="str">
        <f t="shared" si="575"/>
        <v/>
      </c>
    </row>
    <row r="1315" spans="2:24" x14ac:dyDescent="0.3">
      <c r="B1315" s="1">
        <f t="shared" si="563"/>
        <v>0</v>
      </c>
      <c r="C1315" s="1">
        <f t="shared" si="564"/>
        <v>0</v>
      </c>
      <c r="D1315" s="10">
        <f t="shared" si="565"/>
        <v>0</v>
      </c>
      <c r="E1315" s="1">
        <f t="shared" si="566"/>
        <v>0</v>
      </c>
      <c r="F1315" s="1">
        <f t="shared" si="567"/>
        <v>0</v>
      </c>
      <c r="G1315" s="1">
        <f t="shared" si="568"/>
        <v>0</v>
      </c>
      <c r="H1315" s="1">
        <f t="shared" si="555"/>
        <v>0</v>
      </c>
      <c r="I1315" s="10">
        <f t="shared" si="569"/>
        <v>0</v>
      </c>
      <c r="J1315" s="1">
        <f t="shared" si="556"/>
        <v>0</v>
      </c>
      <c r="K1315" s="1">
        <f t="shared" si="557"/>
        <v>0</v>
      </c>
      <c r="L1315" s="1" t="str">
        <f t="shared" si="558"/>
        <v>0</v>
      </c>
      <c r="M1315" s="10">
        <f t="shared" si="559"/>
        <v>0</v>
      </c>
      <c r="N1315" s="1">
        <f t="shared" si="570"/>
        <v>0</v>
      </c>
      <c r="O1315" s="1">
        <f t="shared" si="562"/>
        <v>0</v>
      </c>
      <c r="P1315" s="1">
        <f t="shared" si="560"/>
        <v>0</v>
      </c>
      <c r="Q1315" s="3" t="str">
        <f t="shared" si="561"/>
        <v/>
      </c>
      <c r="T1315" s="13" t="str">
        <f t="shared" si="571"/>
        <v/>
      </c>
      <c r="U1315" s="14" t="str">
        <f t="shared" si="572"/>
        <v/>
      </c>
      <c r="V1315" s="13" t="str">
        <f t="shared" si="573"/>
        <v/>
      </c>
      <c r="W1315" s="13" t="str">
        <f t="shared" si="574"/>
        <v/>
      </c>
      <c r="X1315" s="14" t="str">
        <f t="shared" si="575"/>
        <v/>
      </c>
    </row>
    <row r="1316" spans="2:24" x14ac:dyDescent="0.3">
      <c r="B1316" s="1">
        <f t="shared" si="563"/>
        <v>0</v>
      </c>
      <c r="C1316" s="1">
        <f t="shared" si="564"/>
        <v>0</v>
      </c>
      <c r="D1316" s="10">
        <f t="shared" si="565"/>
        <v>0</v>
      </c>
      <c r="E1316" s="1">
        <f t="shared" si="566"/>
        <v>0</v>
      </c>
      <c r="F1316" s="1">
        <f t="shared" si="567"/>
        <v>0</v>
      </c>
      <c r="G1316" s="1">
        <f t="shared" si="568"/>
        <v>0</v>
      </c>
      <c r="H1316" s="1">
        <f t="shared" si="555"/>
        <v>0</v>
      </c>
      <c r="I1316" s="10">
        <f t="shared" si="569"/>
        <v>0</v>
      </c>
      <c r="J1316" s="1">
        <f t="shared" si="556"/>
        <v>0</v>
      </c>
      <c r="K1316" s="1">
        <f t="shared" si="557"/>
        <v>0</v>
      </c>
      <c r="L1316" s="1" t="str">
        <f t="shared" si="558"/>
        <v>0</v>
      </c>
      <c r="M1316" s="10">
        <f t="shared" si="559"/>
        <v>0</v>
      </c>
      <c r="N1316" s="1">
        <f t="shared" si="570"/>
        <v>0</v>
      </c>
      <c r="O1316" s="1">
        <f t="shared" si="562"/>
        <v>0</v>
      </c>
      <c r="P1316" s="1">
        <f t="shared" si="560"/>
        <v>0</v>
      </c>
      <c r="Q1316" s="3" t="str">
        <f t="shared" si="561"/>
        <v/>
      </c>
      <c r="T1316" s="13" t="str">
        <f t="shared" si="571"/>
        <v/>
      </c>
      <c r="U1316" s="14" t="str">
        <f t="shared" si="572"/>
        <v/>
      </c>
      <c r="V1316" s="13" t="str">
        <f t="shared" si="573"/>
        <v/>
      </c>
      <c r="W1316" s="13" t="str">
        <f t="shared" si="574"/>
        <v/>
      </c>
      <c r="X1316" s="14" t="str">
        <f t="shared" si="575"/>
        <v/>
      </c>
    </row>
    <row r="1317" spans="2:24" x14ac:dyDescent="0.3">
      <c r="B1317" s="1">
        <f t="shared" si="563"/>
        <v>0</v>
      </c>
      <c r="C1317" s="1">
        <f t="shared" si="564"/>
        <v>0</v>
      </c>
      <c r="D1317" s="10">
        <f t="shared" si="565"/>
        <v>0</v>
      </c>
      <c r="E1317" s="1">
        <f t="shared" si="566"/>
        <v>0</v>
      </c>
      <c r="F1317" s="1">
        <f t="shared" si="567"/>
        <v>0</v>
      </c>
      <c r="G1317" s="1">
        <f t="shared" si="568"/>
        <v>0</v>
      </c>
      <c r="H1317" s="1">
        <f t="shared" si="555"/>
        <v>0</v>
      </c>
      <c r="I1317" s="10">
        <f t="shared" si="569"/>
        <v>0</v>
      </c>
      <c r="J1317" s="1">
        <f t="shared" si="556"/>
        <v>0</v>
      </c>
      <c r="K1317" s="1">
        <f t="shared" si="557"/>
        <v>0</v>
      </c>
      <c r="L1317" s="1" t="str">
        <f t="shared" si="558"/>
        <v>0</v>
      </c>
      <c r="M1317" s="10">
        <f t="shared" si="559"/>
        <v>0</v>
      </c>
      <c r="N1317" s="1">
        <f t="shared" si="570"/>
        <v>0</v>
      </c>
      <c r="O1317" s="1">
        <f t="shared" si="562"/>
        <v>0</v>
      </c>
      <c r="P1317" s="1">
        <f t="shared" si="560"/>
        <v>0</v>
      </c>
      <c r="Q1317" s="3" t="str">
        <f t="shared" si="561"/>
        <v/>
      </c>
      <c r="T1317" s="13" t="str">
        <f t="shared" si="571"/>
        <v/>
      </c>
      <c r="U1317" s="14" t="str">
        <f t="shared" si="572"/>
        <v/>
      </c>
      <c r="V1317" s="13" t="str">
        <f t="shared" si="573"/>
        <v/>
      </c>
      <c r="W1317" s="13" t="str">
        <f t="shared" si="574"/>
        <v/>
      </c>
      <c r="X1317" s="14" t="str">
        <f t="shared" si="575"/>
        <v/>
      </c>
    </row>
    <row r="1318" spans="2:24" x14ac:dyDescent="0.3">
      <c r="B1318" s="1">
        <f t="shared" si="563"/>
        <v>0</v>
      </c>
      <c r="C1318" s="1">
        <f t="shared" si="564"/>
        <v>0</v>
      </c>
      <c r="D1318" s="10">
        <f t="shared" si="565"/>
        <v>0</v>
      </c>
      <c r="E1318" s="1">
        <f t="shared" si="566"/>
        <v>0</v>
      </c>
      <c r="F1318" s="1">
        <f t="shared" si="567"/>
        <v>0</v>
      </c>
      <c r="G1318" s="1">
        <f t="shared" si="568"/>
        <v>0</v>
      </c>
      <c r="H1318" s="1">
        <f t="shared" si="555"/>
        <v>0</v>
      </c>
      <c r="I1318" s="10">
        <f t="shared" si="569"/>
        <v>0</v>
      </c>
      <c r="J1318" s="1">
        <f t="shared" si="556"/>
        <v>0</v>
      </c>
      <c r="K1318" s="1">
        <f t="shared" si="557"/>
        <v>0</v>
      </c>
      <c r="L1318" s="1" t="str">
        <f t="shared" si="558"/>
        <v>0</v>
      </c>
      <c r="M1318" s="10">
        <f t="shared" si="559"/>
        <v>0</v>
      </c>
      <c r="N1318" s="1">
        <f t="shared" si="570"/>
        <v>0</v>
      </c>
      <c r="O1318" s="1">
        <f t="shared" si="562"/>
        <v>0</v>
      </c>
      <c r="P1318" s="1">
        <f t="shared" si="560"/>
        <v>0</v>
      </c>
      <c r="Q1318" s="3" t="str">
        <f t="shared" si="561"/>
        <v/>
      </c>
      <c r="T1318" s="13" t="str">
        <f t="shared" si="571"/>
        <v/>
      </c>
      <c r="U1318" s="14" t="str">
        <f t="shared" si="572"/>
        <v/>
      </c>
      <c r="V1318" s="13" t="str">
        <f t="shared" si="573"/>
        <v/>
      </c>
      <c r="W1318" s="13" t="str">
        <f t="shared" si="574"/>
        <v/>
      </c>
      <c r="X1318" s="14" t="str">
        <f t="shared" si="575"/>
        <v/>
      </c>
    </row>
    <row r="1319" spans="2:24" x14ac:dyDescent="0.3">
      <c r="B1319" s="1">
        <f t="shared" si="563"/>
        <v>0</v>
      </c>
      <c r="C1319" s="1">
        <f t="shared" si="564"/>
        <v>0</v>
      </c>
      <c r="D1319" s="10">
        <f t="shared" si="565"/>
        <v>0</v>
      </c>
      <c r="E1319" s="1">
        <f t="shared" si="566"/>
        <v>0</v>
      </c>
      <c r="F1319" s="1">
        <f t="shared" si="567"/>
        <v>0</v>
      </c>
      <c r="G1319" s="1">
        <f t="shared" si="568"/>
        <v>0</v>
      </c>
      <c r="H1319" s="1">
        <f t="shared" si="555"/>
        <v>0</v>
      </c>
      <c r="I1319" s="10">
        <f t="shared" si="569"/>
        <v>0</v>
      </c>
      <c r="J1319" s="1">
        <f t="shared" si="556"/>
        <v>0</v>
      </c>
      <c r="K1319" s="1">
        <f t="shared" si="557"/>
        <v>0</v>
      </c>
      <c r="L1319" s="1" t="str">
        <f t="shared" si="558"/>
        <v>0</v>
      </c>
      <c r="M1319" s="10">
        <f t="shared" si="559"/>
        <v>0</v>
      </c>
      <c r="N1319" s="1">
        <f t="shared" si="570"/>
        <v>0</v>
      </c>
      <c r="O1319" s="1">
        <f t="shared" si="562"/>
        <v>0</v>
      </c>
      <c r="P1319" s="1">
        <f t="shared" si="560"/>
        <v>0</v>
      </c>
      <c r="Q1319" s="3" t="str">
        <f t="shared" si="561"/>
        <v/>
      </c>
      <c r="T1319" s="13" t="str">
        <f t="shared" si="571"/>
        <v/>
      </c>
      <c r="U1319" s="14" t="str">
        <f t="shared" si="572"/>
        <v/>
      </c>
      <c r="V1319" s="13" t="str">
        <f t="shared" si="573"/>
        <v/>
      </c>
      <c r="W1319" s="13" t="str">
        <f t="shared" si="574"/>
        <v/>
      </c>
      <c r="X1319" s="14" t="str">
        <f t="shared" si="575"/>
        <v/>
      </c>
    </row>
    <row r="1320" spans="2:24" x14ac:dyDescent="0.3">
      <c r="B1320" s="1">
        <f t="shared" si="563"/>
        <v>0</v>
      </c>
      <c r="C1320" s="1">
        <f t="shared" si="564"/>
        <v>0</v>
      </c>
      <c r="D1320" s="10">
        <f t="shared" si="565"/>
        <v>0</v>
      </c>
      <c r="E1320" s="1">
        <f t="shared" si="566"/>
        <v>0</v>
      </c>
      <c r="F1320" s="1">
        <f t="shared" si="567"/>
        <v>0</v>
      </c>
      <c r="G1320" s="1">
        <f t="shared" si="568"/>
        <v>0</v>
      </c>
      <c r="H1320" s="1">
        <f t="shared" si="555"/>
        <v>0</v>
      </c>
      <c r="I1320" s="10">
        <f t="shared" si="569"/>
        <v>0</v>
      </c>
      <c r="J1320" s="1">
        <f t="shared" si="556"/>
        <v>0</v>
      </c>
      <c r="K1320" s="1">
        <f t="shared" si="557"/>
        <v>0</v>
      </c>
      <c r="L1320" s="1" t="str">
        <f t="shared" si="558"/>
        <v>0</v>
      </c>
      <c r="M1320" s="10">
        <f t="shared" si="559"/>
        <v>0</v>
      </c>
      <c r="N1320" s="1">
        <f t="shared" si="570"/>
        <v>0</v>
      </c>
      <c r="O1320" s="1">
        <f t="shared" si="562"/>
        <v>0</v>
      </c>
      <c r="P1320" s="1">
        <f t="shared" si="560"/>
        <v>0</v>
      </c>
      <c r="Q1320" s="3" t="str">
        <f t="shared" si="561"/>
        <v/>
      </c>
      <c r="T1320" s="13" t="str">
        <f t="shared" si="571"/>
        <v/>
      </c>
      <c r="U1320" s="14" t="str">
        <f t="shared" si="572"/>
        <v/>
      </c>
      <c r="V1320" s="13" t="str">
        <f t="shared" si="573"/>
        <v/>
      </c>
      <c r="W1320" s="13" t="str">
        <f t="shared" si="574"/>
        <v/>
      </c>
      <c r="X1320" s="14" t="str">
        <f t="shared" si="575"/>
        <v/>
      </c>
    </row>
    <row r="1321" spans="2:24" x14ac:dyDescent="0.3">
      <c r="B1321" s="1">
        <f t="shared" si="563"/>
        <v>0</v>
      </c>
      <c r="C1321" s="1">
        <f t="shared" si="564"/>
        <v>0</v>
      </c>
      <c r="D1321" s="10">
        <f t="shared" si="565"/>
        <v>0</v>
      </c>
      <c r="E1321" s="1">
        <f t="shared" si="566"/>
        <v>0</v>
      </c>
      <c r="F1321" s="1">
        <f t="shared" si="567"/>
        <v>0</v>
      </c>
      <c r="G1321" s="1">
        <f t="shared" si="568"/>
        <v>0</v>
      </c>
      <c r="H1321" s="1">
        <f t="shared" si="555"/>
        <v>0</v>
      </c>
      <c r="I1321" s="10">
        <f t="shared" si="569"/>
        <v>0</v>
      </c>
      <c r="J1321" s="1">
        <f t="shared" si="556"/>
        <v>0</v>
      </c>
      <c r="K1321" s="1">
        <f t="shared" si="557"/>
        <v>0</v>
      </c>
      <c r="L1321" s="1" t="str">
        <f t="shared" si="558"/>
        <v>0</v>
      </c>
      <c r="M1321" s="10">
        <f t="shared" si="559"/>
        <v>0</v>
      </c>
      <c r="N1321" s="1">
        <f t="shared" si="570"/>
        <v>0</v>
      </c>
      <c r="O1321" s="1">
        <f t="shared" si="562"/>
        <v>0</v>
      </c>
      <c r="P1321" s="1">
        <f t="shared" si="560"/>
        <v>0</v>
      </c>
      <c r="Q1321" s="3" t="str">
        <f t="shared" si="561"/>
        <v/>
      </c>
      <c r="T1321" s="13" t="str">
        <f t="shared" si="571"/>
        <v/>
      </c>
      <c r="U1321" s="14" t="str">
        <f t="shared" si="572"/>
        <v/>
      </c>
      <c r="V1321" s="13" t="str">
        <f t="shared" si="573"/>
        <v/>
      </c>
      <c r="W1321" s="13" t="str">
        <f t="shared" si="574"/>
        <v/>
      </c>
      <c r="X1321" s="14" t="str">
        <f t="shared" si="575"/>
        <v/>
      </c>
    </row>
    <row r="1322" spans="2:24" x14ac:dyDescent="0.3">
      <c r="B1322" s="1">
        <f t="shared" si="563"/>
        <v>0</v>
      </c>
      <c r="C1322" s="1">
        <f t="shared" si="564"/>
        <v>0</v>
      </c>
      <c r="D1322" s="10">
        <f t="shared" si="565"/>
        <v>0</v>
      </c>
      <c r="E1322" s="1">
        <f t="shared" si="566"/>
        <v>0</v>
      </c>
      <c r="F1322" s="1">
        <f t="shared" si="567"/>
        <v>0</v>
      </c>
      <c r="G1322" s="1">
        <f t="shared" si="568"/>
        <v>0</v>
      </c>
      <c r="H1322" s="1">
        <f t="shared" si="555"/>
        <v>0</v>
      </c>
      <c r="I1322" s="10">
        <f t="shared" si="569"/>
        <v>0</v>
      </c>
      <c r="J1322" s="1">
        <f t="shared" si="556"/>
        <v>0</v>
      </c>
      <c r="K1322" s="1">
        <f t="shared" si="557"/>
        <v>0</v>
      </c>
      <c r="L1322" s="1" t="str">
        <f t="shared" si="558"/>
        <v>0</v>
      </c>
      <c r="M1322" s="10">
        <f t="shared" si="559"/>
        <v>0</v>
      </c>
      <c r="N1322" s="1">
        <f t="shared" si="570"/>
        <v>0</v>
      </c>
      <c r="O1322" s="1">
        <f t="shared" si="562"/>
        <v>0</v>
      </c>
      <c r="P1322" s="1">
        <f t="shared" si="560"/>
        <v>0</v>
      </c>
      <c r="Q1322" s="3" t="str">
        <f t="shared" si="561"/>
        <v/>
      </c>
      <c r="T1322" s="13" t="str">
        <f t="shared" si="571"/>
        <v/>
      </c>
      <c r="U1322" s="14" t="str">
        <f t="shared" si="572"/>
        <v/>
      </c>
      <c r="V1322" s="13" t="str">
        <f t="shared" si="573"/>
        <v/>
      </c>
      <c r="W1322" s="13" t="str">
        <f t="shared" si="574"/>
        <v/>
      </c>
      <c r="X1322" s="14" t="str">
        <f t="shared" si="575"/>
        <v/>
      </c>
    </row>
    <row r="1323" spans="2:24" x14ac:dyDescent="0.3">
      <c r="B1323" s="1">
        <f t="shared" si="563"/>
        <v>0</v>
      </c>
      <c r="C1323" s="1">
        <f t="shared" si="564"/>
        <v>0</v>
      </c>
      <c r="D1323" s="10">
        <f t="shared" si="565"/>
        <v>0</v>
      </c>
      <c r="E1323" s="1">
        <f t="shared" si="566"/>
        <v>0</v>
      </c>
      <c r="F1323" s="1">
        <f t="shared" si="567"/>
        <v>0</v>
      </c>
      <c r="G1323" s="1">
        <f t="shared" si="568"/>
        <v>0</v>
      </c>
      <c r="H1323" s="1">
        <f t="shared" si="555"/>
        <v>0</v>
      </c>
      <c r="I1323" s="10">
        <f t="shared" si="569"/>
        <v>0</v>
      </c>
      <c r="J1323" s="1">
        <f t="shared" si="556"/>
        <v>0</v>
      </c>
      <c r="K1323" s="1">
        <f t="shared" si="557"/>
        <v>0</v>
      </c>
      <c r="L1323" s="1" t="str">
        <f t="shared" si="558"/>
        <v>0</v>
      </c>
      <c r="M1323" s="10">
        <f t="shared" si="559"/>
        <v>0</v>
      </c>
      <c r="N1323" s="1">
        <f t="shared" si="570"/>
        <v>0</v>
      </c>
      <c r="O1323" s="1">
        <f t="shared" si="562"/>
        <v>0</v>
      </c>
      <c r="P1323" s="1">
        <f t="shared" si="560"/>
        <v>0</v>
      </c>
      <c r="Q1323" s="3" t="str">
        <f t="shared" si="561"/>
        <v/>
      </c>
      <c r="T1323" s="13" t="str">
        <f t="shared" si="571"/>
        <v/>
      </c>
      <c r="U1323" s="14" t="str">
        <f t="shared" si="572"/>
        <v/>
      </c>
      <c r="V1323" s="13" t="str">
        <f t="shared" si="573"/>
        <v/>
      </c>
      <c r="W1323" s="13" t="str">
        <f t="shared" si="574"/>
        <v/>
      </c>
      <c r="X1323" s="14" t="str">
        <f t="shared" si="575"/>
        <v/>
      </c>
    </row>
    <row r="1324" spans="2:24" x14ac:dyDescent="0.3">
      <c r="B1324" s="1">
        <f t="shared" si="563"/>
        <v>0</v>
      </c>
      <c r="C1324" s="1">
        <f t="shared" si="564"/>
        <v>0</v>
      </c>
      <c r="D1324" s="10">
        <f t="shared" si="565"/>
        <v>0</v>
      </c>
      <c r="E1324" s="1">
        <f t="shared" si="566"/>
        <v>0</v>
      </c>
      <c r="F1324" s="1">
        <f t="shared" si="567"/>
        <v>0</v>
      </c>
      <c r="G1324" s="1">
        <f t="shared" si="568"/>
        <v>0</v>
      </c>
      <c r="H1324" s="1">
        <f t="shared" si="555"/>
        <v>0</v>
      </c>
      <c r="I1324" s="10">
        <f t="shared" si="569"/>
        <v>0</v>
      </c>
      <c r="J1324" s="1">
        <f t="shared" si="556"/>
        <v>0</v>
      </c>
      <c r="K1324" s="1">
        <f t="shared" si="557"/>
        <v>0</v>
      </c>
      <c r="L1324" s="1" t="str">
        <f t="shared" si="558"/>
        <v>0</v>
      </c>
      <c r="M1324" s="10">
        <f t="shared" si="559"/>
        <v>0</v>
      </c>
      <c r="N1324" s="1">
        <f t="shared" si="570"/>
        <v>0</v>
      </c>
      <c r="O1324" s="1">
        <f t="shared" si="562"/>
        <v>0</v>
      </c>
      <c r="P1324" s="1">
        <f t="shared" si="560"/>
        <v>0</v>
      </c>
      <c r="Q1324" s="3" t="str">
        <f t="shared" si="561"/>
        <v/>
      </c>
      <c r="T1324" s="13" t="str">
        <f t="shared" si="571"/>
        <v/>
      </c>
      <c r="U1324" s="14" t="str">
        <f t="shared" si="572"/>
        <v/>
      </c>
      <c r="V1324" s="13" t="str">
        <f t="shared" si="573"/>
        <v/>
      </c>
      <c r="W1324" s="13" t="str">
        <f t="shared" si="574"/>
        <v/>
      </c>
      <c r="X1324" s="14" t="str">
        <f t="shared" si="575"/>
        <v/>
      </c>
    </row>
    <row r="1325" spans="2:24" x14ac:dyDescent="0.3">
      <c r="B1325" s="1">
        <f t="shared" si="563"/>
        <v>0</v>
      </c>
      <c r="C1325" s="1">
        <f t="shared" si="564"/>
        <v>0</v>
      </c>
      <c r="D1325" s="10">
        <f t="shared" si="565"/>
        <v>0</v>
      </c>
      <c r="E1325" s="1">
        <f t="shared" si="566"/>
        <v>0</v>
      </c>
      <c r="F1325" s="1">
        <f t="shared" si="567"/>
        <v>0</v>
      </c>
      <c r="G1325" s="1">
        <f t="shared" si="568"/>
        <v>0</v>
      </c>
      <c r="H1325" s="1">
        <f t="shared" si="555"/>
        <v>0</v>
      </c>
      <c r="I1325" s="10">
        <f t="shared" si="569"/>
        <v>0</v>
      </c>
      <c r="J1325" s="1">
        <f t="shared" si="556"/>
        <v>0</v>
      </c>
      <c r="K1325" s="1">
        <f t="shared" si="557"/>
        <v>0</v>
      </c>
      <c r="L1325" s="1" t="str">
        <f t="shared" si="558"/>
        <v>0</v>
      </c>
      <c r="M1325" s="10">
        <f t="shared" si="559"/>
        <v>0</v>
      </c>
      <c r="N1325" s="1">
        <f t="shared" si="570"/>
        <v>0</v>
      </c>
      <c r="O1325" s="1">
        <f t="shared" si="562"/>
        <v>0</v>
      </c>
      <c r="P1325" s="1">
        <f t="shared" si="560"/>
        <v>0</v>
      </c>
      <c r="Q1325" s="3" t="str">
        <f t="shared" si="561"/>
        <v/>
      </c>
      <c r="T1325" s="13" t="str">
        <f t="shared" si="571"/>
        <v/>
      </c>
      <c r="U1325" s="14" t="str">
        <f t="shared" si="572"/>
        <v/>
      </c>
      <c r="V1325" s="13" t="str">
        <f t="shared" si="573"/>
        <v/>
      </c>
      <c r="W1325" s="13" t="str">
        <f t="shared" si="574"/>
        <v/>
      </c>
      <c r="X1325" s="14" t="str">
        <f t="shared" si="575"/>
        <v/>
      </c>
    </row>
    <row r="1326" spans="2:24" x14ac:dyDescent="0.3">
      <c r="B1326" s="1">
        <f t="shared" si="563"/>
        <v>0</v>
      </c>
      <c r="C1326" s="1">
        <f t="shared" si="564"/>
        <v>0</v>
      </c>
      <c r="D1326" s="10">
        <f t="shared" si="565"/>
        <v>0</v>
      </c>
      <c r="E1326" s="1">
        <f t="shared" si="566"/>
        <v>0</v>
      </c>
      <c r="F1326" s="1">
        <f t="shared" si="567"/>
        <v>0</v>
      </c>
      <c r="G1326" s="1">
        <f t="shared" si="568"/>
        <v>0</v>
      </c>
      <c r="H1326" s="1">
        <f t="shared" si="555"/>
        <v>0</v>
      </c>
      <c r="I1326" s="10">
        <f t="shared" si="569"/>
        <v>0</v>
      </c>
      <c r="J1326" s="1">
        <f t="shared" si="556"/>
        <v>0</v>
      </c>
      <c r="K1326" s="1">
        <f t="shared" si="557"/>
        <v>0</v>
      </c>
      <c r="L1326" s="1" t="str">
        <f t="shared" si="558"/>
        <v>0</v>
      </c>
      <c r="M1326" s="10">
        <f t="shared" si="559"/>
        <v>0</v>
      </c>
      <c r="N1326" s="1">
        <f t="shared" si="570"/>
        <v>0</v>
      </c>
      <c r="O1326" s="1">
        <f t="shared" si="562"/>
        <v>0</v>
      </c>
      <c r="P1326" s="1">
        <f t="shared" si="560"/>
        <v>0</v>
      </c>
      <c r="Q1326" s="3" t="str">
        <f t="shared" si="561"/>
        <v/>
      </c>
      <c r="T1326" s="13" t="str">
        <f t="shared" si="571"/>
        <v/>
      </c>
      <c r="U1326" s="14" t="str">
        <f t="shared" si="572"/>
        <v/>
      </c>
      <c r="V1326" s="13" t="str">
        <f t="shared" si="573"/>
        <v/>
      </c>
      <c r="W1326" s="13" t="str">
        <f t="shared" si="574"/>
        <v/>
      </c>
      <c r="X1326" s="14" t="str">
        <f t="shared" si="575"/>
        <v/>
      </c>
    </row>
    <row r="1327" spans="2:24" x14ac:dyDescent="0.3">
      <c r="B1327" s="1">
        <f t="shared" si="563"/>
        <v>0</v>
      </c>
      <c r="C1327" s="1">
        <f t="shared" si="564"/>
        <v>0</v>
      </c>
      <c r="D1327" s="10">
        <f t="shared" si="565"/>
        <v>0</v>
      </c>
      <c r="E1327" s="1">
        <f t="shared" si="566"/>
        <v>0</v>
      </c>
      <c r="F1327" s="1">
        <f t="shared" si="567"/>
        <v>0</v>
      </c>
      <c r="G1327" s="1">
        <f t="shared" si="568"/>
        <v>0</v>
      </c>
      <c r="H1327" s="1">
        <f t="shared" si="555"/>
        <v>0</v>
      </c>
      <c r="I1327" s="10">
        <f t="shared" si="569"/>
        <v>0</v>
      </c>
      <c r="J1327" s="1">
        <f t="shared" si="556"/>
        <v>0</v>
      </c>
      <c r="K1327" s="1">
        <f t="shared" si="557"/>
        <v>0</v>
      </c>
      <c r="L1327" s="1" t="str">
        <f t="shared" si="558"/>
        <v>0</v>
      </c>
      <c r="M1327" s="10">
        <f t="shared" si="559"/>
        <v>0</v>
      </c>
      <c r="N1327" s="1">
        <f t="shared" si="570"/>
        <v>0</v>
      </c>
      <c r="O1327" s="1">
        <f t="shared" si="562"/>
        <v>0</v>
      </c>
      <c r="P1327" s="1">
        <f t="shared" si="560"/>
        <v>0</v>
      </c>
      <c r="Q1327" s="3" t="str">
        <f t="shared" si="561"/>
        <v/>
      </c>
      <c r="T1327" s="13" t="str">
        <f t="shared" si="571"/>
        <v/>
      </c>
      <c r="U1327" s="14" t="str">
        <f t="shared" si="572"/>
        <v/>
      </c>
      <c r="V1327" s="13" t="str">
        <f t="shared" si="573"/>
        <v/>
      </c>
      <c r="W1327" s="13" t="str">
        <f t="shared" si="574"/>
        <v/>
      </c>
      <c r="X1327" s="14" t="str">
        <f t="shared" si="575"/>
        <v/>
      </c>
    </row>
    <row r="1328" spans="2:24" x14ac:dyDescent="0.3">
      <c r="B1328" s="1">
        <f t="shared" si="563"/>
        <v>0</v>
      </c>
      <c r="C1328" s="1">
        <f t="shared" si="564"/>
        <v>0</v>
      </c>
      <c r="D1328" s="10">
        <f t="shared" si="565"/>
        <v>0</v>
      </c>
      <c r="E1328" s="1">
        <f t="shared" si="566"/>
        <v>0</v>
      </c>
      <c r="F1328" s="1">
        <f t="shared" si="567"/>
        <v>0</v>
      </c>
      <c r="G1328" s="1">
        <f t="shared" si="568"/>
        <v>0</v>
      </c>
      <c r="H1328" s="1">
        <f t="shared" si="555"/>
        <v>0</v>
      </c>
      <c r="I1328" s="10">
        <f t="shared" si="569"/>
        <v>0</v>
      </c>
      <c r="J1328" s="1">
        <f t="shared" si="556"/>
        <v>0</v>
      </c>
      <c r="K1328" s="1">
        <f t="shared" si="557"/>
        <v>0</v>
      </c>
      <c r="L1328" s="1" t="str">
        <f t="shared" si="558"/>
        <v>0</v>
      </c>
      <c r="M1328" s="10">
        <f t="shared" si="559"/>
        <v>0</v>
      </c>
      <c r="N1328" s="1">
        <f t="shared" si="570"/>
        <v>0</v>
      </c>
      <c r="O1328" s="1">
        <f t="shared" si="562"/>
        <v>0</v>
      </c>
      <c r="P1328" s="1">
        <f t="shared" si="560"/>
        <v>0</v>
      </c>
      <c r="Q1328" s="3" t="str">
        <f t="shared" si="561"/>
        <v/>
      </c>
      <c r="T1328" s="13" t="str">
        <f t="shared" si="571"/>
        <v/>
      </c>
      <c r="U1328" s="14" t="str">
        <f t="shared" si="572"/>
        <v/>
      </c>
      <c r="V1328" s="13" t="str">
        <f t="shared" si="573"/>
        <v/>
      </c>
      <c r="W1328" s="13" t="str">
        <f t="shared" si="574"/>
        <v/>
      </c>
      <c r="X1328" s="14" t="str">
        <f t="shared" si="575"/>
        <v/>
      </c>
    </row>
    <row r="1329" spans="2:24" x14ac:dyDescent="0.3">
      <c r="B1329" s="1">
        <f t="shared" si="563"/>
        <v>0</v>
      </c>
      <c r="C1329" s="1">
        <f t="shared" si="564"/>
        <v>0</v>
      </c>
      <c r="D1329" s="10">
        <f t="shared" si="565"/>
        <v>0</v>
      </c>
      <c r="E1329" s="1">
        <f t="shared" si="566"/>
        <v>0</v>
      </c>
      <c r="F1329" s="1">
        <f t="shared" si="567"/>
        <v>0</v>
      </c>
      <c r="G1329" s="1">
        <f t="shared" si="568"/>
        <v>0</v>
      </c>
      <c r="H1329" s="1">
        <f t="shared" si="555"/>
        <v>0</v>
      </c>
      <c r="I1329" s="10">
        <f t="shared" si="569"/>
        <v>0</v>
      </c>
      <c r="J1329" s="1">
        <f t="shared" si="556"/>
        <v>0</v>
      </c>
      <c r="K1329" s="1">
        <f t="shared" si="557"/>
        <v>0</v>
      </c>
      <c r="L1329" s="1" t="str">
        <f t="shared" si="558"/>
        <v>0</v>
      </c>
      <c r="M1329" s="10">
        <f t="shared" si="559"/>
        <v>0</v>
      </c>
      <c r="N1329" s="1">
        <f t="shared" si="570"/>
        <v>0</v>
      </c>
      <c r="O1329" s="1">
        <f t="shared" si="562"/>
        <v>0</v>
      </c>
      <c r="P1329" s="1">
        <f t="shared" si="560"/>
        <v>0</v>
      </c>
      <c r="Q1329" s="3" t="str">
        <f t="shared" si="561"/>
        <v/>
      </c>
      <c r="T1329" s="13" t="str">
        <f t="shared" si="571"/>
        <v/>
      </c>
      <c r="U1329" s="14" t="str">
        <f t="shared" si="572"/>
        <v/>
      </c>
      <c r="V1329" s="13" t="str">
        <f t="shared" si="573"/>
        <v/>
      </c>
      <c r="W1329" s="13" t="str">
        <f t="shared" si="574"/>
        <v/>
      </c>
      <c r="X1329" s="14" t="str">
        <f t="shared" si="575"/>
        <v/>
      </c>
    </row>
    <row r="1330" spans="2:24" x14ac:dyDescent="0.3">
      <c r="B1330" s="1">
        <f t="shared" si="563"/>
        <v>0</v>
      </c>
      <c r="C1330" s="1">
        <f t="shared" si="564"/>
        <v>0</v>
      </c>
      <c r="D1330" s="10">
        <f t="shared" si="565"/>
        <v>0</v>
      </c>
      <c r="E1330" s="1">
        <f t="shared" si="566"/>
        <v>0</v>
      </c>
      <c r="F1330" s="1">
        <f t="shared" si="567"/>
        <v>0</v>
      </c>
      <c r="G1330" s="1">
        <f t="shared" si="568"/>
        <v>0</v>
      </c>
      <c r="H1330" s="1">
        <f t="shared" si="555"/>
        <v>0</v>
      </c>
      <c r="I1330" s="10">
        <f t="shared" si="569"/>
        <v>0</v>
      </c>
      <c r="J1330" s="1">
        <f t="shared" si="556"/>
        <v>0</v>
      </c>
      <c r="K1330" s="1">
        <f t="shared" si="557"/>
        <v>0</v>
      </c>
      <c r="L1330" s="1" t="str">
        <f t="shared" si="558"/>
        <v>0</v>
      </c>
      <c r="M1330" s="10">
        <f t="shared" si="559"/>
        <v>0</v>
      </c>
      <c r="N1330" s="1">
        <f t="shared" si="570"/>
        <v>0</v>
      </c>
      <c r="O1330" s="1">
        <f t="shared" si="562"/>
        <v>0</v>
      </c>
      <c r="P1330" s="1">
        <f t="shared" si="560"/>
        <v>0</v>
      </c>
      <c r="Q1330" s="3" t="str">
        <f t="shared" si="561"/>
        <v/>
      </c>
      <c r="T1330" s="13" t="str">
        <f t="shared" si="571"/>
        <v/>
      </c>
      <c r="U1330" s="14" t="str">
        <f t="shared" si="572"/>
        <v/>
      </c>
      <c r="V1330" s="13" t="str">
        <f t="shared" si="573"/>
        <v/>
      </c>
      <c r="W1330" s="13" t="str">
        <f t="shared" si="574"/>
        <v/>
      </c>
      <c r="X1330" s="14" t="str">
        <f t="shared" si="575"/>
        <v/>
      </c>
    </row>
    <row r="1331" spans="2:24" x14ac:dyDescent="0.3">
      <c r="B1331" s="1">
        <f t="shared" si="563"/>
        <v>0</v>
      </c>
      <c r="C1331" s="1">
        <f t="shared" si="564"/>
        <v>0</v>
      </c>
      <c r="D1331" s="10">
        <f t="shared" si="565"/>
        <v>0</v>
      </c>
      <c r="E1331" s="1">
        <f t="shared" si="566"/>
        <v>0</v>
      </c>
      <c r="F1331" s="1">
        <f t="shared" si="567"/>
        <v>0</v>
      </c>
      <c r="G1331" s="1">
        <f t="shared" si="568"/>
        <v>0</v>
      </c>
      <c r="H1331" s="1">
        <f t="shared" si="555"/>
        <v>0</v>
      </c>
      <c r="I1331" s="10">
        <f t="shared" si="569"/>
        <v>0</v>
      </c>
      <c r="J1331" s="1">
        <f t="shared" si="556"/>
        <v>0</v>
      </c>
      <c r="K1331" s="1">
        <f t="shared" si="557"/>
        <v>0</v>
      </c>
      <c r="L1331" s="1" t="str">
        <f t="shared" si="558"/>
        <v>0</v>
      </c>
      <c r="M1331" s="10">
        <f t="shared" si="559"/>
        <v>0</v>
      </c>
      <c r="N1331" s="1">
        <f t="shared" si="570"/>
        <v>0</v>
      </c>
      <c r="O1331" s="1">
        <f t="shared" si="562"/>
        <v>0</v>
      </c>
      <c r="P1331" s="1">
        <f t="shared" si="560"/>
        <v>0</v>
      </c>
      <c r="Q1331" s="3" t="str">
        <f t="shared" si="561"/>
        <v/>
      </c>
      <c r="T1331" s="13" t="str">
        <f t="shared" si="571"/>
        <v/>
      </c>
      <c r="U1331" s="14" t="str">
        <f t="shared" si="572"/>
        <v/>
      </c>
      <c r="V1331" s="13" t="str">
        <f t="shared" si="573"/>
        <v/>
      </c>
      <c r="W1331" s="13" t="str">
        <f t="shared" si="574"/>
        <v/>
      </c>
      <c r="X1331" s="14" t="str">
        <f t="shared" si="575"/>
        <v/>
      </c>
    </row>
    <row r="1332" spans="2:24" x14ac:dyDescent="0.3">
      <c r="B1332" s="1">
        <f t="shared" si="563"/>
        <v>0</v>
      </c>
      <c r="C1332" s="1">
        <f t="shared" si="564"/>
        <v>0</v>
      </c>
      <c r="D1332" s="10">
        <f t="shared" si="565"/>
        <v>0</v>
      </c>
      <c r="E1332" s="1">
        <f t="shared" si="566"/>
        <v>0</v>
      </c>
      <c r="F1332" s="1">
        <f t="shared" si="567"/>
        <v>0</v>
      </c>
      <c r="G1332" s="1">
        <f t="shared" si="568"/>
        <v>0</v>
      </c>
      <c r="H1332" s="1">
        <f t="shared" si="555"/>
        <v>0</v>
      </c>
      <c r="I1332" s="10">
        <f t="shared" si="569"/>
        <v>0</v>
      </c>
      <c r="J1332" s="1">
        <f t="shared" si="556"/>
        <v>0</v>
      </c>
      <c r="K1332" s="1">
        <f t="shared" si="557"/>
        <v>0</v>
      </c>
      <c r="L1332" s="1" t="str">
        <f t="shared" si="558"/>
        <v>0</v>
      </c>
      <c r="M1332" s="10">
        <f t="shared" si="559"/>
        <v>0</v>
      </c>
      <c r="N1332" s="1">
        <f t="shared" si="570"/>
        <v>0</v>
      </c>
      <c r="O1332" s="1">
        <f t="shared" si="562"/>
        <v>0</v>
      </c>
      <c r="P1332" s="1">
        <f t="shared" si="560"/>
        <v>0</v>
      </c>
      <c r="Q1332" s="3" t="str">
        <f t="shared" si="561"/>
        <v/>
      </c>
      <c r="T1332" s="13" t="str">
        <f t="shared" si="571"/>
        <v/>
      </c>
      <c r="U1332" s="14" t="str">
        <f t="shared" si="572"/>
        <v/>
      </c>
      <c r="V1332" s="13" t="str">
        <f t="shared" si="573"/>
        <v/>
      </c>
      <c r="W1332" s="13" t="str">
        <f t="shared" si="574"/>
        <v/>
      </c>
      <c r="X1332" s="14" t="str">
        <f t="shared" si="575"/>
        <v/>
      </c>
    </row>
    <row r="1333" spans="2:24" x14ac:dyDescent="0.3">
      <c r="B1333" s="1">
        <f t="shared" si="563"/>
        <v>0</v>
      </c>
      <c r="C1333" s="1">
        <f t="shared" si="564"/>
        <v>0</v>
      </c>
      <c r="D1333" s="10">
        <f t="shared" si="565"/>
        <v>0</v>
      </c>
      <c r="E1333" s="1">
        <f t="shared" si="566"/>
        <v>0</v>
      </c>
      <c r="F1333" s="1">
        <f t="shared" si="567"/>
        <v>0</v>
      </c>
      <c r="G1333" s="1">
        <f t="shared" si="568"/>
        <v>0</v>
      </c>
      <c r="H1333" s="1">
        <f t="shared" ref="H1333:H1362" si="576">IF(AND(F1333&gt;0,F1333&lt;G1333),F1333,G1333)</f>
        <v>0</v>
      </c>
      <c r="I1333" s="10">
        <f t="shared" si="569"/>
        <v>0</v>
      </c>
      <c r="J1333" s="1">
        <f t="shared" ref="J1333:J1362" si="577">IF(AND(F1333&gt;0,F1333&lt;G1333),FIND("=",A1333,F1333)+1,0)</f>
        <v>0</v>
      </c>
      <c r="K1333" s="1">
        <f t="shared" ref="K1333:K1362" si="578">IF(J1333&gt;0,MID(A1333,J1333,G1333-J1333),0)</f>
        <v>0</v>
      </c>
      <c r="L1333" s="1" t="str">
        <f t="shared" ref="L1333:L1362" si="579">IFERROR(RIGHT(K1333,LEN(K1333)-FIND("0x",K1333)-1),DEC2HEX(K1333))</f>
        <v>0</v>
      </c>
      <c r="M1333" s="10">
        <f t="shared" ref="M1333:M1362" si="580">HEX2DEC(L1333)</f>
        <v>0</v>
      </c>
      <c r="N1333" s="1">
        <f t="shared" si="570"/>
        <v>0</v>
      </c>
      <c r="O1333" s="1">
        <f t="shared" si="562"/>
        <v>0</v>
      </c>
      <c r="P1333" s="1">
        <f t="shared" ref="P1333:P1362" si="581">IFERROR(FIND("*/",$A1333,N1333+1),0)</f>
        <v>0</v>
      </c>
      <c r="Q1333" s="3" t="str">
        <f t="shared" si="561"/>
        <v/>
      </c>
      <c r="T1333" s="13" t="str">
        <f t="shared" si="571"/>
        <v/>
      </c>
      <c r="U1333" s="14" t="str">
        <f t="shared" si="572"/>
        <v/>
      </c>
      <c r="V1333" s="13" t="str">
        <f t="shared" si="573"/>
        <v/>
      </c>
      <c r="W1333" s="13" t="str">
        <f t="shared" si="574"/>
        <v/>
      </c>
      <c r="X1333" s="14" t="str">
        <f t="shared" si="575"/>
        <v/>
      </c>
    </row>
    <row r="1334" spans="2:24" x14ac:dyDescent="0.3">
      <c r="B1334" s="1">
        <f t="shared" si="563"/>
        <v>0</v>
      </c>
      <c r="C1334" s="1">
        <f t="shared" si="564"/>
        <v>0</v>
      </c>
      <c r="D1334" s="10">
        <f t="shared" si="565"/>
        <v>0</v>
      </c>
      <c r="E1334" s="1">
        <f t="shared" si="566"/>
        <v>0</v>
      </c>
      <c r="F1334" s="1">
        <f t="shared" si="567"/>
        <v>0</v>
      </c>
      <c r="G1334" s="1">
        <f t="shared" si="568"/>
        <v>0</v>
      </c>
      <c r="H1334" s="1">
        <f t="shared" si="576"/>
        <v>0</v>
      </c>
      <c r="I1334" s="10">
        <f t="shared" si="569"/>
        <v>0</v>
      </c>
      <c r="J1334" s="1">
        <f t="shared" si="577"/>
        <v>0</v>
      </c>
      <c r="K1334" s="1">
        <f t="shared" si="578"/>
        <v>0</v>
      </c>
      <c r="L1334" s="1" t="str">
        <f t="shared" si="579"/>
        <v>0</v>
      </c>
      <c r="M1334" s="10">
        <f t="shared" si="580"/>
        <v>0</v>
      </c>
      <c r="N1334" s="1">
        <f t="shared" si="570"/>
        <v>0</v>
      </c>
      <c r="O1334" s="1">
        <f t="shared" si="562"/>
        <v>0</v>
      </c>
      <c r="P1334" s="1">
        <f t="shared" si="581"/>
        <v>0</v>
      </c>
      <c r="Q1334" s="3" t="str">
        <f t="shared" si="561"/>
        <v/>
      </c>
      <c r="T1334" s="13" t="str">
        <f t="shared" si="571"/>
        <v/>
      </c>
      <c r="U1334" s="14" t="str">
        <f t="shared" si="572"/>
        <v/>
      </c>
      <c r="V1334" s="13" t="str">
        <f t="shared" si="573"/>
        <v/>
      </c>
      <c r="W1334" s="13" t="str">
        <f t="shared" si="574"/>
        <v/>
      </c>
      <c r="X1334" s="14" t="str">
        <f t="shared" si="575"/>
        <v/>
      </c>
    </row>
    <row r="1335" spans="2:24" x14ac:dyDescent="0.3">
      <c r="B1335" s="1">
        <f t="shared" si="563"/>
        <v>0</v>
      </c>
      <c r="C1335" s="1">
        <f t="shared" si="564"/>
        <v>0</v>
      </c>
      <c r="D1335" s="10">
        <f t="shared" si="565"/>
        <v>0</v>
      </c>
      <c r="E1335" s="1">
        <f t="shared" si="566"/>
        <v>0</v>
      </c>
      <c r="F1335" s="1">
        <f t="shared" si="567"/>
        <v>0</v>
      </c>
      <c r="G1335" s="1">
        <f t="shared" si="568"/>
        <v>0</v>
      </c>
      <c r="H1335" s="1">
        <f t="shared" si="576"/>
        <v>0</v>
      </c>
      <c r="I1335" s="10">
        <f t="shared" si="569"/>
        <v>0</v>
      </c>
      <c r="J1335" s="1">
        <f t="shared" si="577"/>
        <v>0</v>
      </c>
      <c r="K1335" s="1">
        <f t="shared" si="578"/>
        <v>0</v>
      </c>
      <c r="L1335" s="1" t="str">
        <f t="shared" si="579"/>
        <v>0</v>
      </c>
      <c r="M1335" s="10">
        <f t="shared" si="580"/>
        <v>0</v>
      </c>
      <c r="N1335" s="1">
        <f t="shared" si="570"/>
        <v>0</v>
      </c>
      <c r="O1335" s="1">
        <f t="shared" si="562"/>
        <v>0</v>
      </c>
      <c r="P1335" s="1">
        <f t="shared" si="581"/>
        <v>0</v>
      </c>
      <c r="Q1335" s="3" t="str">
        <f t="shared" si="561"/>
        <v/>
      </c>
      <c r="T1335" s="13" t="str">
        <f t="shared" si="571"/>
        <v/>
      </c>
      <c r="U1335" s="14" t="str">
        <f t="shared" si="572"/>
        <v/>
      </c>
      <c r="V1335" s="13" t="str">
        <f t="shared" si="573"/>
        <v/>
      </c>
      <c r="W1335" s="13" t="str">
        <f t="shared" si="574"/>
        <v/>
      </c>
      <c r="X1335" s="14" t="str">
        <f t="shared" si="575"/>
        <v/>
      </c>
    </row>
    <row r="1336" spans="2:24" x14ac:dyDescent="0.3">
      <c r="B1336" s="1">
        <f t="shared" si="563"/>
        <v>0</v>
      </c>
      <c r="C1336" s="1">
        <f t="shared" si="564"/>
        <v>0</v>
      </c>
      <c r="D1336" s="10">
        <f t="shared" si="565"/>
        <v>0</v>
      </c>
      <c r="E1336" s="1">
        <f t="shared" si="566"/>
        <v>0</v>
      </c>
      <c r="F1336" s="1">
        <f t="shared" si="567"/>
        <v>0</v>
      </c>
      <c r="G1336" s="1">
        <f t="shared" si="568"/>
        <v>0</v>
      </c>
      <c r="H1336" s="1">
        <f t="shared" si="576"/>
        <v>0</v>
      </c>
      <c r="I1336" s="10">
        <f t="shared" si="569"/>
        <v>0</v>
      </c>
      <c r="J1336" s="1">
        <f t="shared" si="577"/>
        <v>0</v>
      </c>
      <c r="K1336" s="1">
        <f t="shared" si="578"/>
        <v>0</v>
      </c>
      <c r="L1336" s="1" t="str">
        <f t="shared" si="579"/>
        <v>0</v>
      </c>
      <c r="M1336" s="10">
        <f t="shared" si="580"/>
        <v>0</v>
      </c>
      <c r="N1336" s="1">
        <f t="shared" si="570"/>
        <v>0</v>
      </c>
      <c r="O1336" s="1">
        <f t="shared" si="562"/>
        <v>0</v>
      </c>
      <c r="P1336" s="1">
        <f t="shared" si="581"/>
        <v>0</v>
      </c>
      <c r="Q1336" s="3" t="str">
        <f t="shared" si="561"/>
        <v/>
      </c>
      <c r="T1336" s="13" t="str">
        <f t="shared" si="571"/>
        <v/>
      </c>
      <c r="U1336" s="14" t="str">
        <f t="shared" si="572"/>
        <v/>
      </c>
      <c r="V1336" s="13" t="str">
        <f t="shared" si="573"/>
        <v/>
      </c>
      <c r="W1336" s="13" t="str">
        <f t="shared" si="574"/>
        <v/>
      </c>
      <c r="X1336" s="14" t="str">
        <f t="shared" si="575"/>
        <v/>
      </c>
    </row>
    <row r="1337" spans="2:24" x14ac:dyDescent="0.3">
      <c r="B1337" s="1">
        <f t="shared" si="563"/>
        <v>0</v>
      </c>
      <c r="C1337" s="1">
        <f t="shared" si="564"/>
        <v>0</v>
      </c>
      <c r="D1337" s="10">
        <f t="shared" si="565"/>
        <v>0</v>
      </c>
      <c r="E1337" s="1">
        <f t="shared" si="566"/>
        <v>0</v>
      </c>
      <c r="F1337" s="1">
        <f t="shared" si="567"/>
        <v>0</v>
      </c>
      <c r="G1337" s="1">
        <f t="shared" si="568"/>
        <v>0</v>
      </c>
      <c r="H1337" s="1">
        <f t="shared" si="576"/>
        <v>0</v>
      </c>
      <c r="I1337" s="10">
        <f t="shared" si="569"/>
        <v>0</v>
      </c>
      <c r="J1337" s="1">
        <f t="shared" si="577"/>
        <v>0</v>
      </c>
      <c r="K1337" s="1">
        <f t="shared" si="578"/>
        <v>0</v>
      </c>
      <c r="L1337" s="1" t="str">
        <f t="shared" si="579"/>
        <v>0</v>
      </c>
      <c r="M1337" s="10">
        <f t="shared" si="580"/>
        <v>0</v>
      </c>
      <c r="N1337" s="1">
        <f t="shared" si="570"/>
        <v>0</v>
      </c>
      <c r="O1337" s="1">
        <f t="shared" si="562"/>
        <v>0</v>
      </c>
      <c r="P1337" s="1">
        <f t="shared" si="581"/>
        <v>0</v>
      </c>
      <c r="Q1337" s="3" t="str">
        <f t="shared" si="561"/>
        <v/>
      </c>
      <c r="T1337" s="13" t="str">
        <f t="shared" si="571"/>
        <v/>
      </c>
      <c r="U1337" s="14" t="str">
        <f t="shared" si="572"/>
        <v/>
      </c>
      <c r="V1337" s="13" t="str">
        <f t="shared" si="573"/>
        <v/>
      </c>
      <c r="W1337" s="13" t="str">
        <f t="shared" si="574"/>
        <v/>
      </c>
      <c r="X1337" s="14" t="str">
        <f t="shared" si="575"/>
        <v/>
      </c>
    </row>
    <row r="1338" spans="2:24" x14ac:dyDescent="0.3">
      <c r="B1338" s="1">
        <f t="shared" si="563"/>
        <v>0</v>
      </c>
      <c r="C1338" s="1">
        <f t="shared" si="564"/>
        <v>0</v>
      </c>
      <c r="D1338" s="10">
        <f t="shared" si="565"/>
        <v>0</v>
      </c>
      <c r="E1338" s="1">
        <f t="shared" si="566"/>
        <v>0</v>
      </c>
      <c r="F1338" s="1">
        <f t="shared" si="567"/>
        <v>0</v>
      </c>
      <c r="G1338" s="1">
        <f t="shared" si="568"/>
        <v>0</v>
      </c>
      <c r="H1338" s="1">
        <f t="shared" si="576"/>
        <v>0</v>
      </c>
      <c r="I1338" s="10">
        <f t="shared" si="569"/>
        <v>0</v>
      </c>
      <c r="J1338" s="1">
        <f t="shared" si="577"/>
        <v>0</v>
      </c>
      <c r="K1338" s="1">
        <f t="shared" si="578"/>
        <v>0</v>
      </c>
      <c r="L1338" s="1" t="str">
        <f t="shared" si="579"/>
        <v>0</v>
      </c>
      <c r="M1338" s="10">
        <f t="shared" si="580"/>
        <v>0</v>
      </c>
      <c r="N1338" s="1">
        <f t="shared" si="570"/>
        <v>0</v>
      </c>
      <c r="O1338" s="1">
        <f t="shared" si="562"/>
        <v>0</v>
      </c>
      <c r="P1338" s="1">
        <f t="shared" si="581"/>
        <v>0</v>
      </c>
      <c r="Q1338" s="3" t="str">
        <f t="shared" si="561"/>
        <v/>
      </c>
      <c r="T1338" s="13" t="str">
        <f t="shared" si="571"/>
        <v/>
      </c>
      <c r="U1338" s="14" t="str">
        <f t="shared" si="572"/>
        <v/>
      </c>
      <c r="V1338" s="13" t="str">
        <f t="shared" si="573"/>
        <v/>
      </c>
      <c r="W1338" s="13" t="str">
        <f t="shared" si="574"/>
        <v/>
      </c>
      <c r="X1338" s="14" t="str">
        <f t="shared" si="575"/>
        <v/>
      </c>
    </row>
    <row r="1339" spans="2:24" x14ac:dyDescent="0.3">
      <c r="B1339" s="1">
        <f t="shared" si="563"/>
        <v>0</v>
      </c>
      <c r="C1339" s="1">
        <f t="shared" si="564"/>
        <v>0</v>
      </c>
      <c r="D1339" s="10">
        <f t="shared" si="565"/>
        <v>0</v>
      </c>
      <c r="E1339" s="1">
        <f t="shared" si="566"/>
        <v>0</v>
      </c>
      <c r="F1339" s="1">
        <f t="shared" si="567"/>
        <v>0</v>
      </c>
      <c r="G1339" s="1">
        <f t="shared" si="568"/>
        <v>0</v>
      </c>
      <c r="H1339" s="1">
        <f t="shared" si="576"/>
        <v>0</v>
      </c>
      <c r="I1339" s="10">
        <f t="shared" si="569"/>
        <v>0</v>
      </c>
      <c r="J1339" s="1">
        <f t="shared" si="577"/>
        <v>0</v>
      </c>
      <c r="K1339" s="1">
        <f t="shared" si="578"/>
        <v>0</v>
      </c>
      <c r="L1339" s="1" t="str">
        <f t="shared" si="579"/>
        <v>0</v>
      </c>
      <c r="M1339" s="10">
        <f t="shared" si="580"/>
        <v>0</v>
      </c>
      <c r="N1339" s="1">
        <f t="shared" si="570"/>
        <v>0</v>
      </c>
      <c r="O1339" s="1">
        <f t="shared" si="562"/>
        <v>0</v>
      </c>
      <c r="P1339" s="1">
        <f t="shared" si="581"/>
        <v>0</v>
      </c>
      <c r="Q1339" s="3" t="str">
        <f t="shared" si="561"/>
        <v/>
      </c>
      <c r="T1339" s="13" t="str">
        <f t="shared" si="571"/>
        <v/>
      </c>
      <c r="U1339" s="14" t="str">
        <f t="shared" si="572"/>
        <v/>
      </c>
      <c r="V1339" s="13" t="str">
        <f t="shared" si="573"/>
        <v/>
      </c>
      <c r="W1339" s="13" t="str">
        <f t="shared" si="574"/>
        <v/>
      </c>
      <c r="X1339" s="14" t="str">
        <f t="shared" si="575"/>
        <v/>
      </c>
    </row>
    <row r="1340" spans="2:24" x14ac:dyDescent="0.3">
      <c r="B1340" s="1">
        <f t="shared" si="563"/>
        <v>0</v>
      </c>
      <c r="C1340" s="1">
        <f t="shared" si="564"/>
        <v>0</v>
      </c>
      <c r="D1340" s="10">
        <f t="shared" si="565"/>
        <v>0</v>
      </c>
      <c r="E1340" s="1">
        <f t="shared" si="566"/>
        <v>0</v>
      </c>
      <c r="F1340" s="1">
        <f t="shared" si="567"/>
        <v>0</v>
      </c>
      <c r="G1340" s="1">
        <f t="shared" si="568"/>
        <v>0</v>
      </c>
      <c r="H1340" s="1">
        <f t="shared" si="576"/>
        <v>0</v>
      </c>
      <c r="I1340" s="10">
        <f t="shared" si="569"/>
        <v>0</v>
      </c>
      <c r="J1340" s="1">
        <f t="shared" si="577"/>
        <v>0</v>
      </c>
      <c r="K1340" s="1">
        <f t="shared" si="578"/>
        <v>0</v>
      </c>
      <c r="L1340" s="1" t="str">
        <f t="shared" si="579"/>
        <v>0</v>
      </c>
      <c r="M1340" s="10">
        <f t="shared" si="580"/>
        <v>0</v>
      </c>
      <c r="N1340" s="1">
        <f t="shared" si="570"/>
        <v>0</v>
      </c>
      <c r="O1340" s="1">
        <f t="shared" si="562"/>
        <v>0</v>
      </c>
      <c r="P1340" s="1">
        <f t="shared" si="581"/>
        <v>0</v>
      </c>
      <c r="Q1340" s="3" t="str">
        <f t="shared" si="561"/>
        <v/>
      </c>
      <c r="T1340" s="13" t="str">
        <f t="shared" si="571"/>
        <v/>
      </c>
      <c r="U1340" s="14" t="str">
        <f t="shared" si="572"/>
        <v/>
      </c>
      <c r="V1340" s="13" t="str">
        <f t="shared" si="573"/>
        <v/>
      </c>
      <c r="W1340" s="13" t="str">
        <f t="shared" si="574"/>
        <v/>
      </c>
      <c r="X1340" s="14" t="str">
        <f t="shared" si="575"/>
        <v/>
      </c>
    </row>
    <row r="1341" spans="2:24" x14ac:dyDescent="0.3">
      <c r="B1341" s="1">
        <f t="shared" si="563"/>
        <v>0</v>
      </c>
      <c r="C1341" s="1">
        <f t="shared" si="564"/>
        <v>0</v>
      </c>
      <c r="D1341" s="10">
        <f t="shared" si="565"/>
        <v>0</v>
      </c>
      <c r="E1341" s="1">
        <f t="shared" si="566"/>
        <v>0</v>
      </c>
      <c r="F1341" s="1">
        <f t="shared" si="567"/>
        <v>0</v>
      </c>
      <c r="G1341" s="1">
        <f t="shared" si="568"/>
        <v>0</v>
      </c>
      <c r="H1341" s="1">
        <f t="shared" si="576"/>
        <v>0</v>
      </c>
      <c r="I1341" s="10">
        <f t="shared" si="569"/>
        <v>0</v>
      </c>
      <c r="J1341" s="1">
        <f t="shared" si="577"/>
        <v>0</v>
      </c>
      <c r="K1341" s="1">
        <f t="shared" si="578"/>
        <v>0</v>
      </c>
      <c r="L1341" s="1" t="str">
        <f t="shared" si="579"/>
        <v>0</v>
      </c>
      <c r="M1341" s="10">
        <f t="shared" si="580"/>
        <v>0</v>
      </c>
      <c r="N1341" s="1">
        <f t="shared" si="570"/>
        <v>0</v>
      </c>
      <c r="O1341" s="1">
        <f t="shared" si="562"/>
        <v>0</v>
      </c>
      <c r="P1341" s="1">
        <f t="shared" si="581"/>
        <v>0</v>
      </c>
      <c r="Q1341" s="3" t="str">
        <f t="shared" si="561"/>
        <v/>
      </c>
      <c r="T1341" s="13" t="str">
        <f t="shared" si="571"/>
        <v/>
      </c>
      <c r="U1341" s="14" t="str">
        <f t="shared" si="572"/>
        <v/>
      </c>
      <c r="V1341" s="13" t="str">
        <f t="shared" si="573"/>
        <v/>
      </c>
      <c r="W1341" s="13" t="str">
        <f t="shared" si="574"/>
        <v/>
      </c>
      <c r="X1341" s="14" t="str">
        <f t="shared" si="575"/>
        <v/>
      </c>
    </row>
    <row r="1342" spans="2:24" x14ac:dyDescent="0.3">
      <c r="B1342" s="1">
        <f t="shared" si="563"/>
        <v>0</v>
      </c>
      <c r="C1342" s="1">
        <f t="shared" si="564"/>
        <v>0</v>
      </c>
      <c r="D1342" s="10">
        <f t="shared" si="565"/>
        <v>0</v>
      </c>
      <c r="E1342" s="1">
        <f t="shared" si="566"/>
        <v>0</v>
      </c>
      <c r="F1342" s="1">
        <f t="shared" si="567"/>
        <v>0</v>
      </c>
      <c r="G1342" s="1">
        <f t="shared" si="568"/>
        <v>0</v>
      </c>
      <c r="H1342" s="1">
        <f t="shared" si="576"/>
        <v>0</v>
      </c>
      <c r="I1342" s="10">
        <f t="shared" si="569"/>
        <v>0</v>
      </c>
      <c r="J1342" s="1">
        <f t="shared" si="577"/>
        <v>0</v>
      </c>
      <c r="K1342" s="1">
        <f t="shared" si="578"/>
        <v>0</v>
      </c>
      <c r="L1342" s="1" t="str">
        <f t="shared" si="579"/>
        <v>0</v>
      </c>
      <c r="M1342" s="10">
        <f t="shared" si="580"/>
        <v>0</v>
      </c>
      <c r="N1342" s="1">
        <f t="shared" si="570"/>
        <v>0</v>
      </c>
      <c r="O1342" s="1">
        <f t="shared" si="562"/>
        <v>0</v>
      </c>
      <c r="P1342" s="1">
        <f t="shared" si="581"/>
        <v>0</v>
      </c>
      <c r="Q1342" s="3" t="str">
        <f t="shared" si="561"/>
        <v/>
      </c>
      <c r="T1342" s="13" t="str">
        <f t="shared" si="571"/>
        <v/>
      </c>
      <c r="U1342" s="14" t="str">
        <f t="shared" si="572"/>
        <v/>
      </c>
      <c r="V1342" s="13" t="str">
        <f t="shared" si="573"/>
        <v/>
      </c>
      <c r="W1342" s="13" t="str">
        <f t="shared" si="574"/>
        <v/>
      </c>
      <c r="X1342" s="14" t="str">
        <f t="shared" si="575"/>
        <v/>
      </c>
    </row>
    <row r="1343" spans="2:24" x14ac:dyDescent="0.3">
      <c r="B1343" s="1">
        <f t="shared" si="563"/>
        <v>0</v>
      </c>
      <c r="C1343" s="1">
        <f t="shared" si="564"/>
        <v>0</v>
      </c>
      <c r="D1343" s="10">
        <f t="shared" si="565"/>
        <v>0</v>
      </c>
      <c r="E1343" s="1">
        <f t="shared" si="566"/>
        <v>0</v>
      </c>
      <c r="F1343" s="1">
        <f t="shared" si="567"/>
        <v>0</v>
      </c>
      <c r="G1343" s="1">
        <f t="shared" si="568"/>
        <v>0</v>
      </c>
      <c r="H1343" s="1">
        <f t="shared" si="576"/>
        <v>0</v>
      </c>
      <c r="I1343" s="10">
        <f t="shared" si="569"/>
        <v>0</v>
      </c>
      <c r="J1343" s="1">
        <f t="shared" si="577"/>
        <v>0</v>
      </c>
      <c r="K1343" s="1">
        <f t="shared" si="578"/>
        <v>0</v>
      </c>
      <c r="L1343" s="1" t="str">
        <f t="shared" si="579"/>
        <v>0</v>
      </c>
      <c r="M1343" s="10">
        <f t="shared" si="580"/>
        <v>0</v>
      </c>
      <c r="N1343" s="1">
        <f t="shared" si="570"/>
        <v>0</v>
      </c>
      <c r="O1343" s="1">
        <f t="shared" si="562"/>
        <v>0</v>
      </c>
      <c r="P1343" s="1">
        <f t="shared" si="581"/>
        <v>0</v>
      </c>
      <c r="Q1343" s="3" t="str">
        <f t="shared" si="561"/>
        <v/>
      </c>
      <c r="T1343" s="13" t="str">
        <f t="shared" si="571"/>
        <v/>
      </c>
      <c r="U1343" s="14" t="str">
        <f t="shared" si="572"/>
        <v/>
      </c>
      <c r="V1343" s="13" t="str">
        <f t="shared" si="573"/>
        <v/>
      </c>
      <c r="W1343" s="13" t="str">
        <f t="shared" si="574"/>
        <v/>
      </c>
      <c r="X1343" s="14" t="str">
        <f t="shared" si="575"/>
        <v/>
      </c>
    </row>
    <row r="1344" spans="2:24" x14ac:dyDescent="0.3">
      <c r="B1344" s="1">
        <f t="shared" si="563"/>
        <v>0</v>
      </c>
      <c r="C1344" s="1">
        <f t="shared" si="564"/>
        <v>0</v>
      </c>
      <c r="D1344" s="10">
        <f t="shared" si="565"/>
        <v>0</v>
      </c>
      <c r="E1344" s="1">
        <f t="shared" si="566"/>
        <v>0</v>
      </c>
      <c r="F1344" s="1">
        <f t="shared" si="567"/>
        <v>0</v>
      </c>
      <c r="G1344" s="1">
        <f t="shared" si="568"/>
        <v>0</v>
      </c>
      <c r="H1344" s="1">
        <f t="shared" si="576"/>
        <v>0</v>
      </c>
      <c r="I1344" s="10">
        <f t="shared" si="569"/>
        <v>0</v>
      </c>
      <c r="J1344" s="1">
        <f t="shared" si="577"/>
        <v>0</v>
      </c>
      <c r="K1344" s="1">
        <f t="shared" si="578"/>
        <v>0</v>
      </c>
      <c r="L1344" s="1" t="str">
        <f t="shared" si="579"/>
        <v>0</v>
      </c>
      <c r="M1344" s="10">
        <f t="shared" si="580"/>
        <v>0</v>
      </c>
      <c r="N1344" s="1">
        <f t="shared" si="570"/>
        <v>0</v>
      </c>
      <c r="O1344" s="1">
        <f t="shared" si="562"/>
        <v>0</v>
      </c>
      <c r="P1344" s="1">
        <f t="shared" si="581"/>
        <v>0</v>
      </c>
      <c r="Q1344" s="3" t="str">
        <f t="shared" si="561"/>
        <v/>
      </c>
      <c r="T1344" s="13" t="str">
        <f t="shared" si="571"/>
        <v/>
      </c>
      <c r="U1344" s="14" t="str">
        <f t="shared" si="572"/>
        <v/>
      </c>
      <c r="V1344" s="13" t="str">
        <f t="shared" si="573"/>
        <v/>
      </c>
      <c r="W1344" s="13" t="str">
        <f t="shared" si="574"/>
        <v/>
      </c>
      <c r="X1344" s="14" t="str">
        <f t="shared" si="575"/>
        <v/>
      </c>
    </row>
    <row r="1345" spans="2:24" x14ac:dyDescent="0.3">
      <c r="B1345" s="1">
        <f t="shared" si="563"/>
        <v>0</v>
      </c>
      <c r="C1345" s="1">
        <f t="shared" si="564"/>
        <v>0</v>
      </c>
      <c r="D1345" s="10">
        <f t="shared" si="565"/>
        <v>0</v>
      </c>
      <c r="E1345" s="1">
        <f t="shared" si="566"/>
        <v>0</v>
      </c>
      <c r="F1345" s="1">
        <f t="shared" si="567"/>
        <v>0</v>
      </c>
      <c r="G1345" s="1">
        <f t="shared" si="568"/>
        <v>0</v>
      </c>
      <c r="H1345" s="1">
        <f t="shared" si="576"/>
        <v>0</v>
      </c>
      <c r="I1345" s="10">
        <f t="shared" si="569"/>
        <v>0</v>
      </c>
      <c r="J1345" s="1">
        <f t="shared" si="577"/>
        <v>0</v>
      </c>
      <c r="K1345" s="1">
        <f t="shared" si="578"/>
        <v>0</v>
      </c>
      <c r="L1345" s="1" t="str">
        <f t="shared" si="579"/>
        <v>0</v>
      </c>
      <c r="M1345" s="10">
        <f t="shared" si="580"/>
        <v>0</v>
      </c>
      <c r="N1345" s="1">
        <f t="shared" si="570"/>
        <v>0</v>
      </c>
      <c r="O1345" s="1">
        <f t="shared" si="562"/>
        <v>0</v>
      </c>
      <c r="P1345" s="1">
        <f t="shared" si="581"/>
        <v>0</v>
      </c>
      <c r="Q1345" s="3" t="str">
        <f t="shared" si="561"/>
        <v/>
      </c>
      <c r="T1345" s="13" t="str">
        <f t="shared" si="571"/>
        <v/>
      </c>
      <c r="U1345" s="14" t="str">
        <f t="shared" si="572"/>
        <v/>
      </c>
      <c r="V1345" s="13" t="str">
        <f t="shared" si="573"/>
        <v/>
      </c>
      <c r="W1345" s="13" t="str">
        <f t="shared" si="574"/>
        <v/>
      </c>
      <c r="X1345" s="14" t="str">
        <f t="shared" si="575"/>
        <v/>
      </c>
    </row>
    <row r="1346" spans="2:24" x14ac:dyDescent="0.3">
      <c r="B1346" s="1">
        <f t="shared" si="563"/>
        <v>0</v>
      </c>
      <c r="C1346" s="1">
        <f t="shared" si="564"/>
        <v>0</v>
      </c>
      <c r="D1346" s="10">
        <f t="shared" si="565"/>
        <v>0</v>
      </c>
      <c r="E1346" s="1">
        <f t="shared" si="566"/>
        <v>0</v>
      </c>
      <c r="F1346" s="1">
        <f t="shared" si="567"/>
        <v>0</v>
      </c>
      <c r="G1346" s="1">
        <f t="shared" si="568"/>
        <v>0</v>
      </c>
      <c r="H1346" s="1">
        <f t="shared" si="576"/>
        <v>0</v>
      </c>
      <c r="I1346" s="10">
        <f t="shared" si="569"/>
        <v>0</v>
      </c>
      <c r="J1346" s="1">
        <f t="shared" si="577"/>
        <v>0</v>
      </c>
      <c r="K1346" s="1">
        <f t="shared" si="578"/>
        <v>0</v>
      </c>
      <c r="L1346" s="1" t="str">
        <f t="shared" si="579"/>
        <v>0</v>
      </c>
      <c r="M1346" s="10">
        <f t="shared" si="580"/>
        <v>0</v>
      </c>
      <c r="N1346" s="1">
        <f t="shared" si="570"/>
        <v>0</v>
      </c>
      <c r="O1346" s="1">
        <f t="shared" si="562"/>
        <v>0</v>
      </c>
      <c r="P1346" s="1">
        <f t="shared" si="581"/>
        <v>0</v>
      </c>
      <c r="Q1346" s="3" t="str">
        <f t="shared" si="561"/>
        <v/>
      </c>
      <c r="T1346" s="13" t="str">
        <f t="shared" si="571"/>
        <v/>
      </c>
      <c r="U1346" s="14" t="str">
        <f t="shared" si="572"/>
        <v/>
      </c>
      <c r="V1346" s="13" t="str">
        <f t="shared" si="573"/>
        <v/>
      </c>
      <c r="W1346" s="13" t="str">
        <f t="shared" si="574"/>
        <v/>
      </c>
      <c r="X1346" s="14" t="str">
        <f t="shared" si="575"/>
        <v/>
      </c>
    </row>
    <row r="1347" spans="2:24" x14ac:dyDescent="0.3">
      <c r="B1347" s="1">
        <f t="shared" si="563"/>
        <v>0</v>
      </c>
      <c r="C1347" s="1">
        <f t="shared" si="564"/>
        <v>0</v>
      </c>
      <c r="D1347" s="10">
        <f t="shared" si="565"/>
        <v>0</v>
      </c>
      <c r="E1347" s="1">
        <f t="shared" si="566"/>
        <v>0</v>
      </c>
      <c r="F1347" s="1">
        <f t="shared" si="567"/>
        <v>0</v>
      </c>
      <c r="G1347" s="1">
        <f t="shared" si="568"/>
        <v>0</v>
      </c>
      <c r="H1347" s="1">
        <f t="shared" si="576"/>
        <v>0</v>
      </c>
      <c r="I1347" s="10">
        <f t="shared" si="569"/>
        <v>0</v>
      </c>
      <c r="J1347" s="1">
        <f t="shared" si="577"/>
        <v>0</v>
      </c>
      <c r="K1347" s="1">
        <f t="shared" si="578"/>
        <v>0</v>
      </c>
      <c r="L1347" s="1" t="str">
        <f t="shared" si="579"/>
        <v>0</v>
      </c>
      <c r="M1347" s="10">
        <f t="shared" si="580"/>
        <v>0</v>
      </c>
      <c r="N1347" s="1">
        <f t="shared" si="570"/>
        <v>0</v>
      </c>
      <c r="O1347" s="1">
        <f t="shared" si="562"/>
        <v>0</v>
      </c>
      <c r="P1347" s="1">
        <f t="shared" si="581"/>
        <v>0</v>
      </c>
      <c r="Q1347" s="3" t="str">
        <f t="shared" si="561"/>
        <v/>
      </c>
      <c r="T1347" s="13" t="str">
        <f t="shared" si="571"/>
        <v/>
      </c>
      <c r="U1347" s="14" t="str">
        <f t="shared" si="572"/>
        <v/>
      </c>
      <c r="V1347" s="13" t="str">
        <f t="shared" si="573"/>
        <v/>
      </c>
      <c r="W1347" s="13" t="str">
        <f t="shared" si="574"/>
        <v/>
      </c>
      <c r="X1347" s="14" t="str">
        <f t="shared" si="575"/>
        <v/>
      </c>
    </row>
    <row r="1348" spans="2:24" x14ac:dyDescent="0.3">
      <c r="B1348" s="1">
        <f t="shared" si="563"/>
        <v>0</v>
      </c>
      <c r="C1348" s="1">
        <f t="shared" si="564"/>
        <v>0</v>
      </c>
      <c r="D1348" s="10">
        <f t="shared" si="565"/>
        <v>0</v>
      </c>
      <c r="E1348" s="1">
        <f t="shared" si="566"/>
        <v>0</v>
      </c>
      <c r="F1348" s="1">
        <f t="shared" si="567"/>
        <v>0</v>
      </c>
      <c r="G1348" s="1">
        <f t="shared" si="568"/>
        <v>0</v>
      </c>
      <c r="H1348" s="1">
        <f t="shared" si="576"/>
        <v>0</v>
      </c>
      <c r="I1348" s="10">
        <f t="shared" si="569"/>
        <v>0</v>
      </c>
      <c r="J1348" s="1">
        <f t="shared" si="577"/>
        <v>0</v>
      </c>
      <c r="K1348" s="1">
        <f t="shared" si="578"/>
        <v>0</v>
      </c>
      <c r="L1348" s="1" t="str">
        <f t="shared" si="579"/>
        <v>0</v>
      </c>
      <c r="M1348" s="10">
        <f t="shared" si="580"/>
        <v>0</v>
      </c>
      <c r="N1348" s="1">
        <f t="shared" si="570"/>
        <v>0</v>
      </c>
      <c r="O1348" s="1">
        <f t="shared" si="562"/>
        <v>0</v>
      </c>
      <c r="P1348" s="1">
        <f t="shared" si="581"/>
        <v>0</v>
      </c>
      <c r="Q1348" s="3" t="str">
        <f t="shared" ref="Q1348:Q1362" si="582">IF($N1348&gt;0,MID($A1348,($N1348+$O1348),$P1348-($N1348+$O1348)),"")</f>
        <v/>
      </c>
      <c r="T1348" s="13" t="str">
        <f t="shared" si="571"/>
        <v/>
      </c>
      <c r="U1348" s="14" t="str">
        <f t="shared" si="572"/>
        <v/>
      </c>
      <c r="V1348" s="13" t="str">
        <f t="shared" si="573"/>
        <v/>
      </c>
      <c r="W1348" s="13" t="str">
        <f t="shared" si="574"/>
        <v/>
      </c>
      <c r="X1348" s="14" t="str">
        <f t="shared" si="575"/>
        <v/>
      </c>
    </row>
    <row r="1349" spans="2:24" x14ac:dyDescent="0.3">
      <c r="B1349" s="1">
        <f t="shared" si="563"/>
        <v>0</v>
      </c>
      <c r="C1349" s="1">
        <f t="shared" si="564"/>
        <v>0</v>
      </c>
      <c r="D1349" s="10">
        <f t="shared" si="565"/>
        <v>0</v>
      </c>
      <c r="E1349" s="1">
        <f t="shared" si="566"/>
        <v>0</v>
      </c>
      <c r="F1349" s="1">
        <f t="shared" si="567"/>
        <v>0</v>
      </c>
      <c r="G1349" s="1">
        <f t="shared" si="568"/>
        <v>0</v>
      </c>
      <c r="H1349" s="1">
        <f t="shared" si="576"/>
        <v>0</v>
      </c>
      <c r="I1349" s="10">
        <f t="shared" si="569"/>
        <v>0</v>
      </c>
      <c r="J1349" s="1">
        <f t="shared" si="577"/>
        <v>0</v>
      </c>
      <c r="K1349" s="1">
        <f t="shared" si="578"/>
        <v>0</v>
      </c>
      <c r="L1349" s="1" t="str">
        <f t="shared" si="579"/>
        <v>0</v>
      </c>
      <c r="M1349" s="10">
        <f t="shared" si="580"/>
        <v>0</v>
      </c>
      <c r="N1349" s="1">
        <f t="shared" si="570"/>
        <v>0</v>
      </c>
      <c r="O1349" s="1">
        <f t="shared" ref="O1349:O1362" si="583">IFERROR(FIND("#",$A1349)+1-N1349,0)</f>
        <v>0</v>
      </c>
      <c r="P1349" s="1">
        <f t="shared" si="581"/>
        <v>0</v>
      </c>
      <c r="Q1349" s="3" t="str">
        <f t="shared" si="582"/>
        <v/>
      </c>
      <c r="T1349" s="13" t="str">
        <f t="shared" si="571"/>
        <v/>
      </c>
      <c r="U1349" s="14" t="str">
        <f t="shared" si="572"/>
        <v/>
      </c>
      <c r="V1349" s="13" t="str">
        <f t="shared" si="573"/>
        <v/>
      </c>
      <c r="W1349" s="13" t="str">
        <f t="shared" si="574"/>
        <v/>
      </c>
      <c r="X1349" s="14" t="str">
        <f t="shared" si="575"/>
        <v/>
      </c>
    </row>
    <row r="1350" spans="2:24" x14ac:dyDescent="0.3">
      <c r="B1350" s="1">
        <f t="shared" si="563"/>
        <v>0</v>
      </c>
      <c r="C1350" s="1">
        <f t="shared" si="564"/>
        <v>0</v>
      </c>
      <c r="D1350" s="10">
        <f t="shared" si="565"/>
        <v>0</v>
      </c>
      <c r="E1350" s="1">
        <f t="shared" si="566"/>
        <v>0</v>
      </c>
      <c r="F1350" s="1">
        <f t="shared" si="567"/>
        <v>0</v>
      </c>
      <c r="G1350" s="1">
        <f t="shared" si="568"/>
        <v>0</v>
      </c>
      <c r="H1350" s="1">
        <f t="shared" si="576"/>
        <v>0</v>
      </c>
      <c r="I1350" s="10">
        <f t="shared" si="569"/>
        <v>0</v>
      </c>
      <c r="J1350" s="1">
        <f t="shared" si="577"/>
        <v>0</v>
      </c>
      <c r="K1350" s="1">
        <f t="shared" si="578"/>
        <v>0</v>
      </c>
      <c r="L1350" s="1" t="str">
        <f t="shared" si="579"/>
        <v>0</v>
      </c>
      <c r="M1350" s="10">
        <f t="shared" si="580"/>
        <v>0</v>
      </c>
      <c r="N1350" s="1">
        <f t="shared" si="570"/>
        <v>0</v>
      </c>
      <c r="O1350" s="1">
        <f t="shared" si="583"/>
        <v>0</v>
      </c>
      <c r="P1350" s="1">
        <f t="shared" si="581"/>
        <v>0</v>
      </c>
      <c r="Q1350" s="3" t="str">
        <f t="shared" si="582"/>
        <v/>
      </c>
      <c r="T1350" s="13" t="str">
        <f t="shared" si="571"/>
        <v/>
      </c>
      <c r="U1350" s="14" t="str">
        <f t="shared" si="572"/>
        <v/>
      </c>
      <c r="V1350" s="13" t="str">
        <f t="shared" si="573"/>
        <v/>
      </c>
      <c r="W1350" s="13" t="str">
        <f t="shared" si="574"/>
        <v/>
      </c>
      <c r="X1350" s="14" t="str">
        <f t="shared" si="575"/>
        <v/>
      </c>
    </row>
    <row r="1351" spans="2:24" x14ac:dyDescent="0.3">
      <c r="B1351" s="1">
        <f t="shared" ref="B1351:B1362" si="584">IFERROR(FIND("UP_SET(",$A1351)+7,0)</f>
        <v>0</v>
      </c>
      <c r="C1351" s="1">
        <f t="shared" ref="C1351:C1362" si="585">IF($B1351&gt;0,FIND(",",$A1351,$B1351),0)</f>
        <v>0</v>
      </c>
      <c r="D1351" s="10">
        <f t="shared" ref="D1351:D1362" si="586">IF($B1351&gt;0,MID($A1351,$B1351,$C1351-$B1351),0)</f>
        <v>0</v>
      </c>
      <c r="E1351" s="1">
        <f t="shared" ref="E1351:E1362" si="587">IF($B1351&gt;0,FIND("Up",$A1351,$C1351),0)</f>
        <v>0</v>
      </c>
      <c r="F1351" s="1">
        <f t="shared" ref="F1351:F1362" si="588">IF($B1351&gt;0,IFERROR(FIND(",",$A1351,$E1351),0),0)</f>
        <v>0</v>
      </c>
      <c r="G1351" s="1">
        <f t="shared" ref="G1351:G1362" si="589">IF($B1351&gt;0,FIND(")",$A1351,$B1351),0)</f>
        <v>0</v>
      </c>
      <c r="H1351" s="1">
        <f t="shared" si="576"/>
        <v>0</v>
      </c>
      <c r="I1351" s="10">
        <f t="shared" ref="I1351:I1362" si="590">IF($B1351&gt;0,MID($A1351,$E1351,$H1351-$E1351),0)</f>
        <v>0</v>
      </c>
      <c r="J1351" s="1">
        <f t="shared" si="577"/>
        <v>0</v>
      </c>
      <c r="K1351" s="1">
        <f t="shared" si="578"/>
        <v>0</v>
      </c>
      <c r="L1351" s="1" t="str">
        <f t="shared" si="579"/>
        <v>0</v>
      </c>
      <c r="M1351" s="10">
        <f t="shared" si="580"/>
        <v>0</v>
      </c>
      <c r="N1351" s="1">
        <f t="shared" ref="N1351:N1362" si="591">IFERROR(FIND("/*",$A1351)+2,0)</f>
        <v>0</v>
      </c>
      <c r="O1351" s="1">
        <f t="shared" si="583"/>
        <v>0</v>
      </c>
      <c r="P1351" s="1">
        <f t="shared" si="581"/>
        <v>0</v>
      </c>
      <c r="Q1351" s="3" t="str">
        <f t="shared" si="582"/>
        <v/>
      </c>
      <c r="T1351" s="13" t="str">
        <f t="shared" si="571"/>
        <v/>
      </c>
      <c r="U1351" s="14" t="str">
        <f t="shared" si="572"/>
        <v/>
      </c>
      <c r="V1351" s="13" t="str">
        <f t="shared" si="573"/>
        <v/>
      </c>
      <c r="W1351" s="13" t="str">
        <f t="shared" si="574"/>
        <v/>
      </c>
      <c r="X1351" s="14" t="str">
        <f t="shared" si="575"/>
        <v/>
      </c>
    </row>
    <row r="1352" spans="2:24" x14ac:dyDescent="0.3">
      <c r="B1352" s="1">
        <f t="shared" si="584"/>
        <v>0</v>
      </c>
      <c r="C1352" s="1">
        <f t="shared" si="585"/>
        <v>0</v>
      </c>
      <c r="D1352" s="10">
        <f t="shared" si="586"/>
        <v>0</v>
      </c>
      <c r="E1352" s="1">
        <f t="shared" si="587"/>
        <v>0</v>
      </c>
      <c r="F1352" s="1">
        <f t="shared" si="588"/>
        <v>0</v>
      </c>
      <c r="G1352" s="1">
        <f t="shared" si="589"/>
        <v>0</v>
      </c>
      <c r="H1352" s="1">
        <f t="shared" si="576"/>
        <v>0</v>
      </c>
      <c r="I1352" s="10">
        <f t="shared" si="590"/>
        <v>0</v>
      </c>
      <c r="J1352" s="1">
        <f t="shared" si="577"/>
        <v>0</v>
      </c>
      <c r="K1352" s="1">
        <f t="shared" si="578"/>
        <v>0</v>
      </c>
      <c r="L1352" s="1" t="str">
        <f t="shared" si="579"/>
        <v>0</v>
      </c>
      <c r="M1352" s="10">
        <f t="shared" si="580"/>
        <v>0</v>
      </c>
      <c r="N1352" s="1">
        <f t="shared" si="591"/>
        <v>0</v>
      </c>
      <c r="O1352" s="1">
        <f t="shared" si="583"/>
        <v>0</v>
      </c>
      <c r="P1352" s="1">
        <f t="shared" si="581"/>
        <v>0</v>
      </c>
      <c r="Q1352" s="3" t="str">
        <f t="shared" si="582"/>
        <v/>
      </c>
      <c r="T1352" s="13" t="str">
        <f t="shared" si="571"/>
        <v/>
      </c>
      <c r="U1352" s="14" t="str">
        <f t="shared" si="572"/>
        <v/>
      </c>
      <c r="V1352" s="13" t="str">
        <f t="shared" si="573"/>
        <v/>
      </c>
      <c r="W1352" s="13" t="str">
        <f t="shared" si="574"/>
        <v/>
      </c>
      <c r="X1352" s="14" t="str">
        <f t="shared" si="575"/>
        <v/>
      </c>
    </row>
    <row r="1353" spans="2:24" x14ac:dyDescent="0.3">
      <c r="B1353" s="1">
        <f t="shared" si="584"/>
        <v>0</v>
      </c>
      <c r="C1353" s="1">
        <f t="shared" si="585"/>
        <v>0</v>
      </c>
      <c r="D1353" s="10">
        <f t="shared" si="586"/>
        <v>0</v>
      </c>
      <c r="E1353" s="1">
        <f t="shared" si="587"/>
        <v>0</v>
      </c>
      <c r="F1353" s="1">
        <f t="shared" si="588"/>
        <v>0</v>
      </c>
      <c r="G1353" s="1">
        <f t="shared" si="589"/>
        <v>0</v>
      </c>
      <c r="H1353" s="1">
        <f t="shared" si="576"/>
        <v>0</v>
      </c>
      <c r="I1353" s="10">
        <f t="shared" si="590"/>
        <v>0</v>
      </c>
      <c r="J1353" s="1">
        <f t="shared" si="577"/>
        <v>0</v>
      </c>
      <c r="K1353" s="1">
        <f t="shared" si="578"/>
        <v>0</v>
      </c>
      <c r="L1353" s="1" t="str">
        <f t="shared" si="579"/>
        <v>0</v>
      </c>
      <c r="M1353" s="10">
        <f t="shared" si="580"/>
        <v>0</v>
      </c>
      <c r="N1353" s="1">
        <f t="shared" si="591"/>
        <v>0</v>
      </c>
      <c r="O1353" s="1">
        <f t="shared" si="583"/>
        <v>0</v>
      </c>
      <c r="P1353" s="1">
        <f t="shared" si="581"/>
        <v>0</v>
      </c>
      <c r="Q1353" s="3" t="str">
        <f t="shared" si="582"/>
        <v/>
      </c>
      <c r="T1353" s="13" t="str">
        <f t="shared" si="571"/>
        <v/>
      </c>
      <c r="U1353" s="14" t="str">
        <f t="shared" si="572"/>
        <v/>
      </c>
      <c r="V1353" s="13" t="str">
        <f t="shared" si="573"/>
        <v/>
      </c>
      <c r="W1353" s="13" t="str">
        <f t="shared" si="574"/>
        <v/>
      </c>
      <c r="X1353" s="14" t="str">
        <f t="shared" si="575"/>
        <v/>
      </c>
    </row>
    <row r="1354" spans="2:24" x14ac:dyDescent="0.3">
      <c r="B1354" s="1">
        <f t="shared" si="584"/>
        <v>0</v>
      </c>
      <c r="C1354" s="1">
        <f t="shared" si="585"/>
        <v>0</v>
      </c>
      <c r="D1354" s="10">
        <f t="shared" si="586"/>
        <v>0</v>
      </c>
      <c r="E1354" s="1">
        <f t="shared" si="587"/>
        <v>0</v>
      </c>
      <c r="F1354" s="1">
        <f t="shared" si="588"/>
        <v>0</v>
      </c>
      <c r="G1354" s="1">
        <f t="shared" si="589"/>
        <v>0</v>
      </c>
      <c r="H1354" s="1">
        <f t="shared" si="576"/>
        <v>0</v>
      </c>
      <c r="I1354" s="10">
        <f t="shared" si="590"/>
        <v>0</v>
      </c>
      <c r="J1354" s="1">
        <f t="shared" si="577"/>
        <v>0</v>
      </c>
      <c r="K1354" s="1">
        <f t="shared" si="578"/>
        <v>0</v>
      </c>
      <c r="L1354" s="1" t="str">
        <f t="shared" si="579"/>
        <v>0</v>
      </c>
      <c r="M1354" s="10">
        <f t="shared" si="580"/>
        <v>0</v>
      </c>
      <c r="N1354" s="1">
        <f t="shared" si="591"/>
        <v>0</v>
      </c>
      <c r="O1354" s="1">
        <f t="shared" si="583"/>
        <v>0</v>
      </c>
      <c r="P1354" s="1">
        <f t="shared" si="581"/>
        <v>0</v>
      </c>
      <c r="Q1354" s="3" t="str">
        <f t="shared" si="582"/>
        <v/>
      </c>
      <c r="T1354" s="13" t="str">
        <f t="shared" si="571"/>
        <v/>
      </c>
      <c r="U1354" s="14" t="str">
        <f t="shared" si="572"/>
        <v/>
      </c>
      <c r="V1354" s="13" t="str">
        <f t="shared" si="573"/>
        <v/>
      </c>
      <c r="W1354" s="13" t="str">
        <f t="shared" si="574"/>
        <v/>
      </c>
      <c r="X1354" s="14" t="str">
        <f t="shared" si="575"/>
        <v/>
      </c>
    </row>
    <row r="1355" spans="2:24" x14ac:dyDescent="0.3">
      <c r="B1355" s="1">
        <f t="shared" si="584"/>
        <v>0</v>
      </c>
      <c r="C1355" s="1">
        <f t="shared" si="585"/>
        <v>0</v>
      </c>
      <c r="D1355" s="10">
        <f t="shared" si="586"/>
        <v>0</v>
      </c>
      <c r="E1355" s="1">
        <f t="shared" si="587"/>
        <v>0</v>
      </c>
      <c r="F1355" s="1">
        <f t="shared" si="588"/>
        <v>0</v>
      </c>
      <c r="G1355" s="1">
        <f t="shared" si="589"/>
        <v>0</v>
      </c>
      <c r="H1355" s="1">
        <f t="shared" si="576"/>
        <v>0</v>
      </c>
      <c r="I1355" s="10">
        <f t="shared" si="590"/>
        <v>0</v>
      </c>
      <c r="J1355" s="1">
        <f t="shared" si="577"/>
        <v>0</v>
      </c>
      <c r="K1355" s="1">
        <f t="shared" si="578"/>
        <v>0</v>
      </c>
      <c r="L1355" s="1" t="str">
        <f t="shared" si="579"/>
        <v>0</v>
      </c>
      <c r="M1355" s="10">
        <f t="shared" si="580"/>
        <v>0</v>
      </c>
      <c r="N1355" s="1">
        <f t="shared" si="591"/>
        <v>0</v>
      </c>
      <c r="O1355" s="1">
        <f t="shared" si="583"/>
        <v>0</v>
      </c>
      <c r="P1355" s="1">
        <f t="shared" si="581"/>
        <v>0</v>
      </c>
      <c r="Q1355" s="3" t="str">
        <f t="shared" si="582"/>
        <v/>
      </c>
      <c r="T1355" s="13" t="str">
        <f t="shared" si="571"/>
        <v/>
      </c>
      <c r="U1355" s="14" t="str">
        <f t="shared" si="572"/>
        <v/>
      </c>
      <c r="V1355" s="13" t="str">
        <f t="shared" si="573"/>
        <v/>
      </c>
      <c r="W1355" s="13" t="str">
        <f t="shared" si="574"/>
        <v/>
      </c>
      <c r="X1355" s="14" t="str">
        <f t="shared" si="575"/>
        <v/>
      </c>
    </row>
    <row r="1356" spans="2:24" x14ac:dyDescent="0.3">
      <c r="B1356" s="1">
        <f t="shared" si="584"/>
        <v>0</v>
      </c>
      <c r="C1356" s="1">
        <f t="shared" si="585"/>
        <v>0</v>
      </c>
      <c r="D1356" s="10">
        <f t="shared" si="586"/>
        <v>0</v>
      </c>
      <c r="E1356" s="1">
        <f t="shared" si="587"/>
        <v>0</v>
      </c>
      <c r="F1356" s="1">
        <f t="shared" si="588"/>
        <v>0</v>
      </c>
      <c r="G1356" s="1">
        <f t="shared" si="589"/>
        <v>0</v>
      </c>
      <c r="H1356" s="1">
        <f t="shared" si="576"/>
        <v>0</v>
      </c>
      <c r="I1356" s="10">
        <f t="shared" si="590"/>
        <v>0</v>
      </c>
      <c r="J1356" s="1">
        <f t="shared" si="577"/>
        <v>0</v>
      </c>
      <c r="K1356" s="1">
        <f t="shared" si="578"/>
        <v>0</v>
      </c>
      <c r="L1356" s="1" t="str">
        <f t="shared" si="579"/>
        <v>0</v>
      </c>
      <c r="M1356" s="10">
        <f t="shared" si="580"/>
        <v>0</v>
      </c>
      <c r="N1356" s="1">
        <f t="shared" si="591"/>
        <v>0</v>
      </c>
      <c r="O1356" s="1">
        <f t="shared" si="583"/>
        <v>0</v>
      </c>
      <c r="P1356" s="1">
        <f t="shared" si="581"/>
        <v>0</v>
      </c>
      <c r="Q1356" s="3" t="str">
        <f t="shared" si="582"/>
        <v/>
      </c>
      <c r="T1356" s="13" t="str">
        <f t="shared" si="571"/>
        <v/>
      </c>
      <c r="U1356" s="14" t="str">
        <f t="shared" si="572"/>
        <v/>
      </c>
      <c r="V1356" s="13" t="str">
        <f t="shared" si="573"/>
        <v/>
      </c>
      <c r="W1356" s="13" t="str">
        <f t="shared" si="574"/>
        <v/>
      </c>
      <c r="X1356" s="14" t="str">
        <f t="shared" si="575"/>
        <v/>
      </c>
    </row>
    <row r="1357" spans="2:24" x14ac:dyDescent="0.3">
      <c r="B1357" s="1">
        <f t="shared" si="584"/>
        <v>0</v>
      </c>
      <c r="C1357" s="1">
        <f t="shared" si="585"/>
        <v>0</v>
      </c>
      <c r="D1357" s="10">
        <f t="shared" si="586"/>
        <v>0</v>
      </c>
      <c r="E1357" s="1">
        <f t="shared" si="587"/>
        <v>0</v>
      </c>
      <c r="F1357" s="1">
        <f t="shared" si="588"/>
        <v>0</v>
      </c>
      <c r="G1357" s="1">
        <f t="shared" si="589"/>
        <v>0</v>
      </c>
      <c r="H1357" s="1">
        <f t="shared" si="576"/>
        <v>0</v>
      </c>
      <c r="I1357" s="10">
        <f t="shared" si="590"/>
        <v>0</v>
      </c>
      <c r="J1357" s="1">
        <f t="shared" si="577"/>
        <v>0</v>
      </c>
      <c r="K1357" s="1">
        <f t="shared" si="578"/>
        <v>0</v>
      </c>
      <c r="L1357" s="1" t="str">
        <f t="shared" si="579"/>
        <v>0</v>
      </c>
      <c r="M1357" s="10">
        <f t="shared" si="580"/>
        <v>0</v>
      </c>
      <c r="N1357" s="1">
        <f t="shared" si="591"/>
        <v>0</v>
      </c>
      <c r="O1357" s="1">
        <f t="shared" si="583"/>
        <v>0</v>
      </c>
      <c r="P1357" s="1">
        <f t="shared" si="581"/>
        <v>0</v>
      </c>
      <c r="Q1357" s="3" t="str">
        <f t="shared" si="582"/>
        <v/>
      </c>
      <c r="T1357" s="13" t="str">
        <f t="shared" si="571"/>
        <v/>
      </c>
      <c r="U1357" s="14" t="str">
        <f t="shared" si="572"/>
        <v/>
      </c>
      <c r="V1357" s="13" t="str">
        <f t="shared" si="573"/>
        <v/>
      </c>
      <c r="W1357" s="13" t="str">
        <f t="shared" si="574"/>
        <v/>
      </c>
      <c r="X1357" s="14" t="str">
        <f t="shared" si="575"/>
        <v/>
      </c>
    </row>
    <row r="1358" spans="2:24" x14ac:dyDescent="0.3">
      <c r="B1358" s="1">
        <f t="shared" si="584"/>
        <v>0</v>
      </c>
      <c r="C1358" s="1">
        <f t="shared" si="585"/>
        <v>0</v>
      </c>
      <c r="D1358" s="10">
        <f t="shared" si="586"/>
        <v>0</v>
      </c>
      <c r="E1358" s="1">
        <f t="shared" si="587"/>
        <v>0</v>
      </c>
      <c r="F1358" s="1">
        <f t="shared" si="588"/>
        <v>0</v>
      </c>
      <c r="G1358" s="1">
        <f t="shared" si="589"/>
        <v>0</v>
      </c>
      <c r="H1358" s="1">
        <f t="shared" si="576"/>
        <v>0</v>
      </c>
      <c r="I1358" s="10">
        <f t="shared" si="590"/>
        <v>0</v>
      </c>
      <c r="J1358" s="1">
        <f t="shared" si="577"/>
        <v>0</v>
      </c>
      <c r="K1358" s="1">
        <f t="shared" si="578"/>
        <v>0</v>
      </c>
      <c r="L1358" s="1" t="str">
        <f t="shared" si="579"/>
        <v>0</v>
      </c>
      <c r="M1358" s="10">
        <f t="shared" si="580"/>
        <v>0</v>
      </c>
      <c r="N1358" s="1">
        <f t="shared" si="591"/>
        <v>0</v>
      </c>
      <c r="O1358" s="1">
        <f t="shared" si="583"/>
        <v>0</v>
      </c>
      <c r="P1358" s="1">
        <f t="shared" si="581"/>
        <v>0</v>
      </c>
      <c r="Q1358" s="3" t="str">
        <f t="shared" si="582"/>
        <v/>
      </c>
      <c r="T1358" s="13" t="str">
        <f t="shared" si="571"/>
        <v/>
      </c>
      <c r="U1358" s="14" t="str">
        <f t="shared" si="572"/>
        <v/>
      </c>
      <c r="V1358" s="13" t="str">
        <f t="shared" si="573"/>
        <v/>
      </c>
      <c r="W1358" s="13" t="str">
        <f t="shared" si="574"/>
        <v/>
      </c>
      <c r="X1358" s="14" t="str">
        <f t="shared" si="575"/>
        <v/>
      </c>
    </row>
    <row r="1359" spans="2:24" x14ac:dyDescent="0.3">
      <c r="B1359" s="1">
        <f t="shared" si="584"/>
        <v>0</v>
      </c>
      <c r="C1359" s="1">
        <f t="shared" si="585"/>
        <v>0</v>
      </c>
      <c r="D1359" s="10">
        <f t="shared" si="586"/>
        <v>0</v>
      </c>
      <c r="E1359" s="1">
        <f t="shared" si="587"/>
        <v>0</v>
      </c>
      <c r="F1359" s="1">
        <f t="shared" si="588"/>
        <v>0</v>
      </c>
      <c r="G1359" s="1">
        <f t="shared" si="589"/>
        <v>0</v>
      </c>
      <c r="H1359" s="1">
        <f t="shared" si="576"/>
        <v>0</v>
      </c>
      <c r="I1359" s="10">
        <f t="shared" si="590"/>
        <v>0</v>
      </c>
      <c r="J1359" s="1">
        <f t="shared" si="577"/>
        <v>0</v>
      </c>
      <c r="K1359" s="1">
        <f t="shared" si="578"/>
        <v>0</v>
      </c>
      <c r="L1359" s="1" t="str">
        <f t="shared" si="579"/>
        <v>0</v>
      </c>
      <c r="M1359" s="10">
        <f t="shared" si="580"/>
        <v>0</v>
      </c>
      <c r="N1359" s="1">
        <f t="shared" si="591"/>
        <v>0</v>
      </c>
      <c r="O1359" s="1">
        <f t="shared" si="583"/>
        <v>0</v>
      </c>
      <c r="P1359" s="1">
        <f t="shared" si="581"/>
        <v>0</v>
      </c>
      <c r="Q1359" s="3" t="str">
        <f t="shared" si="582"/>
        <v/>
      </c>
      <c r="T1359" s="13" t="str">
        <f t="shared" si="571"/>
        <v/>
      </c>
      <c r="U1359" s="14" t="str">
        <f t="shared" si="572"/>
        <v/>
      </c>
      <c r="V1359" s="13" t="str">
        <f t="shared" si="573"/>
        <v/>
      </c>
      <c r="W1359" s="13" t="str">
        <f t="shared" si="574"/>
        <v/>
      </c>
      <c r="X1359" s="14" t="str">
        <f t="shared" si="575"/>
        <v/>
      </c>
    </row>
    <row r="1360" spans="2:24" x14ac:dyDescent="0.3">
      <c r="B1360" s="1">
        <f t="shared" si="584"/>
        <v>0</v>
      </c>
      <c r="C1360" s="1">
        <f t="shared" si="585"/>
        <v>0</v>
      </c>
      <c r="D1360" s="10">
        <f t="shared" si="586"/>
        <v>0</v>
      </c>
      <c r="E1360" s="1">
        <f t="shared" si="587"/>
        <v>0</v>
      </c>
      <c r="F1360" s="1">
        <f t="shared" si="588"/>
        <v>0</v>
      </c>
      <c r="G1360" s="1">
        <f t="shared" si="589"/>
        <v>0</v>
      </c>
      <c r="H1360" s="1">
        <f t="shared" si="576"/>
        <v>0</v>
      </c>
      <c r="I1360" s="10">
        <f t="shared" si="590"/>
        <v>0</v>
      </c>
      <c r="J1360" s="1">
        <f t="shared" si="577"/>
        <v>0</v>
      </c>
      <c r="K1360" s="1">
        <f t="shared" si="578"/>
        <v>0</v>
      </c>
      <c r="L1360" s="1" t="str">
        <f t="shared" si="579"/>
        <v>0</v>
      </c>
      <c r="M1360" s="10">
        <f t="shared" si="580"/>
        <v>0</v>
      </c>
      <c r="N1360" s="1">
        <f t="shared" si="591"/>
        <v>0</v>
      </c>
      <c r="O1360" s="1">
        <f t="shared" si="583"/>
        <v>0</v>
      </c>
      <c r="P1360" s="1">
        <f t="shared" si="581"/>
        <v>0</v>
      </c>
      <c r="Q1360" s="3" t="str">
        <f t="shared" si="582"/>
        <v/>
      </c>
      <c r="T1360" s="13" t="str">
        <f t="shared" si="571"/>
        <v/>
      </c>
      <c r="U1360" s="14" t="str">
        <f t="shared" si="572"/>
        <v/>
      </c>
      <c r="V1360" s="13" t="str">
        <f t="shared" si="573"/>
        <v/>
      </c>
      <c r="W1360" s="13" t="str">
        <f t="shared" si="574"/>
        <v/>
      </c>
      <c r="X1360" s="14" t="str">
        <f t="shared" si="575"/>
        <v/>
      </c>
    </row>
    <row r="1361" spans="2:24" x14ac:dyDescent="0.3">
      <c r="B1361" s="1">
        <f t="shared" si="584"/>
        <v>0</v>
      </c>
      <c r="C1361" s="1">
        <f t="shared" si="585"/>
        <v>0</v>
      </c>
      <c r="D1361" s="10">
        <f t="shared" si="586"/>
        <v>0</v>
      </c>
      <c r="E1361" s="1">
        <f t="shared" si="587"/>
        <v>0</v>
      </c>
      <c r="F1361" s="1">
        <f t="shared" si="588"/>
        <v>0</v>
      </c>
      <c r="G1361" s="1">
        <f t="shared" si="589"/>
        <v>0</v>
      </c>
      <c r="H1361" s="1">
        <f t="shared" si="576"/>
        <v>0</v>
      </c>
      <c r="I1361" s="10">
        <f t="shared" si="590"/>
        <v>0</v>
      </c>
      <c r="J1361" s="1">
        <f t="shared" si="577"/>
        <v>0</v>
      </c>
      <c r="K1361" s="1">
        <f t="shared" si="578"/>
        <v>0</v>
      </c>
      <c r="L1361" s="1" t="str">
        <f t="shared" si="579"/>
        <v>0</v>
      </c>
      <c r="M1361" s="10">
        <f t="shared" si="580"/>
        <v>0</v>
      </c>
      <c r="N1361" s="1">
        <f t="shared" si="591"/>
        <v>0</v>
      </c>
      <c r="O1361" s="1">
        <f t="shared" si="583"/>
        <v>0</v>
      </c>
      <c r="P1361" s="1">
        <f t="shared" si="581"/>
        <v>0</v>
      </c>
      <c r="Q1361" s="3" t="str">
        <f t="shared" si="582"/>
        <v/>
      </c>
      <c r="T1361" s="13" t="str">
        <f t="shared" si="571"/>
        <v/>
      </c>
      <c r="U1361" s="14" t="str">
        <f t="shared" si="572"/>
        <v/>
      </c>
      <c r="V1361" s="13" t="str">
        <f t="shared" si="573"/>
        <v/>
      </c>
      <c r="W1361" s="13" t="str">
        <f t="shared" si="574"/>
        <v/>
      </c>
      <c r="X1361" s="14" t="str">
        <f t="shared" si="575"/>
        <v/>
      </c>
    </row>
    <row r="1362" spans="2:24" x14ac:dyDescent="0.3">
      <c r="B1362" s="1">
        <f t="shared" si="584"/>
        <v>0</v>
      </c>
      <c r="C1362" s="1">
        <f t="shared" si="585"/>
        <v>0</v>
      </c>
      <c r="D1362" s="10">
        <f t="shared" si="586"/>
        <v>0</v>
      </c>
      <c r="E1362" s="1">
        <f t="shared" si="587"/>
        <v>0</v>
      </c>
      <c r="F1362" s="1">
        <f t="shared" si="588"/>
        <v>0</v>
      </c>
      <c r="G1362" s="1">
        <f t="shared" si="589"/>
        <v>0</v>
      </c>
      <c r="H1362" s="1">
        <f t="shared" si="576"/>
        <v>0</v>
      </c>
      <c r="I1362" s="10">
        <f t="shared" si="590"/>
        <v>0</v>
      </c>
      <c r="J1362" s="1">
        <f t="shared" si="577"/>
        <v>0</v>
      </c>
      <c r="K1362" s="1">
        <f t="shared" si="578"/>
        <v>0</v>
      </c>
      <c r="L1362" s="1" t="str">
        <f t="shared" si="579"/>
        <v>0</v>
      </c>
      <c r="M1362" s="10">
        <f t="shared" si="580"/>
        <v>0</v>
      </c>
      <c r="N1362" s="1">
        <f t="shared" si="591"/>
        <v>0</v>
      </c>
      <c r="O1362" s="1">
        <f t="shared" si="583"/>
        <v>0</v>
      </c>
      <c r="P1362" s="1">
        <f t="shared" si="581"/>
        <v>0</v>
      </c>
      <c r="Q1362" s="3" t="str">
        <f t="shared" si="582"/>
        <v/>
      </c>
      <c r="T1362" s="13" t="str">
        <f t="shared" si="571"/>
        <v/>
      </c>
      <c r="U1362" s="14" t="str">
        <f t="shared" si="572"/>
        <v/>
      </c>
      <c r="V1362" s="13" t="str">
        <f t="shared" si="573"/>
        <v/>
      </c>
      <c r="W1362" s="13" t="str">
        <f t="shared" si="574"/>
        <v/>
      </c>
      <c r="X1362" s="14" t="str">
        <f t="shared" si="575"/>
        <v/>
      </c>
    </row>
    <row r="1363" spans="2:24" x14ac:dyDescent="0.3">
      <c r="T1363" s="13" t="str">
        <f t="shared" ref="T1363:T1426" si="592">IF(A1363="",IF(A1362="","",$T$1),IF(O1363=1,"#",IF(B1363=0,"*",DEC2HEX(R1363))))</f>
        <v/>
      </c>
      <c r="U1363" s="14" t="str">
        <f t="shared" ref="U1363:U1426" si="593">IF(A1363="",IF(A1362="","",$U$1),  IF(B1363=0,Q1363,I1363)  )</f>
        <v/>
      </c>
      <c r="V1363" s="13" t="str">
        <f t="shared" ref="V1363:V1426" si="594">IF(U1363=$U$1,"",IF(A1363="",IF(A1362="","",1),  IF(B1363=0,1,D1363)  ))</f>
        <v/>
      </c>
      <c r="W1363" s="13" t="str">
        <f t="shared" ref="W1363:W1426" si="595">IF(U1363=$U$1,"",IF(A1363="",IF(A1362="","",0),  IF(C1363=0,0,0)  ))</f>
        <v/>
      </c>
      <c r="X1363" s="14" t="str">
        <f t="shared" ref="X1363:X1426" si="596">IF(U1363=$U$1,"",IF(U1363="","",IF(B1363&gt;0,IF(Q1363&lt;&gt;"",Q1363,"No description"),"-")))</f>
        <v/>
      </c>
    </row>
    <row r="1364" spans="2:24" x14ac:dyDescent="0.3">
      <c r="T1364" s="13" t="str">
        <f t="shared" si="592"/>
        <v/>
      </c>
      <c r="U1364" s="14" t="str">
        <f t="shared" si="593"/>
        <v/>
      </c>
      <c r="V1364" s="13" t="str">
        <f t="shared" si="594"/>
        <v/>
      </c>
      <c r="W1364" s="13" t="str">
        <f t="shared" si="595"/>
        <v/>
      </c>
      <c r="X1364" s="14" t="str">
        <f t="shared" si="596"/>
        <v/>
      </c>
    </row>
    <row r="1365" spans="2:24" x14ac:dyDescent="0.3">
      <c r="T1365" s="13" t="str">
        <f t="shared" si="592"/>
        <v/>
      </c>
      <c r="U1365" s="14" t="str">
        <f t="shared" si="593"/>
        <v/>
      </c>
      <c r="V1365" s="13" t="str">
        <f t="shared" si="594"/>
        <v/>
      </c>
      <c r="W1365" s="13" t="str">
        <f t="shared" si="595"/>
        <v/>
      </c>
      <c r="X1365" s="14" t="str">
        <f t="shared" si="596"/>
        <v/>
      </c>
    </row>
    <row r="1366" spans="2:24" x14ac:dyDescent="0.3">
      <c r="T1366" s="13" t="str">
        <f t="shared" si="592"/>
        <v/>
      </c>
      <c r="U1366" s="14" t="str">
        <f t="shared" si="593"/>
        <v/>
      </c>
      <c r="V1366" s="13" t="str">
        <f t="shared" si="594"/>
        <v/>
      </c>
      <c r="W1366" s="13" t="str">
        <f t="shared" si="595"/>
        <v/>
      </c>
      <c r="X1366" s="14" t="str">
        <f t="shared" si="596"/>
        <v/>
      </c>
    </row>
    <row r="1367" spans="2:24" x14ac:dyDescent="0.3">
      <c r="T1367" s="13" t="str">
        <f t="shared" si="592"/>
        <v/>
      </c>
      <c r="U1367" s="14" t="str">
        <f t="shared" si="593"/>
        <v/>
      </c>
      <c r="V1367" s="13" t="str">
        <f t="shared" si="594"/>
        <v/>
      </c>
      <c r="W1367" s="13" t="str">
        <f t="shared" si="595"/>
        <v/>
      </c>
      <c r="X1367" s="14" t="str">
        <f t="shared" si="596"/>
        <v/>
      </c>
    </row>
    <row r="1368" spans="2:24" x14ac:dyDescent="0.3">
      <c r="T1368" s="13" t="str">
        <f t="shared" si="592"/>
        <v/>
      </c>
      <c r="U1368" s="14" t="str">
        <f t="shared" si="593"/>
        <v/>
      </c>
      <c r="V1368" s="13" t="str">
        <f t="shared" si="594"/>
        <v/>
      </c>
      <c r="W1368" s="13" t="str">
        <f t="shared" si="595"/>
        <v/>
      </c>
      <c r="X1368" s="14" t="str">
        <f t="shared" si="596"/>
        <v/>
      </c>
    </row>
    <row r="1369" spans="2:24" x14ac:dyDescent="0.3">
      <c r="T1369" s="13" t="str">
        <f t="shared" si="592"/>
        <v/>
      </c>
      <c r="U1369" s="14" t="str">
        <f t="shared" si="593"/>
        <v/>
      </c>
      <c r="V1369" s="13" t="str">
        <f t="shared" si="594"/>
        <v/>
      </c>
      <c r="W1369" s="13" t="str">
        <f t="shared" si="595"/>
        <v/>
      </c>
      <c r="X1369" s="14" t="str">
        <f t="shared" si="596"/>
        <v/>
      </c>
    </row>
    <row r="1370" spans="2:24" x14ac:dyDescent="0.3">
      <c r="T1370" s="13" t="str">
        <f t="shared" si="592"/>
        <v/>
      </c>
      <c r="U1370" s="14" t="str">
        <f t="shared" si="593"/>
        <v/>
      </c>
      <c r="V1370" s="13" t="str">
        <f t="shared" si="594"/>
        <v/>
      </c>
      <c r="W1370" s="13" t="str">
        <f t="shared" si="595"/>
        <v/>
      </c>
      <c r="X1370" s="14" t="str">
        <f t="shared" si="596"/>
        <v/>
      </c>
    </row>
    <row r="1371" spans="2:24" x14ac:dyDescent="0.3">
      <c r="T1371" s="13" t="str">
        <f t="shared" si="592"/>
        <v/>
      </c>
      <c r="U1371" s="14" t="str">
        <f t="shared" si="593"/>
        <v/>
      </c>
      <c r="V1371" s="13" t="str">
        <f t="shared" si="594"/>
        <v/>
      </c>
      <c r="W1371" s="13" t="str">
        <f t="shared" si="595"/>
        <v/>
      </c>
      <c r="X1371" s="14" t="str">
        <f t="shared" si="596"/>
        <v/>
      </c>
    </row>
    <row r="1372" spans="2:24" x14ac:dyDescent="0.3">
      <c r="T1372" s="13" t="str">
        <f t="shared" si="592"/>
        <v/>
      </c>
      <c r="U1372" s="14" t="str">
        <f t="shared" si="593"/>
        <v/>
      </c>
      <c r="V1372" s="13" t="str">
        <f t="shared" si="594"/>
        <v/>
      </c>
      <c r="W1372" s="13" t="str">
        <f t="shared" si="595"/>
        <v/>
      </c>
      <c r="X1372" s="14" t="str">
        <f t="shared" si="596"/>
        <v/>
      </c>
    </row>
    <row r="1373" spans="2:24" x14ac:dyDescent="0.3">
      <c r="T1373" s="13" t="str">
        <f t="shared" si="592"/>
        <v/>
      </c>
      <c r="U1373" s="14" t="str">
        <f t="shared" si="593"/>
        <v/>
      </c>
      <c r="V1373" s="13" t="str">
        <f t="shared" si="594"/>
        <v/>
      </c>
      <c r="W1373" s="13" t="str">
        <f t="shared" si="595"/>
        <v/>
      </c>
      <c r="X1373" s="14" t="str">
        <f t="shared" si="596"/>
        <v/>
      </c>
    </row>
    <row r="1374" spans="2:24" x14ac:dyDescent="0.3">
      <c r="T1374" s="13" t="str">
        <f t="shared" si="592"/>
        <v/>
      </c>
      <c r="U1374" s="14" t="str">
        <f t="shared" si="593"/>
        <v/>
      </c>
      <c r="V1374" s="13" t="str">
        <f t="shared" si="594"/>
        <v/>
      </c>
      <c r="W1374" s="13" t="str">
        <f t="shared" si="595"/>
        <v/>
      </c>
      <c r="X1374" s="14" t="str">
        <f t="shared" si="596"/>
        <v/>
      </c>
    </row>
    <row r="1375" spans="2:24" x14ac:dyDescent="0.3">
      <c r="T1375" s="13" t="str">
        <f t="shared" si="592"/>
        <v/>
      </c>
      <c r="U1375" s="14" t="str">
        <f t="shared" si="593"/>
        <v/>
      </c>
      <c r="V1375" s="13" t="str">
        <f t="shared" si="594"/>
        <v/>
      </c>
      <c r="W1375" s="13" t="str">
        <f t="shared" si="595"/>
        <v/>
      </c>
      <c r="X1375" s="14" t="str">
        <f t="shared" si="596"/>
        <v/>
      </c>
    </row>
    <row r="1376" spans="2:24" x14ac:dyDescent="0.3">
      <c r="T1376" s="13" t="str">
        <f t="shared" si="592"/>
        <v/>
      </c>
      <c r="U1376" s="14" t="str">
        <f t="shared" si="593"/>
        <v/>
      </c>
      <c r="V1376" s="13" t="str">
        <f t="shared" si="594"/>
        <v/>
      </c>
      <c r="W1376" s="13" t="str">
        <f t="shared" si="595"/>
        <v/>
      </c>
      <c r="X1376" s="14" t="str">
        <f t="shared" si="596"/>
        <v/>
      </c>
    </row>
    <row r="1377" spans="20:24" x14ac:dyDescent="0.3">
      <c r="T1377" s="13" t="str">
        <f t="shared" si="592"/>
        <v/>
      </c>
      <c r="U1377" s="14" t="str">
        <f t="shared" si="593"/>
        <v/>
      </c>
      <c r="V1377" s="13" t="str">
        <f t="shared" si="594"/>
        <v/>
      </c>
      <c r="W1377" s="13" t="str">
        <f t="shared" si="595"/>
        <v/>
      </c>
      <c r="X1377" s="14" t="str">
        <f t="shared" si="596"/>
        <v/>
      </c>
    </row>
    <row r="1378" spans="20:24" x14ac:dyDescent="0.3">
      <c r="T1378" s="13" t="str">
        <f t="shared" si="592"/>
        <v/>
      </c>
      <c r="U1378" s="14" t="str">
        <f t="shared" si="593"/>
        <v/>
      </c>
      <c r="V1378" s="13" t="str">
        <f t="shared" si="594"/>
        <v/>
      </c>
      <c r="W1378" s="13" t="str">
        <f t="shared" si="595"/>
        <v/>
      </c>
      <c r="X1378" s="14" t="str">
        <f t="shared" si="596"/>
        <v/>
      </c>
    </row>
    <row r="1379" spans="20:24" x14ac:dyDescent="0.3">
      <c r="T1379" s="13" t="str">
        <f t="shared" si="592"/>
        <v/>
      </c>
      <c r="U1379" s="14" t="str">
        <f t="shared" si="593"/>
        <v/>
      </c>
      <c r="V1379" s="13" t="str">
        <f t="shared" si="594"/>
        <v/>
      </c>
      <c r="W1379" s="13" t="str">
        <f t="shared" si="595"/>
        <v/>
      </c>
      <c r="X1379" s="14" t="str">
        <f t="shared" si="596"/>
        <v/>
      </c>
    </row>
    <row r="1380" spans="20:24" x14ac:dyDescent="0.3">
      <c r="T1380" s="13" t="str">
        <f t="shared" si="592"/>
        <v/>
      </c>
      <c r="U1380" s="14" t="str">
        <f t="shared" si="593"/>
        <v/>
      </c>
      <c r="V1380" s="13" t="str">
        <f t="shared" si="594"/>
        <v/>
      </c>
      <c r="W1380" s="13" t="str">
        <f t="shared" si="595"/>
        <v/>
      </c>
      <c r="X1380" s="14" t="str">
        <f t="shared" si="596"/>
        <v/>
      </c>
    </row>
    <row r="1381" spans="20:24" x14ac:dyDescent="0.3">
      <c r="T1381" s="13" t="str">
        <f t="shared" si="592"/>
        <v/>
      </c>
      <c r="U1381" s="14" t="str">
        <f t="shared" si="593"/>
        <v/>
      </c>
      <c r="V1381" s="13" t="str">
        <f t="shared" si="594"/>
        <v/>
      </c>
      <c r="W1381" s="13" t="str">
        <f t="shared" si="595"/>
        <v/>
      </c>
      <c r="X1381" s="14" t="str">
        <f t="shared" si="596"/>
        <v/>
      </c>
    </row>
    <row r="1382" spans="20:24" x14ac:dyDescent="0.3">
      <c r="T1382" s="13" t="str">
        <f t="shared" si="592"/>
        <v/>
      </c>
      <c r="U1382" s="14" t="str">
        <f t="shared" si="593"/>
        <v/>
      </c>
      <c r="V1382" s="13" t="str">
        <f t="shared" si="594"/>
        <v/>
      </c>
      <c r="W1382" s="13" t="str">
        <f t="shared" si="595"/>
        <v/>
      </c>
      <c r="X1382" s="14" t="str">
        <f t="shared" si="596"/>
        <v/>
      </c>
    </row>
    <row r="1383" spans="20:24" x14ac:dyDescent="0.3">
      <c r="T1383" s="13" t="str">
        <f t="shared" si="592"/>
        <v/>
      </c>
      <c r="U1383" s="14" t="str">
        <f t="shared" si="593"/>
        <v/>
      </c>
      <c r="V1383" s="13" t="str">
        <f t="shared" si="594"/>
        <v/>
      </c>
      <c r="W1383" s="13" t="str">
        <f t="shared" si="595"/>
        <v/>
      </c>
      <c r="X1383" s="14" t="str">
        <f t="shared" si="596"/>
        <v/>
      </c>
    </row>
    <row r="1384" spans="20:24" x14ac:dyDescent="0.3">
      <c r="T1384" s="13" t="str">
        <f t="shared" si="592"/>
        <v/>
      </c>
      <c r="U1384" s="14" t="str">
        <f t="shared" si="593"/>
        <v/>
      </c>
      <c r="V1384" s="13" t="str">
        <f t="shared" si="594"/>
        <v/>
      </c>
      <c r="W1384" s="13" t="str">
        <f t="shared" si="595"/>
        <v/>
      </c>
      <c r="X1384" s="14" t="str">
        <f t="shared" si="596"/>
        <v/>
      </c>
    </row>
    <row r="1385" spans="20:24" x14ac:dyDescent="0.3">
      <c r="T1385" s="13" t="str">
        <f t="shared" si="592"/>
        <v/>
      </c>
      <c r="U1385" s="14" t="str">
        <f t="shared" si="593"/>
        <v/>
      </c>
      <c r="V1385" s="13" t="str">
        <f t="shared" si="594"/>
        <v/>
      </c>
      <c r="W1385" s="13" t="str">
        <f t="shared" si="595"/>
        <v/>
      </c>
      <c r="X1385" s="14" t="str">
        <f t="shared" si="596"/>
        <v/>
      </c>
    </row>
    <row r="1386" spans="20:24" x14ac:dyDescent="0.3">
      <c r="T1386" s="13" t="str">
        <f t="shared" si="592"/>
        <v/>
      </c>
      <c r="U1386" s="14" t="str">
        <f t="shared" si="593"/>
        <v/>
      </c>
      <c r="V1386" s="13" t="str">
        <f t="shared" si="594"/>
        <v/>
      </c>
      <c r="W1386" s="13" t="str">
        <f t="shared" si="595"/>
        <v/>
      </c>
      <c r="X1386" s="14" t="str">
        <f t="shared" si="596"/>
        <v/>
      </c>
    </row>
    <row r="1387" spans="20:24" x14ac:dyDescent="0.3">
      <c r="T1387" s="13" t="str">
        <f t="shared" si="592"/>
        <v/>
      </c>
      <c r="U1387" s="14" t="str">
        <f t="shared" si="593"/>
        <v/>
      </c>
      <c r="V1387" s="13" t="str">
        <f t="shared" si="594"/>
        <v/>
      </c>
      <c r="W1387" s="13" t="str">
        <f t="shared" si="595"/>
        <v/>
      </c>
      <c r="X1387" s="14" t="str">
        <f t="shared" si="596"/>
        <v/>
      </c>
    </row>
    <row r="1388" spans="20:24" x14ac:dyDescent="0.3">
      <c r="T1388" s="13" t="str">
        <f t="shared" si="592"/>
        <v/>
      </c>
      <c r="U1388" s="14" t="str">
        <f t="shared" si="593"/>
        <v/>
      </c>
      <c r="V1388" s="13" t="str">
        <f t="shared" si="594"/>
        <v/>
      </c>
      <c r="W1388" s="13" t="str">
        <f t="shared" si="595"/>
        <v/>
      </c>
      <c r="X1388" s="14" t="str">
        <f t="shared" si="596"/>
        <v/>
      </c>
    </row>
    <row r="1389" spans="20:24" x14ac:dyDescent="0.3">
      <c r="T1389" s="13" t="str">
        <f t="shared" si="592"/>
        <v/>
      </c>
      <c r="U1389" s="14" t="str">
        <f t="shared" si="593"/>
        <v/>
      </c>
      <c r="V1389" s="13" t="str">
        <f t="shared" si="594"/>
        <v/>
      </c>
      <c r="W1389" s="13" t="str">
        <f t="shared" si="595"/>
        <v/>
      </c>
      <c r="X1389" s="14" t="str">
        <f t="shared" si="596"/>
        <v/>
      </c>
    </row>
    <row r="1390" spans="20:24" x14ac:dyDescent="0.3">
      <c r="T1390" s="13" t="str">
        <f t="shared" si="592"/>
        <v/>
      </c>
      <c r="U1390" s="14" t="str">
        <f t="shared" si="593"/>
        <v/>
      </c>
      <c r="V1390" s="13" t="str">
        <f t="shared" si="594"/>
        <v/>
      </c>
      <c r="W1390" s="13" t="str">
        <f t="shared" si="595"/>
        <v/>
      </c>
      <c r="X1390" s="14" t="str">
        <f t="shared" si="596"/>
        <v/>
      </c>
    </row>
    <row r="1391" spans="20:24" x14ac:dyDescent="0.3">
      <c r="T1391" s="13" t="str">
        <f t="shared" si="592"/>
        <v/>
      </c>
      <c r="U1391" s="14" t="str">
        <f t="shared" si="593"/>
        <v/>
      </c>
      <c r="V1391" s="13" t="str">
        <f t="shared" si="594"/>
        <v/>
      </c>
      <c r="W1391" s="13" t="str">
        <f t="shared" si="595"/>
        <v/>
      </c>
      <c r="X1391" s="14" t="str">
        <f t="shared" si="596"/>
        <v/>
      </c>
    </row>
    <row r="1392" spans="20:24" x14ac:dyDescent="0.3">
      <c r="T1392" s="13" t="str">
        <f t="shared" si="592"/>
        <v/>
      </c>
      <c r="U1392" s="14" t="str">
        <f t="shared" si="593"/>
        <v/>
      </c>
      <c r="V1392" s="13" t="str">
        <f t="shared" si="594"/>
        <v/>
      </c>
      <c r="W1392" s="13" t="str">
        <f t="shared" si="595"/>
        <v/>
      </c>
      <c r="X1392" s="14" t="str">
        <f t="shared" si="596"/>
        <v/>
      </c>
    </row>
    <row r="1393" spans="20:24" x14ac:dyDescent="0.3">
      <c r="T1393" s="13" t="str">
        <f t="shared" si="592"/>
        <v/>
      </c>
      <c r="U1393" s="14" t="str">
        <f t="shared" si="593"/>
        <v/>
      </c>
      <c r="V1393" s="13" t="str">
        <f t="shared" si="594"/>
        <v/>
      </c>
      <c r="W1393" s="13" t="str">
        <f t="shared" si="595"/>
        <v/>
      </c>
      <c r="X1393" s="14" t="str">
        <f t="shared" si="596"/>
        <v/>
      </c>
    </row>
    <row r="1394" spans="20:24" x14ac:dyDescent="0.3">
      <c r="T1394" s="13" t="str">
        <f t="shared" si="592"/>
        <v/>
      </c>
      <c r="U1394" s="14" t="str">
        <f t="shared" si="593"/>
        <v/>
      </c>
      <c r="V1394" s="13" t="str">
        <f t="shared" si="594"/>
        <v/>
      </c>
      <c r="W1394" s="13" t="str">
        <f t="shared" si="595"/>
        <v/>
      </c>
      <c r="X1394" s="14" t="str">
        <f t="shared" si="596"/>
        <v/>
      </c>
    </row>
    <row r="1395" spans="20:24" x14ac:dyDescent="0.3">
      <c r="T1395" s="13" t="str">
        <f t="shared" si="592"/>
        <v/>
      </c>
      <c r="U1395" s="14" t="str">
        <f t="shared" si="593"/>
        <v/>
      </c>
      <c r="V1395" s="13" t="str">
        <f t="shared" si="594"/>
        <v/>
      </c>
      <c r="W1395" s="13" t="str">
        <f t="shared" si="595"/>
        <v/>
      </c>
      <c r="X1395" s="14" t="str">
        <f t="shared" si="596"/>
        <v/>
      </c>
    </row>
    <row r="1396" spans="20:24" x14ac:dyDescent="0.3">
      <c r="T1396" s="13" t="str">
        <f t="shared" si="592"/>
        <v/>
      </c>
      <c r="U1396" s="14" t="str">
        <f t="shared" si="593"/>
        <v/>
      </c>
      <c r="V1396" s="13" t="str">
        <f t="shared" si="594"/>
        <v/>
      </c>
      <c r="W1396" s="13" t="str">
        <f t="shared" si="595"/>
        <v/>
      </c>
      <c r="X1396" s="14" t="str">
        <f t="shared" si="596"/>
        <v/>
      </c>
    </row>
    <row r="1397" spans="20:24" x14ac:dyDescent="0.3">
      <c r="T1397" s="13" t="str">
        <f t="shared" si="592"/>
        <v/>
      </c>
      <c r="U1397" s="14" t="str">
        <f t="shared" si="593"/>
        <v/>
      </c>
      <c r="V1397" s="13" t="str">
        <f t="shared" si="594"/>
        <v/>
      </c>
      <c r="W1397" s="13" t="str">
        <f t="shared" si="595"/>
        <v/>
      </c>
      <c r="X1397" s="14" t="str">
        <f t="shared" si="596"/>
        <v/>
      </c>
    </row>
    <row r="1398" spans="20:24" x14ac:dyDescent="0.3">
      <c r="T1398" s="13" t="str">
        <f t="shared" si="592"/>
        <v/>
      </c>
      <c r="U1398" s="14" t="str">
        <f t="shared" si="593"/>
        <v/>
      </c>
      <c r="V1398" s="13" t="str">
        <f t="shared" si="594"/>
        <v/>
      </c>
      <c r="W1398" s="13" t="str">
        <f t="shared" si="595"/>
        <v/>
      </c>
      <c r="X1398" s="14" t="str">
        <f t="shared" si="596"/>
        <v/>
      </c>
    </row>
    <row r="1399" spans="20:24" x14ac:dyDescent="0.3">
      <c r="T1399" s="13" t="str">
        <f t="shared" si="592"/>
        <v/>
      </c>
      <c r="U1399" s="14" t="str">
        <f t="shared" si="593"/>
        <v/>
      </c>
      <c r="V1399" s="13" t="str">
        <f t="shared" si="594"/>
        <v/>
      </c>
      <c r="W1399" s="13" t="str">
        <f t="shared" si="595"/>
        <v/>
      </c>
      <c r="X1399" s="14" t="str">
        <f t="shared" si="596"/>
        <v/>
      </c>
    </row>
    <row r="1400" spans="20:24" x14ac:dyDescent="0.3">
      <c r="T1400" s="13" t="str">
        <f t="shared" si="592"/>
        <v/>
      </c>
      <c r="U1400" s="14" t="str">
        <f t="shared" si="593"/>
        <v/>
      </c>
      <c r="V1400" s="13" t="str">
        <f t="shared" si="594"/>
        <v/>
      </c>
      <c r="W1400" s="13" t="str">
        <f t="shared" si="595"/>
        <v/>
      </c>
      <c r="X1400" s="14" t="str">
        <f t="shared" si="596"/>
        <v/>
      </c>
    </row>
    <row r="1401" spans="20:24" x14ac:dyDescent="0.3">
      <c r="T1401" s="13" t="str">
        <f t="shared" si="592"/>
        <v/>
      </c>
      <c r="U1401" s="14" t="str">
        <f t="shared" si="593"/>
        <v/>
      </c>
      <c r="V1401" s="13" t="str">
        <f t="shared" si="594"/>
        <v/>
      </c>
      <c r="W1401" s="13" t="str">
        <f t="shared" si="595"/>
        <v/>
      </c>
      <c r="X1401" s="14" t="str">
        <f t="shared" si="596"/>
        <v/>
      </c>
    </row>
    <row r="1402" spans="20:24" x14ac:dyDescent="0.3">
      <c r="T1402" s="13" t="str">
        <f t="shared" si="592"/>
        <v/>
      </c>
      <c r="U1402" s="14" t="str">
        <f t="shared" si="593"/>
        <v/>
      </c>
      <c r="V1402" s="13" t="str">
        <f t="shared" si="594"/>
        <v/>
      </c>
      <c r="W1402" s="13" t="str">
        <f t="shared" si="595"/>
        <v/>
      </c>
      <c r="X1402" s="14" t="str">
        <f t="shared" si="596"/>
        <v/>
      </c>
    </row>
    <row r="1403" spans="20:24" x14ac:dyDescent="0.3">
      <c r="T1403" s="13" t="str">
        <f t="shared" si="592"/>
        <v/>
      </c>
      <c r="U1403" s="14" t="str">
        <f t="shared" si="593"/>
        <v/>
      </c>
      <c r="V1403" s="13" t="str">
        <f t="shared" si="594"/>
        <v/>
      </c>
      <c r="W1403" s="13" t="str">
        <f t="shared" si="595"/>
        <v/>
      </c>
      <c r="X1403" s="14" t="str">
        <f t="shared" si="596"/>
        <v/>
      </c>
    </row>
    <row r="1404" spans="20:24" x14ac:dyDescent="0.3">
      <c r="T1404" s="13" t="str">
        <f t="shared" si="592"/>
        <v/>
      </c>
      <c r="U1404" s="14" t="str">
        <f t="shared" si="593"/>
        <v/>
      </c>
      <c r="V1404" s="13" t="str">
        <f t="shared" si="594"/>
        <v/>
      </c>
      <c r="W1404" s="13" t="str">
        <f t="shared" si="595"/>
        <v/>
      </c>
      <c r="X1404" s="14" t="str">
        <f t="shared" si="596"/>
        <v/>
      </c>
    </row>
    <row r="1405" spans="20:24" x14ac:dyDescent="0.3">
      <c r="T1405" s="13" t="str">
        <f t="shared" si="592"/>
        <v/>
      </c>
      <c r="U1405" s="14" t="str">
        <f t="shared" si="593"/>
        <v/>
      </c>
      <c r="V1405" s="13" t="str">
        <f t="shared" si="594"/>
        <v/>
      </c>
      <c r="W1405" s="13" t="str">
        <f t="shared" si="595"/>
        <v/>
      </c>
      <c r="X1405" s="14" t="str">
        <f t="shared" si="596"/>
        <v/>
      </c>
    </row>
    <row r="1406" spans="20:24" x14ac:dyDescent="0.3">
      <c r="T1406" s="13" t="str">
        <f t="shared" si="592"/>
        <v/>
      </c>
      <c r="U1406" s="14" t="str">
        <f t="shared" si="593"/>
        <v/>
      </c>
      <c r="V1406" s="13" t="str">
        <f t="shared" si="594"/>
        <v/>
      </c>
      <c r="W1406" s="13" t="str">
        <f t="shared" si="595"/>
        <v/>
      </c>
      <c r="X1406" s="14" t="str">
        <f t="shared" si="596"/>
        <v/>
      </c>
    </row>
    <row r="1407" spans="20:24" x14ac:dyDescent="0.3">
      <c r="T1407" s="13" t="str">
        <f t="shared" si="592"/>
        <v/>
      </c>
      <c r="U1407" s="14" t="str">
        <f t="shared" si="593"/>
        <v/>
      </c>
      <c r="V1407" s="13" t="str">
        <f t="shared" si="594"/>
        <v/>
      </c>
      <c r="W1407" s="13" t="str">
        <f t="shared" si="595"/>
        <v/>
      </c>
      <c r="X1407" s="14" t="str">
        <f t="shared" si="596"/>
        <v/>
      </c>
    </row>
    <row r="1408" spans="20:24" x14ac:dyDescent="0.3">
      <c r="T1408" s="13" t="str">
        <f t="shared" si="592"/>
        <v/>
      </c>
      <c r="U1408" s="14" t="str">
        <f t="shared" si="593"/>
        <v/>
      </c>
      <c r="V1408" s="13" t="str">
        <f t="shared" si="594"/>
        <v/>
      </c>
      <c r="W1408" s="13" t="str">
        <f t="shared" si="595"/>
        <v/>
      </c>
      <c r="X1408" s="14" t="str">
        <f t="shared" si="596"/>
        <v/>
      </c>
    </row>
    <row r="1409" spans="20:24" x14ac:dyDescent="0.3">
      <c r="T1409" s="13" t="str">
        <f t="shared" si="592"/>
        <v/>
      </c>
      <c r="U1409" s="14" t="str">
        <f t="shared" si="593"/>
        <v/>
      </c>
      <c r="V1409" s="13" t="str">
        <f t="shared" si="594"/>
        <v/>
      </c>
      <c r="W1409" s="13" t="str">
        <f t="shared" si="595"/>
        <v/>
      </c>
      <c r="X1409" s="14" t="str">
        <f t="shared" si="596"/>
        <v/>
      </c>
    </row>
    <row r="1410" spans="20:24" x14ac:dyDescent="0.3">
      <c r="T1410" s="13" t="str">
        <f t="shared" si="592"/>
        <v/>
      </c>
      <c r="U1410" s="14" t="str">
        <f t="shared" si="593"/>
        <v/>
      </c>
      <c r="V1410" s="13" t="str">
        <f t="shared" si="594"/>
        <v/>
      </c>
      <c r="W1410" s="13" t="str">
        <f t="shared" si="595"/>
        <v/>
      </c>
      <c r="X1410" s="14" t="str">
        <f t="shared" si="596"/>
        <v/>
      </c>
    </row>
    <row r="1411" spans="20:24" x14ac:dyDescent="0.3">
      <c r="T1411" s="13" t="str">
        <f t="shared" si="592"/>
        <v/>
      </c>
      <c r="U1411" s="14" t="str">
        <f t="shared" si="593"/>
        <v/>
      </c>
      <c r="V1411" s="13" t="str">
        <f t="shared" si="594"/>
        <v/>
      </c>
      <c r="W1411" s="13" t="str">
        <f t="shared" si="595"/>
        <v/>
      </c>
      <c r="X1411" s="14" t="str">
        <f t="shared" si="596"/>
        <v/>
      </c>
    </row>
    <row r="1412" spans="20:24" x14ac:dyDescent="0.3">
      <c r="T1412" s="13" t="str">
        <f t="shared" si="592"/>
        <v/>
      </c>
      <c r="U1412" s="14" t="str">
        <f t="shared" si="593"/>
        <v/>
      </c>
      <c r="V1412" s="13" t="str">
        <f t="shared" si="594"/>
        <v/>
      </c>
      <c r="W1412" s="13" t="str">
        <f t="shared" si="595"/>
        <v/>
      </c>
      <c r="X1412" s="14" t="str">
        <f t="shared" si="596"/>
        <v/>
      </c>
    </row>
    <row r="1413" spans="20:24" x14ac:dyDescent="0.3">
      <c r="T1413" s="13" t="str">
        <f t="shared" si="592"/>
        <v/>
      </c>
      <c r="U1413" s="14" t="str">
        <f t="shared" si="593"/>
        <v/>
      </c>
      <c r="V1413" s="13" t="str">
        <f t="shared" si="594"/>
        <v/>
      </c>
      <c r="W1413" s="13" t="str">
        <f t="shared" si="595"/>
        <v/>
      </c>
      <c r="X1413" s="14" t="str">
        <f t="shared" si="596"/>
        <v/>
      </c>
    </row>
    <row r="1414" spans="20:24" x14ac:dyDescent="0.3">
      <c r="T1414" s="13" t="str">
        <f t="shared" si="592"/>
        <v/>
      </c>
      <c r="U1414" s="14" t="str">
        <f t="shared" si="593"/>
        <v/>
      </c>
      <c r="V1414" s="13" t="str">
        <f t="shared" si="594"/>
        <v/>
      </c>
      <c r="W1414" s="13" t="str">
        <f t="shared" si="595"/>
        <v/>
      </c>
      <c r="X1414" s="14" t="str">
        <f t="shared" si="596"/>
        <v/>
      </c>
    </row>
    <row r="1415" spans="20:24" x14ac:dyDescent="0.3">
      <c r="T1415" s="13" t="str">
        <f t="shared" si="592"/>
        <v/>
      </c>
      <c r="U1415" s="14" t="str">
        <f t="shared" si="593"/>
        <v/>
      </c>
      <c r="V1415" s="13" t="str">
        <f t="shared" si="594"/>
        <v/>
      </c>
      <c r="W1415" s="13" t="str">
        <f t="shared" si="595"/>
        <v/>
      </c>
      <c r="X1415" s="14" t="str">
        <f t="shared" si="596"/>
        <v/>
      </c>
    </row>
    <row r="1416" spans="20:24" x14ac:dyDescent="0.3">
      <c r="T1416" s="13" t="str">
        <f t="shared" si="592"/>
        <v/>
      </c>
      <c r="U1416" s="14" t="str">
        <f t="shared" si="593"/>
        <v/>
      </c>
      <c r="V1416" s="13" t="str">
        <f t="shared" si="594"/>
        <v/>
      </c>
      <c r="W1416" s="13" t="str">
        <f t="shared" si="595"/>
        <v/>
      </c>
      <c r="X1416" s="14" t="str">
        <f t="shared" si="596"/>
        <v/>
      </c>
    </row>
    <row r="1417" spans="20:24" x14ac:dyDescent="0.3">
      <c r="T1417" s="13" t="str">
        <f t="shared" si="592"/>
        <v/>
      </c>
      <c r="U1417" s="14" t="str">
        <f t="shared" si="593"/>
        <v/>
      </c>
      <c r="V1417" s="13" t="str">
        <f t="shared" si="594"/>
        <v/>
      </c>
      <c r="W1417" s="13" t="str">
        <f t="shared" si="595"/>
        <v/>
      </c>
      <c r="X1417" s="14" t="str">
        <f t="shared" si="596"/>
        <v/>
      </c>
    </row>
    <row r="1418" spans="20:24" x14ac:dyDescent="0.3">
      <c r="T1418" s="13" t="str">
        <f t="shared" si="592"/>
        <v/>
      </c>
      <c r="U1418" s="14" t="str">
        <f t="shared" si="593"/>
        <v/>
      </c>
      <c r="V1418" s="13" t="str">
        <f t="shared" si="594"/>
        <v/>
      </c>
      <c r="W1418" s="13" t="str">
        <f t="shared" si="595"/>
        <v/>
      </c>
      <c r="X1418" s="14" t="str">
        <f t="shared" si="596"/>
        <v/>
      </c>
    </row>
    <row r="1419" spans="20:24" x14ac:dyDescent="0.3">
      <c r="T1419" s="13" t="str">
        <f t="shared" si="592"/>
        <v/>
      </c>
      <c r="U1419" s="14" t="str">
        <f t="shared" si="593"/>
        <v/>
      </c>
      <c r="V1419" s="13" t="str">
        <f t="shared" si="594"/>
        <v/>
      </c>
      <c r="W1419" s="13" t="str">
        <f t="shared" si="595"/>
        <v/>
      </c>
      <c r="X1419" s="14" t="str">
        <f t="shared" si="596"/>
        <v/>
      </c>
    </row>
    <row r="1420" spans="20:24" x14ac:dyDescent="0.3">
      <c r="T1420" s="13" t="str">
        <f t="shared" si="592"/>
        <v/>
      </c>
      <c r="U1420" s="14" t="str">
        <f t="shared" si="593"/>
        <v/>
      </c>
      <c r="V1420" s="13" t="str">
        <f t="shared" si="594"/>
        <v/>
      </c>
      <c r="W1420" s="13" t="str">
        <f t="shared" si="595"/>
        <v/>
      </c>
      <c r="X1420" s="14" t="str">
        <f t="shared" si="596"/>
        <v/>
      </c>
    </row>
    <row r="1421" spans="20:24" x14ac:dyDescent="0.3">
      <c r="T1421" s="13" t="str">
        <f t="shared" si="592"/>
        <v/>
      </c>
      <c r="U1421" s="14" t="str">
        <f t="shared" si="593"/>
        <v/>
      </c>
      <c r="V1421" s="13" t="str">
        <f t="shared" si="594"/>
        <v/>
      </c>
      <c r="W1421" s="13" t="str">
        <f t="shared" si="595"/>
        <v/>
      </c>
      <c r="X1421" s="14" t="str">
        <f t="shared" si="596"/>
        <v/>
      </c>
    </row>
    <row r="1422" spans="20:24" x14ac:dyDescent="0.3">
      <c r="T1422" s="13" t="str">
        <f t="shared" si="592"/>
        <v/>
      </c>
      <c r="U1422" s="14" t="str">
        <f t="shared" si="593"/>
        <v/>
      </c>
      <c r="V1422" s="13" t="str">
        <f t="shared" si="594"/>
        <v/>
      </c>
      <c r="W1422" s="13" t="str">
        <f t="shared" si="595"/>
        <v/>
      </c>
      <c r="X1422" s="14" t="str">
        <f t="shared" si="596"/>
        <v/>
      </c>
    </row>
    <row r="1423" spans="20:24" x14ac:dyDescent="0.3">
      <c r="T1423" s="13" t="str">
        <f t="shared" si="592"/>
        <v/>
      </c>
      <c r="U1423" s="14" t="str">
        <f t="shared" si="593"/>
        <v/>
      </c>
      <c r="V1423" s="13" t="str">
        <f t="shared" si="594"/>
        <v/>
      </c>
      <c r="W1423" s="13" t="str">
        <f t="shared" si="595"/>
        <v/>
      </c>
      <c r="X1423" s="14" t="str">
        <f t="shared" si="596"/>
        <v/>
      </c>
    </row>
    <row r="1424" spans="20:24" x14ac:dyDescent="0.3">
      <c r="T1424" s="13" t="str">
        <f t="shared" si="592"/>
        <v/>
      </c>
      <c r="U1424" s="14" t="str">
        <f t="shared" si="593"/>
        <v/>
      </c>
      <c r="V1424" s="13" t="str">
        <f t="shared" si="594"/>
        <v/>
      </c>
      <c r="W1424" s="13" t="str">
        <f t="shared" si="595"/>
        <v/>
      </c>
      <c r="X1424" s="14" t="str">
        <f t="shared" si="596"/>
        <v/>
      </c>
    </row>
    <row r="1425" spans="20:24" x14ac:dyDescent="0.3">
      <c r="T1425" s="13" t="str">
        <f t="shared" si="592"/>
        <v/>
      </c>
      <c r="U1425" s="14" t="str">
        <f t="shared" si="593"/>
        <v/>
      </c>
      <c r="V1425" s="13" t="str">
        <f t="shared" si="594"/>
        <v/>
      </c>
      <c r="W1425" s="13" t="str">
        <f t="shared" si="595"/>
        <v/>
      </c>
      <c r="X1425" s="14" t="str">
        <f t="shared" si="596"/>
        <v/>
      </c>
    </row>
    <row r="1426" spans="20:24" x14ac:dyDescent="0.3">
      <c r="T1426" s="13" t="str">
        <f t="shared" si="592"/>
        <v/>
      </c>
      <c r="U1426" s="14" t="str">
        <f t="shared" si="593"/>
        <v/>
      </c>
      <c r="V1426" s="13" t="str">
        <f t="shared" si="594"/>
        <v/>
      </c>
      <c r="W1426" s="13" t="str">
        <f t="shared" si="595"/>
        <v/>
      </c>
      <c r="X1426" s="14" t="str">
        <f t="shared" si="596"/>
        <v/>
      </c>
    </row>
    <row r="1427" spans="20:24" x14ac:dyDescent="0.3">
      <c r="T1427" s="13" t="str">
        <f t="shared" ref="T1427:T1490" si="597">IF(A1427="",IF(A1426="","",$T$1),IF(O1427=1,"#",IF(B1427=0,"*",DEC2HEX(R1427))))</f>
        <v/>
      </c>
      <c r="U1427" s="14" t="str">
        <f t="shared" ref="U1427:U1490" si="598">IF(A1427="",IF(A1426="","",$U$1),  IF(B1427=0,Q1427,I1427)  )</f>
        <v/>
      </c>
      <c r="V1427" s="13" t="str">
        <f t="shared" ref="V1427:V1490" si="599">IF(U1427=$U$1,"",IF(A1427="",IF(A1426="","",1),  IF(B1427=0,1,D1427)  ))</f>
        <v/>
      </c>
      <c r="W1427" s="13" t="str">
        <f t="shared" ref="W1427:W1490" si="600">IF(U1427=$U$1,"",IF(A1427="",IF(A1426="","",0),  IF(C1427=0,0,0)  ))</f>
        <v/>
      </c>
      <c r="X1427" s="14" t="str">
        <f t="shared" ref="X1427:X1490" si="601">IF(U1427=$U$1,"",IF(U1427="","",IF(B1427&gt;0,IF(Q1427&lt;&gt;"",Q1427,"No description"),"-")))</f>
        <v/>
      </c>
    </row>
    <row r="1428" spans="20:24" x14ac:dyDescent="0.3">
      <c r="T1428" s="13" t="str">
        <f t="shared" si="597"/>
        <v/>
      </c>
      <c r="U1428" s="14" t="str">
        <f t="shared" si="598"/>
        <v/>
      </c>
      <c r="V1428" s="13" t="str">
        <f t="shared" si="599"/>
        <v/>
      </c>
      <c r="W1428" s="13" t="str">
        <f t="shared" si="600"/>
        <v/>
      </c>
      <c r="X1428" s="14" t="str">
        <f t="shared" si="601"/>
        <v/>
      </c>
    </row>
    <row r="1429" spans="20:24" x14ac:dyDescent="0.3">
      <c r="T1429" s="13" t="str">
        <f t="shared" si="597"/>
        <v/>
      </c>
      <c r="U1429" s="14" t="str">
        <f t="shared" si="598"/>
        <v/>
      </c>
      <c r="V1429" s="13" t="str">
        <f t="shared" si="599"/>
        <v/>
      </c>
      <c r="W1429" s="13" t="str">
        <f t="shared" si="600"/>
        <v/>
      </c>
      <c r="X1429" s="14" t="str">
        <f t="shared" si="601"/>
        <v/>
      </c>
    </row>
    <row r="1430" spans="20:24" x14ac:dyDescent="0.3">
      <c r="T1430" s="13" t="str">
        <f t="shared" si="597"/>
        <v/>
      </c>
      <c r="U1430" s="14" t="str">
        <f t="shared" si="598"/>
        <v/>
      </c>
      <c r="V1430" s="13" t="str">
        <f t="shared" si="599"/>
        <v/>
      </c>
      <c r="W1430" s="13" t="str">
        <f t="shared" si="600"/>
        <v/>
      </c>
      <c r="X1430" s="14" t="str">
        <f t="shared" si="601"/>
        <v/>
      </c>
    </row>
    <row r="1431" spans="20:24" x14ac:dyDescent="0.3">
      <c r="T1431" s="13" t="str">
        <f t="shared" si="597"/>
        <v/>
      </c>
      <c r="U1431" s="14" t="str">
        <f t="shared" si="598"/>
        <v/>
      </c>
      <c r="V1431" s="13" t="str">
        <f t="shared" si="599"/>
        <v/>
      </c>
      <c r="W1431" s="13" t="str">
        <f t="shared" si="600"/>
        <v/>
      </c>
      <c r="X1431" s="14" t="str">
        <f t="shared" si="601"/>
        <v/>
      </c>
    </row>
    <row r="1432" spans="20:24" x14ac:dyDescent="0.3">
      <c r="T1432" s="13" t="str">
        <f t="shared" si="597"/>
        <v/>
      </c>
      <c r="U1432" s="14" t="str">
        <f t="shared" si="598"/>
        <v/>
      </c>
      <c r="V1432" s="13" t="str">
        <f t="shared" si="599"/>
        <v/>
      </c>
      <c r="W1432" s="13" t="str">
        <f t="shared" si="600"/>
        <v/>
      </c>
      <c r="X1432" s="14" t="str">
        <f t="shared" si="601"/>
        <v/>
      </c>
    </row>
    <row r="1433" spans="20:24" x14ac:dyDescent="0.3">
      <c r="T1433" s="13" t="str">
        <f t="shared" si="597"/>
        <v/>
      </c>
      <c r="U1433" s="14" t="str">
        <f t="shared" si="598"/>
        <v/>
      </c>
      <c r="V1433" s="13" t="str">
        <f t="shared" si="599"/>
        <v/>
      </c>
      <c r="W1433" s="13" t="str">
        <f t="shared" si="600"/>
        <v/>
      </c>
      <c r="X1433" s="14" t="str">
        <f t="shared" si="601"/>
        <v/>
      </c>
    </row>
    <row r="1434" spans="20:24" x14ac:dyDescent="0.3">
      <c r="T1434" s="13" t="str">
        <f t="shared" si="597"/>
        <v/>
      </c>
      <c r="U1434" s="14" t="str">
        <f t="shared" si="598"/>
        <v/>
      </c>
      <c r="V1434" s="13" t="str">
        <f t="shared" si="599"/>
        <v/>
      </c>
      <c r="W1434" s="13" t="str">
        <f t="shared" si="600"/>
        <v/>
      </c>
      <c r="X1434" s="14" t="str">
        <f t="shared" si="601"/>
        <v/>
      </c>
    </row>
    <row r="1435" spans="20:24" x14ac:dyDescent="0.3">
      <c r="T1435" s="13" t="str">
        <f t="shared" si="597"/>
        <v/>
      </c>
      <c r="U1435" s="14" t="str">
        <f t="shared" si="598"/>
        <v/>
      </c>
      <c r="V1435" s="13" t="str">
        <f t="shared" si="599"/>
        <v/>
      </c>
      <c r="W1435" s="13" t="str">
        <f t="shared" si="600"/>
        <v/>
      </c>
      <c r="X1435" s="14" t="str">
        <f t="shared" si="601"/>
        <v/>
      </c>
    </row>
    <row r="1436" spans="20:24" x14ac:dyDescent="0.3">
      <c r="T1436" s="13" t="str">
        <f t="shared" si="597"/>
        <v/>
      </c>
      <c r="U1436" s="14" t="str">
        <f t="shared" si="598"/>
        <v/>
      </c>
      <c r="V1436" s="13" t="str">
        <f t="shared" si="599"/>
        <v/>
      </c>
      <c r="W1436" s="13" t="str">
        <f t="shared" si="600"/>
        <v/>
      </c>
      <c r="X1436" s="14" t="str">
        <f t="shared" si="601"/>
        <v/>
      </c>
    </row>
    <row r="1437" spans="20:24" x14ac:dyDescent="0.3">
      <c r="T1437" s="13" t="str">
        <f t="shared" si="597"/>
        <v/>
      </c>
      <c r="U1437" s="14" t="str">
        <f t="shared" si="598"/>
        <v/>
      </c>
      <c r="V1437" s="13" t="str">
        <f t="shared" si="599"/>
        <v/>
      </c>
      <c r="W1437" s="13" t="str">
        <f t="shared" si="600"/>
        <v/>
      </c>
      <c r="X1437" s="14" t="str">
        <f t="shared" si="601"/>
        <v/>
      </c>
    </row>
    <row r="1438" spans="20:24" x14ac:dyDescent="0.3">
      <c r="T1438" s="13" t="str">
        <f t="shared" si="597"/>
        <v/>
      </c>
      <c r="U1438" s="14" t="str">
        <f t="shared" si="598"/>
        <v/>
      </c>
      <c r="V1438" s="13" t="str">
        <f t="shared" si="599"/>
        <v/>
      </c>
      <c r="W1438" s="13" t="str">
        <f t="shared" si="600"/>
        <v/>
      </c>
      <c r="X1438" s="14" t="str">
        <f t="shared" si="601"/>
        <v/>
      </c>
    </row>
    <row r="1439" spans="20:24" x14ac:dyDescent="0.3">
      <c r="T1439" s="13" t="str">
        <f t="shared" si="597"/>
        <v/>
      </c>
      <c r="U1439" s="14" t="str">
        <f t="shared" si="598"/>
        <v/>
      </c>
      <c r="V1439" s="13" t="str">
        <f t="shared" si="599"/>
        <v/>
      </c>
      <c r="W1439" s="13" t="str">
        <f t="shared" si="600"/>
        <v/>
      </c>
      <c r="X1439" s="14" t="str">
        <f t="shared" si="601"/>
        <v/>
      </c>
    </row>
    <row r="1440" spans="20:24" x14ac:dyDescent="0.3">
      <c r="T1440" s="13" t="str">
        <f t="shared" si="597"/>
        <v/>
      </c>
      <c r="U1440" s="14" t="str">
        <f t="shared" si="598"/>
        <v/>
      </c>
      <c r="V1440" s="13" t="str">
        <f t="shared" si="599"/>
        <v/>
      </c>
      <c r="W1440" s="13" t="str">
        <f t="shared" si="600"/>
        <v/>
      </c>
      <c r="X1440" s="14" t="str">
        <f t="shared" si="601"/>
        <v/>
      </c>
    </row>
    <row r="1441" spans="20:24" x14ac:dyDescent="0.3">
      <c r="T1441" s="13" t="str">
        <f t="shared" si="597"/>
        <v/>
      </c>
      <c r="U1441" s="14" t="str">
        <f t="shared" si="598"/>
        <v/>
      </c>
      <c r="V1441" s="13" t="str">
        <f t="shared" si="599"/>
        <v/>
      </c>
      <c r="W1441" s="13" t="str">
        <f t="shared" si="600"/>
        <v/>
      </c>
      <c r="X1441" s="14" t="str">
        <f t="shared" si="601"/>
        <v/>
      </c>
    </row>
    <row r="1442" spans="20:24" x14ac:dyDescent="0.3">
      <c r="T1442" s="13" t="str">
        <f t="shared" si="597"/>
        <v/>
      </c>
      <c r="U1442" s="14" t="str">
        <f t="shared" si="598"/>
        <v/>
      </c>
      <c r="V1442" s="13" t="str">
        <f t="shared" si="599"/>
        <v/>
      </c>
      <c r="W1442" s="13" t="str">
        <f t="shared" si="600"/>
        <v/>
      </c>
      <c r="X1442" s="14" t="str">
        <f t="shared" si="601"/>
        <v/>
      </c>
    </row>
    <row r="1443" spans="20:24" x14ac:dyDescent="0.3">
      <c r="T1443" s="13" t="str">
        <f t="shared" si="597"/>
        <v/>
      </c>
      <c r="U1443" s="14" t="str">
        <f t="shared" si="598"/>
        <v/>
      </c>
      <c r="V1443" s="13" t="str">
        <f t="shared" si="599"/>
        <v/>
      </c>
      <c r="W1443" s="13" t="str">
        <f t="shared" si="600"/>
        <v/>
      </c>
      <c r="X1443" s="14" t="str">
        <f t="shared" si="601"/>
        <v/>
      </c>
    </row>
    <row r="1444" spans="20:24" x14ac:dyDescent="0.3">
      <c r="T1444" s="13" t="str">
        <f t="shared" si="597"/>
        <v/>
      </c>
      <c r="U1444" s="14" t="str">
        <f t="shared" si="598"/>
        <v/>
      </c>
      <c r="V1444" s="13" t="str">
        <f t="shared" si="599"/>
        <v/>
      </c>
      <c r="W1444" s="13" t="str">
        <f t="shared" si="600"/>
        <v/>
      </c>
      <c r="X1444" s="14" t="str">
        <f t="shared" si="601"/>
        <v/>
      </c>
    </row>
    <row r="1445" spans="20:24" x14ac:dyDescent="0.3">
      <c r="T1445" s="13" t="str">
        <f t="shared" si="597"/>
        <v/>
      </c>
      <c r="U1445" s="14" t="str">
        <f t="shared" si="598"/>
        <v/>
      </c>
      <c r="V1445" s="13" t="str">
        <f t="shared" si="599"/>
        <v/>
      </c>
      <c r="W1445" s="13" t="str">
        <f t="shared" si="600"/>
        <v/>
      </c>
      <c r="X1445" s="14" t="str">
        <f t="shared" si="601"/>
        <v/>
      </c>
    </row>
    <row r="1446" spans="20:24" x14ac:dyDescent="0.3">
      <c r="T1446" s="13" t="str">
        <f t="shared" si="597"/>
        <v/>
      </c>
      <c r="U1446" s="14" t="str">
        <f t="shared" si="598"/>
        <v/>
      </c>
      <c r="V1446" s="13" t="str">
        <f t="shared" si="599"/>
        <v/>
      </c>
      <c r="W1446" s="13" t="str">
        <f t="shared" si="600"/>
        <v/>
      </c>
      <c r="X1446" s="14" t="str">
        <f t="shared" si="601"/>
        <v/>
      </c>
    </row>
    <row r="1447" spans="20:24" x14ac:dyDescent="0.3">
      <c r="T1447" s="13" t="str">
        <f t="shared" si="597"/>
        <v/>
      </c>
      <c r="U1447" s="14" t="str">
        <f t="shared" si="598"/>
        <v/>
      </c>
      <c r="V1447" s="13" t="str">
        <f t="shared" si="599"/>
        <v/>
      </c>
      <c r="W1447" s="13" t="str">
        <f t="shared" si="600"/>
        <v/>
      </c>
      <c r="X1447" s="14" t="str">
        <f t="shared" si="601"/>
        <v/>
      </c>
    </row>
    <row r="1448" spans="20:24" x14ac:dyDescent="0.3">
      <c r="T1448" s="13" t="str">
        <f t="shared" si="597"/>
        <v/>
      </c>
      <c r="U1448" s="14" t="str">
        <f t="shared" si="598"/>
        <v/>
      </c>
      <c r="V1448" s="13" t="str">
        <f t="shared" si="599"/>
        <v/>
      </c>
      <c r="W1448" s="13" t="str">
        <f t="shared" si="600"/>
        <v/>
      </c>
      <c r="X1448" s="14" t="str">
        <f t="shared" si="601"/>
        <v/>
      </c>
    </row>
    <row r="1449" spans="20:24" x14ac:dyDescent="0.3">
      <c r="T1449" s="13" t="str">
        <f t="shared" si="597"/>
        <v/>
      </c>
      <c r="U1449" s="14" t="str">
        <f t="shared" si="598"/>
        <v/>
      </c>
      <c r="V1449" s="13" t="str">
        <f t="shared" si="599"/>
        <v/>
      </c>
      <c r="W1449" s="13" t="str">
        <f t="shared" si="600"/>
        <v/>
      </c>
      <c r="X1449" s="14" t="str">
        <f t="shared" si="601"/>
        <v/>
      </c>
    </row>
    <row r="1450" spans="20:24" x14ac:dyDescent="0.3">
      <c r="T1450" s="13" t="str">
        <f t="shared" si="597"/>
        <v/>
      </c>
      <c r="U1450" s="14" t="str">
        <f t="shared" si="598"/>
        <v/>
      </c>
      <c r="V1450" s="13" t="str">
        <f t="shared" si="599"/>
        <v/>
      </c>
      <c r="W1450" s="13" t="str">
        <f t="shared" si="600"/>
        <v/>
      </c>
      <c r="X1450" s="14" t="str">
        <f t="shared" si="601"/>
        <v/>
      </c>
    </row>
    <row r="1451" spans="20:24" x14ac:dyDescent="0.3">
      <c r="T1451" s="13" t="str">
        <f t="shared" si="597"/>
        <v/>
      </c>
      <c r="U1451" s="14" t="str">
        <f t="shared" si="598"/>
        <v/>
      </c>
      <c r="V1451" s="13" t="str">
        <f t="shared" si="599"/>
        <v/>
      </c>
      <c r="W1451" s="13" t="str">
        <f t="shared" si="600"/>
        <v/>
      </c>
      <c r="X1451" s="14" t="str">
        <f t="shared" si="601"/>
        <v/>
      </c>
    </row>
    <row r="1452" spans="20:24" x14ac:dyDescent="0.3">
      <c r="T1452" s="13" t="str">
        <f t="shared" si="597"/>
        <v/>
      </c>
      <c r="U1452" s="14" t="str">
        <f t="shared" si="598"/>
        <v/>
      </c>
      <c r="V1452" s="13" t="str">
        <f t="shared" si="599"/>
        <v/>
      </c>
      <c r="W1452" s="13" t="str">
        <f t="shared" si="600"/>
        <v/>
      </c>
      <c r="X1452" s="14" t="str">
        <f t="shared" si="601"/>
        <v/>
      </c>
    </row>
    <row r="1453" spans="20:24" x14ac:dyDescent="0.3">
      <c r="T1453" s="13" t="str">
        <f t="shared" si="597"/>
        <v/>
      </c>
      <c r="U1453" s="14" t="str">
        <f t="shared" si="598"/>
        <v/>
      </c>
      <c r="V1453" s="13" t="str">
        <f t="shared" si="599"/>
        <v/>
      </c>
      <c r="W1453" s="13" t="str">
        <f t="shared" si="600"/>
        <v/>
      </c>
      <c r="X1453" s="14" t="str">
        <f t="shared" si="601"/>
        <v/>
      </c>
    </row>
    <row r="1454" spans="20:24" x14ac:dyDescent="0.3">
      <c r="T1454" s="13" t="str">
        <f t="shared" si="597"/>
        <v/>
      </c>
      <c r="U1454" s="14" t="str">
        <f t="shared" si="598"/>
        <v/>
      </c>
      <c r="V1454" s="13" t="str">
        <f t="shared" si="599"/>
        <v/>
      </c>
      <c r="W1454" s="13" t="str">
        <f t="shared" si="600"/>
        <v/>
      </c>
      <c r="X1454" s="14" t="str">
        <f t="shared" si="601"/>
        <v/>
      </c>
    </row>
    <row r="1455" spans="20:24" x14ac:dyDescent="0.3">
      <c r="T1455" s="13" t="str">
        <f t="shared" si="597"/>
        <v/>
      </c>
      <c r="U1455" s="14" t="str">
        <f t="shared" si="598"/>
        <v/>
      </c>
      <c r="V1455" s="13" t="str">
        <f t="shared" si="599"/>
        <v/>
      </c>
      <c r="W1455" s="13" t="str">
        <f t="shared" si="600"/>
        <v/>
      </c>
      <c r="X1455" s="14" t="str">
        <f t="shared" si="601"/>
        <v/>
      </c>
    </row>
    <row r="1456" spans="20:24" x14ac:dyDescent="0.3">
      <c r="T1456" s="13" t="str">
        <f t="shared" si="597"/>
        <v/>
      </c>
      <c r="U1456" s="14" t="str">
        <f t="shared" si="598"/>
        <v/>
      </c>
      <c r="V1456" s="13" t="str">
        <f t="shared" si="599"/>
        <v/>
      </c>
      <c r="W1456" s="13" t="str">
        <f t="shared" si="600"/>
        <v/>
      </c>
      <c r="X1456" s="14" t="str">
        <f t="shared" si="601"/>
        <v/>
      </c>
    </row>
    <row r="1457" spans="20:24" x14ac:dyDescent="0.3">
      <c r="T1457" s="13" t="str">
        <f t="shared" si="597"/>
        <v/>
      </c>
      <c r="U1457" s="14" t="str">
        <f t="shared" si="598"/>
        <v/>
      </c>
      <c r="V1457" s="13" t="str">
        <f t="shared" si="599"/>
        <v/>
      </c>
      <c r="W1457" s="13" t="str">
        <f t="shared" si="600"/>
        <v/>
      </c>
      <c r="X1457" s="14" t="str">
        <f t="shared" si="601"/>
        <v/>
      </c>
    </row>
    <row r="1458" spans="20:24" x14ac:dyDescent="0.3">
      <c r="T1458" s="13" t="str">
        <f t="shared" si="597"/>
        <v/>
      </c>
      <c r="U1458" s="14" t="str">
        <f t="shared" si="598"/>
        <v/>
      </c>
      <c r="V1458" s="13" t="str">
        <f t="shared" si="599"/>
        <v/>
      </c>
      <c r="W1458" s="13" t="str">
        <f t="shared" si="600"/>
        <v/>
      </c>
      <c r="X1458" s="14" t="str">
        <f t="shared" si="601"/>
        <v/>
      </c>
    </row>
    <row r="1459" spans="20:24" x14ac:dyDescent="0.3">
      <c r="T1459" s="13" t="str">
        <f t="shared" si="597"/>
        <v/>
      </c>
      <c r="U1459" s="14" t="str">
        <f t="shared" si="598"/>
        <v/>
      </c>
      <c r="V1459" s="13" t="str">
        <f t="shared" si="599"/>
        <v/>
      </c>
      <c r="W1459" s="13" t="str">
        <f t="shared" si="600"/>
        <v/>
      </c>
      <c r="X1459" s="14" t="str">
        <f t="shared" si="601"/>
        <v/>
      </c>
    </row>
    <row r="1460" spans="20:24" x14ac:dyDescent="0.3">
      <c r="T1460" s="13" t="str">
        <f t="shared" si="597"/>
        <v/>
      </c>
      <c r="U1460" s="14" t="str">
        <f t="shared" si="598"/>
        <v/>
      </c>
      <c r="V1460" s="13" t="str">
        <f t="shared" si="599"/>
        <v/>
      </c>
      <c r="W1460" s="13" t="str">
        <f t="shared" si="600"/>
        <v/>
      </c>
      <c r="X1460" s="14" t="str">
        <f t="shared" si="601"/>
        <v/>
      </c>
    </row>
    <row r="1461" spans="20:24" x14ac:dyDescent="0.3">
      <c r="T1461" s="13" t="str">
        <f t="shared" si="597"/>
        <v/>
      </c>
      <c r="U1461" s="14" t="str">
        <f t="shared" si="598"/>
        <v/>
      </c>
      <c r="V1461" s="13" t="str">
        <f t="shared" si="599"/>
        <v/>
      </c>
      <c r="W1461" s="13" t="str">
        <f t="shared" si="600"/>
        <v/>
      </c>
      <c r="X1461" s="14" t="str">
        <f t="shared" si="601"/>
        <v/>
      </c>
    </row>
    <row r="1462" spans="20:24" x14ac:dyDescent="0.3">
      <c r="T1462" s="13" t="str">
        <f t="shared" si="597"/>
        <v/>
      </c>
      <c r="U1462" s="14" t="str">
        <f t="shared" si="598"/>
        <v/>
      </c>
      <c r="V1462" s="13" t="str">
        <f t="shared" si="599"/>
        <v/>
      </c>
      <c r="W1462" s="13" t="str">
        <f t="shared" si="600"/>
        <v/>
      </c>
      <c r="X1462" s="14" t="str">
        <f t="shared" si="601"/>
        <v/>
      </c>
    </row>
    <row r="1463" spans="20:24" x14ac:dyDescent="0.3">
      <c r="T1463" s="13" t="str">
        <f t="shared" si="597"/>
        <v/>
      </c>
      <c r="U1463" s="14" t="str">
        <f t="shared" si="598"/>
        <v/>
      </c>
      <c r="V1463" s="13" t="str">
        <f t="shared" si="599"/>
        <v/>
      </c>
      <c r="W1463" s="13" t="str">
        <f t="shared" si="600"/>
        <v/>
      </c>
      <c r="X1463" s="14" t="str">
        <f t="shared" si="601"/>
        <v/>
      </c>
    </row>
    <row r="1464" spans="20:24" x14ac:dyDescent="0.3">
      <c r="T1464" s="13" t="str">
        <f t="shared" si="597"/>
        <v/>
      </c>
      <c r="U1464" s="14" t="str">
        <f t="shared" si="598"/>
        <v/>
      </c>
      <c r="V1464" s="13" t="str">
        <f t="shared" si="599"/>
        <v/>
      </c>
      <c r="W1464" s="13" t="str">
        <f t="shared" si="600"/>
        <v/>
      </c>
      <c r="X1464" s="14" t="str">
        <f t="shared" si="601"/>
        <v/>
      </c>
    </row>
    <row r="1465" spans="20:24" x14ac:dyDescent="0.3">
      <c r="T1465" s="13" t="str">
        <f t="shared" si="597"/>
        <v/>
      </c>
      <c r="U1465" s="14" t="str">
        <f t="shared" si="598"/>
        <v/>
      </c>
      <c r="V1465" s="13" t="str">
        <f t="shared" si="599"/>
        <v/>
      </c>
      <c r="W1465" s="13" t="str">
        <f t="shared" si="600"/>
        <v/>
      </c>
      <c r="X1465" s="14" t="str">
        <f t="shared" si="601"/>
        <v/>
      </c>
    </row>
    <row r="1466" spans="20:24" x14ac:dyDescent="0.3">
      <c r="T1466" s="13" t="str">
        <f t="shared" si="597"/>
        <v/>
      </c>
      <c r="U1466" s="14" t="str">
        <f t="shared" si="598"/>
        <v/>
      </c>
      <c r="V1466" s="13" t="str">
        <f t="shared" si="599"/>
        <v/>
      </c>
      <c r="W1466" s="13" t="str">
        <f t="shared" si="600"/>
        <v/>
      </c>
      <c r="X1466" s="14" t="str">
        <f t="shared" si="601"/>
        <v/>
      </c>
    </row>
    <row r="1467" spans="20:24" x14ac:dyDescent="0.3">
      <c r="T1467" s="13" t="str">
        <f t="shared" si="597"/>
        <v/>
      </c>
      <c r="U1467" s="14" t="str">
        <f t="shared" si="598"/>
        <v/>
      </c>
      <c r="V1467" s="13" t="str">
        <f t="shared" si="599"/>
        <v/>
      </c>
      <c r="W1467" s="13" t="str">
        <f t="shared" si="600"/>
        <v/>
      </c>
      <c r="X1467" s="14" t="str">
        <f t="shared" si="601"/>
        <v/>
      </c>
    </row>
    <row r="1468" spans="20:24" x14ac:dyDescent="0.3">
      <c r="T1468" s="13" t="str">
        <f t="shared" si="597"/>
        <v/>
      </c>
      <c r="U1468" s="14" t="str">
        <f t="shared" si="598"/>
        <v/>
      </c>
      <c r="V1468" s="13" t="str">
        <f t="shared" si="599"/>
        <v/>
      </c>
      <c r="W1468" s="13" t="str">
        <f t="shared" si="600"/>
        <v/>
      </c>
      <c r="X1468" s="14" t="str">
        <f t="shared" si="601"/>
        <v/>
      </c>
    </row>
    <row r="1469" spans="20:24" x14ac:dyDescent="0.3">
      <c r="T1469" s="13" t="str">
        <f t="shared" si="597"/>
        <v/>
      </c>
      <c r="U1469" s="14" t="str">
        <f t="shared" si="598"/>
        <v/>
      </c>
      <c r="V1469" s="13" t="str">
        <f t="shared" si="599"/>
        <v/>
      </c>
      <c r="W1469" s="13" t="str">
        <f t="shared" si="600"/>
        <v/>
      </c>
      <c r="X1469" s="14" t="str">
        <f t="shared" si="601"/>
        <v/>
      </c>
    </row>
    <row r="1470" spans="20:24" x14ac:dyDescent="0.3">
      <c r="T1470" s="13" t="str">
        <f t="shared" si="597"/>
        <v/>
      </c>
      <c r="U1470" s="14" t="str">
        <f t="shared" si="598"/>
        <v/>
      </c>
      <c r="V1470" s="13" t="str">
        <f t="shared" si="599"/>
        <v/>
      </c>
      <c r="W1470" s="13" t="str">
        <f t="shared" si="600"/>
        <v/>
      </c>
      <c r="X1470" s="14" t="str">
        <f t="shared" si="601"/>
        <v/>
      </c>
    </row>
    <row r="1471" spans="20:24" x14ac:dyDescent="0.3">
      <c r="T1471" s="13" t="str">
        <f t="shared" si="597"/>
        <v/>
      </c>
      <c r="U1471" s="14" t="str">
        <f t="shared" si="598"/>
        <v/>
      </c>
      <c r="V1471" s="13" t="str">
        <f t="shared" si="599"/>
        <v/>
      </c>
      <c r="W1471" s="13" t="str">
        <f t="shared" si="600"/>
        <v/>
      </c>
      <c r="X1471" s="14" t="str">
        <f t="shared" si="601"/>
        <v/>
      </c>
    </row>
    <row r="1472" spans="20:24" x14ac:dyDescent="0.3">
      <c r="T1472" s="13" t="str">
        <f t="shared" si="597"/>
        <v/>
      </c>
      <c r="U1472" s="14" t="str">
        <f t="shared" si="598"/>
        <v/>
      </c>
      <c r="V1472" s="13" t="str">
        <f t="shared" si="599"/>
        <v/>
      </c>
      <c r="W1472" s="13" t="str">
        <f t="shared" si="600"/>
        <v/>
      </c>
      <c r="X1472" s="14" t="str">
        <f t="shared" si="601"/>
        <v/>
      </c>
    </row>
    <row r="1473" spans="20:24" x14ac:dyDescent="0.3">
      <c r="T1473" s="13" t="str">
        <f t="shared" si="597"/>
        <v/>
      </c>
      <c r="U1473" s="14" t="str">
        <f t="shared" si="598"/>
        <v/>
      </c>
      <c r="V1473" s="13" t="str">
        <f t="shared" si="599"/>
        <v/>
      </c>
      <c r="W1473" s="13" t="str">
        <f t="shared" si="600"/>
        <v/>
      </c>
      <c r="X1473" s="14" t="str">
        <f t="shared" si="601"/>
        <v/>
      </c>
    </row>
    <row r="1474" spans="20:24" x14ac:dyDescent="0.3">
      <c r="T1474" s="13" t="str">
        <f t="shared" si="597"/>
        <v/>
      </c>
      <c r="U1474" s="14" t="str">
        <f t="shared" si="598"/>
        <v/>
      </c>
      <c r="V1474" s="13" t="str">
        <f t="shared" si="599"/>
        <v/>
      </c>
      <c r="W1474" s="13" t="str">
        <f t="shared" si="600"/>
        <v/>
      </c>
      <c r="X1474" s="14" t="str">
        <f t="shared" si="601"/>
        <v/>
      </c>
    </row>
    <row r="1475" spans="20:24" x14ac:dyDescent="0.3">
      <c r="T1475" s="13" t="str">
        <f t="shared" si="597"/>
        <v/>
      </c>
      <c r="U1475" s="14" t="str">
        <f t="shared" si="598"/>
        <v/>
      </c>
      <c r="V1475" s="13" t="str">
        <f t="shared" si="599"/>
        <v/>
      </c>
      <c r="W1475" s="13" t="str">
        <f t="shared" si="600"/>
        <v/>
      </c>
      <c r="X1475" s="14" t="str">
        <f t="shared" si="601"/>
        <v/>
      </c>
    </row>
    <row r="1476" spans="20:24" x14ac:dyDescent="0.3">
      <c r="T1476" s="13" t="str">
        <f t="shared" si="597"/>
        <v/>
      </c>
      <c r="U1476" s="14" t="str">
        <f t="shared" si="598"/>
        <v/>
      </c>
      <c r="V1476" s="13" t="str">
        <f t="shared" si="599"/>
        <v/>
      </c>
      <c r="W1476" s="13" t="str">
        <f t="shared" si="600"/>
        <v/>
      </c>
      <c r="X1476" s="14" t="str">
        <f t="shared" si="601"/>
        <v/>
      </c>
    </row>
    <row r="1477" spans="20:24" x14ac:dyDescent="0.3">
      <c r="T1477" s="13" t="str">
        <f t="shared" si="597"/>
        <v/>
      </c>
      <c r="U1477" s="14" t="str">
        <f t="shared" si="598"/>
        <v/>
      </c>
      <c r="V1477" s="13" t="str">
        <f t="shared" si="599"/>
        <v/>
      </c>
      <c r="W1477" s="13" t="str">
        <f t="shared" si="600"/>
        <v/>
      </c>
      <c r="X1477" s="14" t="str">
        <f t="shared" si="601"/>
        <v/>
      </c>
    </row>
    <row r="1478" spans="20:24" x14ac:dyDescent="0.3">
      <c r="T1478" s="13" t="str">
        <f t="shared" si="597"/>
        <v/>
      </c>
      <c r="U1478" s="14" t="str">
        <f t="shared" si="598"/>
        <v/>
      </c>
      <c r="V1478" s="13" t="str">
        <f t="shared" si="599"/>
        <v/>
      </c>
      <c r="W1478" s="13" t="str">
        <f t="shared" si="600"/>
        <v/>
      </c>
      <c r="X1478" s="14" t="str">
        <f t="shared" si="601"/>
        <v/>
      </c>
    </row>
    <row r="1479" spans="20:24" x14ac:dyDescent="0.3">
      <c r="T1479" s="13" t="str">
        <f t="shared" si="597"/>
        <v/>
      </c>
      <c r="U1479" s="14" t="str">
        <f t="shared" si="598"/>
        <v/>
      </c>
      <c r="V1479" s="13" t="str">
        <f t="shared" si="599"/>
        <v/>
      </c>
      <c r="W1479" s="13" t="str">
        <f t="shared" si="600"/>
        <v/>
      </c>
      <c r="X1479" s="14" t="str">
        <f t="shared" si="601"/>
        <v/>
      </c>
    </row>
    <row r="1480" spans="20:24" x14ac:dyDescent="0.3">
      <c r="T1480" s="13" t="str">
        <f t="shared" si="597"/>
        <v/>
      </c>
      <c r="U1480" s="14" t="str">
        <f t="shared" si="598"/>
        <v/>
      </c>
      <c r="V1480" s="13" t="str">
        <f t="shared" si="599"/>
        <v/>
      </c>
      <c r="W1480" s="13" t="str">
        <f t="shared" si="600"/>
        <v/>
      </c>
      <c r="X1480" s="14" t="str">
        <f t="shared" si="601"/>
        <v/>
      </c>
    </row>
    <row r="1481" spans="20:24" x14ac:dyDescent="0.3">
      <c r="T1481" s="13" t="str">
        <f t="shared" si="597"/>
        <v/>
      </c>
      <c r="U1481" s="14" t="str">
        <f t="shared" si="598"/>
        <v/>
      </c>
      <c r="V1481" s="13" t="str">
        <f t="shared" si="599"/>
        <v/>
      </c>
      <c r="W1481" s="13" t="str">
        <f t="shared" si="600"/>
        <v/>
      </c>
      <c r="X1481" s="14" t="str">
        <f t="shared" si="601"/>
        <v/>
      </c>
    </row>
    <row r="1482" spans="20:24" x14ac:dyDescent="0.3">
      <c r="T1482" s="13" t="str">
        <f t="shared" si="597"/>
        <v/>
      </c>
      <c r="U1482" s="14" t="str">
        <f t="shared" si="598"/>
        <v/>
      </c>
      <c r="V1482" s="13" t="str">
        <f t="shared" si="599"/>
        <v/>
      </c>
      <c r="W1482" s="13" t="str">
        <f t="shared" si="600"/>
        <v/>
      </c>
      <c r="X1482" s="14" t="str">
        <f t="shared" si="601"/>
        <v/>
      </c>
    </row>
    <row r="1483" spans="20:24" x14ac:dyDescent="0.3">
      <c r="T1483" s="13" t="str">
        <f t="shared" si="597"/>
        <v/>
      </c>
      <c r="U1483" s="14" t="str">
        <f t="shared" si="598"/>
        <v/>
      </c>
      <c r="V1483" s="13" t="str">
        <f t="shared" si="599"/>
        <v/>
      </c>
      <c r="W1483" s="13" t="str">
        <f t="shared" si="600"/>
        <v/>
      </c>
      <c r="X1483" s="14" t="str">
        <f t="shared" si="601"/>
        <v/>
      </c>
    </row>
    <row r="1484" spans="20:24" x14ac:dyDescent="0.3">
      <c r="T1484" s="13" t="str">
        <f t="shared" si="597"/>
        <v/>
      </c>
      <c r="U1484" s="14" t="str">
        <f t="shared" si="598"/>
        <v/>
      </c>
      <c r="V1484" s="13" t="str">
        <f t="shared" si="599"/>
        <v/>
      </c>
      <c r="W1484" s="13" t="str">
        <f t="shared" si="600"/>
        <v/>
      </c>
      <c r="X1484" s="14" t="str">
        <f t="shared" si="601"/>
        <v/>
      </c>
    </row>
    <row r="1485" spans="20:24" x14ac:dyDescent="0.3">
      <c r="T1485" s="13" t="str">
        <f t="shared" si="597"/>
        <v/>
      </c>
      <c r="U1485" s="14" t="str">
        <f t="shared" si="598"/>
        <v/>
      </c>
      <c r="V1485" s="13" t="str">
        <f t="shared" si="599"/>
        <v/>
      </c>
      <c r="W1485" s="13" t="str">
        <f t="shared" si="600"/>
        <v/>
      </c>
      <c r="X1485" s="14" t="str">
        <f t="shared" si="601"/>
        <v/>
      </c>
    </row>
    <row r="1486" spans="20:24" x14ac:dyDescent="0.3">
      <c r="T1486" s="13" t="str">
        <f t="shared" si="597"/>
        <v/>
      </c>
      <c r="U1486" s="14" t="str">
        <f t="shared" si="598"/>
        <v/>
      </c>
      <c r="V1486" s="13" t="str">
        <f t="shared" si="599"/>
        <v/>
      </c>
      <c r="W1486" s="13" t="str">
        <f t="shared" si="600"/>
        <v/>
      </c>
      <c r="X1486" s="14" t="str">
        <f t="shared" si="601"/>
        <v/>
      </c>
    </row>
    <row r="1487" spans="20:24" x14ac:dyDescent="0.3">
      <c r="T1487" s="13" t="str">
        <f t="shared" si="597"/>
        <v/>
      </c>
      <c r="U1487" s="14" t="str">
        <f t="shared" si="598"/>
        <v/>
      </c>
      <c r="V1487" s="13" t="str">
        <f t="shared" si="599"/>
        <v/>
      </c>
      <c r="W1487" s="13" t="str">
        <f t="shared" si="600"/>
        <v/>
      </c>
      <c r="X1487" s="14" t="str">
        <f t="shared" si="601"/>
        <v/>
      </c>
    </row>
    <row r="1488" spans="20:24" x14ac:dyDescent="0.3">
      <c r="T1488" s="13" t="str">
        <f t="shared" si="597"/>
        <v/>
      </c>
      <c r="U1488" s="14" t="str">
        <f t="shared" si="598"/>
        <v/>
      </c>
      <c r="V1488" s="13" t="str">
        <f t="shared" si="599"/>
        <v/>
      </c>
      <c r="W1488" s="13" t="str">
        <f t="shared" si="600"/>
        <v/>
      </c>
      <c r="X1488" s="14" t="str">
        <f t="shared" si="601"/>
        <v/>
      </c>
    </row>
    <row r="1489" spans="20:24" x14ac:dyDescent="0.3">
      <c r="T1489" s="13" t="str">
        <f t="shared" si="597"/>
        <v/>
      </c>
      <c r="U1489" s="14" t="str">
        <f t="shared" si="598"/>
        <v/>
      </c>
      <c r="V1489" s="13" t="str">
        <f t="shared" si="599"/>
        <v/>
      </c>
      <c r="W1489" s="13" t="str">
        <f t="shared" si="600"/>
        <v/>
      </c>
      <c r="X1489" s="14" t="str">
        <f t="shared" si="601"/>
        <v/>
      </c>
    </row>
    <row r="1490" spans="20:24" x14ac:dyDescent="0.3">
      <c r="T1490" s="13" t="str">
        <f t="shared" si="597"/>
        <v/>
      </c>
      <c r="U1490" s="14" t="str">
        <f t="shared" si="598"/>
        <v/>
      </c>
      <c r="V1490" s="13" t="str">
        <f t="shared" si="599"/>
        <v/>
      </c>
      <c r="W1490" s="13" t="str">
        <f t="shared" si="600"/>
        <v/>
      </c>
      <c r="X1490" s="14" t="str">
        <f t="shared" si="601"/>
        <v/>
      </c>
    </row>
    <row r="1491" spans="20:24" x14ac:dyDescent="0.3">
      <c r="T1491" s="13" t="str">
        <f t="shared" ref="T1491:T1554" si="602">IF(A1491="",IF(A1490="","",$T$1),IF(O1491=1,"#",IF(B1491=0,"*",DEC2HEX(R1491))))</f>
        <v/>
      </c>
      <c r="U1491" s="14" t="str">
        <f t="shared" ref="U1491:U1554" si="603">IF(A1491="",IF(A1490="","",$U$1),  IF(B1491=0,Q1491,I1491)  )</f>
        <v/>
      </c>
      <c r="V1491" s="13" t="str">
        <f t="shared" ref="V1491:V1554" si="604">IF(U1491=$U$1,"",IF(A1491="",IF(A1490="","",1),  IF(B1491=0,1,D1491)  ))</f>
        <v/>
      </c>
      <c r="W1491" s="13" t="str">
        <f t="shared" ref="W1491:W1554" si="605">IF(U1491=$U$1,"",IF(A1491="",IF(A1490="","",0),  IF(C1491=0,0,0)  ))</f>
        <v/>
      </c>
      <c r="X1491" s="14" t="str">
        <f t="shared" ref="X1491:X1554" si="606">IF(U1491=$U$1,"",IF(U1491="","",IF(B1491&gt;0,IF(Q1491&lt;&gt;"",Q1491,"No description"),"-")))</f>
        <v/>
      </c>
    </row>
    <row r="1492" spans="20:24" x14ac:dyDescent="0.3">
      <c r="T1492" s="13" t="str">
        <f t="shared" si="602"/>
        <v/>
      </c>
      <c r="U1492" s="14" t="str">
        <f t="shared" si="603"/>
        <v/>
      </c>
      <c r="V1492" s="13" t="str">
        <f t="shared" si="604"/>
        <v/>
      </c>
      <c r="W1492" s="13" t="str">
        <f t="shared" si="605"/>
        <v/>
      </c>
      <c r="X1492" s="14" t="str">
        <f t="shared" si="606"/>
        <v/>
      </c>
    </row>
    <row r="1493" spans="20:24" x14ac:dyDescent="0.3">
      <c r="T1493" s="13" t="str">
        <f t="shared" si="602"/>
        <v/>
      </c>
      <c r="U1493" s="14" t="str">
        <f t="shared" si="603"/>
        <v/>
      </c>
      <c r="V1493" s="13" t="str">
        <f t="shared" si="604"/>
        <v/>
      </c>
      <c r="W1493" s="13" t="str">
        <f t="shared" si="605"/>
        <v/>
      </c>
      <c r="X1493" s="14" t="str">
        <f t="shared" si="606"/>
        <v/>
      </c>
    </row>
    <row r="1494" spans="20:24" x14ac:dyDescent="0.3">
      <c r="T1494" s="13" t="str">
        <f t="shared" si="602"/>
        <v/>
      </c>
      <c r="U1494" s="14" t="str">
        <f t="shared" si="603"/>
        <v/>
      </c>
      <c r="V1494" s="13" t="str">
        <f t="shared" si="604"/>
        <v/>
      </c>
      <c r="W1494" s="13" t="str">
        <f t="shared" si="605"/>
        <v/>
      </c>
      <c r="X1494" s="14" t="str">
        <f t="shared" si="606"/>
        <v/>
      </c>
    </row>
    <row r="1495" spans="20:24" x14ac:dyDescent="0.3">
      <c r="T1495" s="13" t="str">
        <f t="shared" si="602"/>
        <v/>
      </c>
      <c r="U1495" s="14" t="str">
        <f t="shared" si="603"/>
        <v/>
      </c>
      <c r="V1495" s="13" t="str">
        <f t="shared" si="604"/>
        <v/>
      </c>
      <c r="W1495" s="13" t="str">
        <f t="shared" si="605"/>
        <v/>
      </c>
      <c r="X1495" s="14" t="str">
        <f t="shared" si="606"/>
        <v/>
      </c>
    </row>
    <row r="1496" spans="20:24" x14ac:dyDescent="0.3">
      <c r="T1496" s="13" t="str">
        <f t="shared" si="602"/>
        <v/>
      </c>
      <c r="U1496" s="14" t="str">
        <f t="shared" si="603"/>
        <v/>
      </c>
      <c r="V1496" s="13" t="str">
        <f t="shared" si="604"/>
        <v/>
      </c>
      <c r="W1496" s="13" t="str">
        <f t="shared" si="605"/>
        <v/>
      </c>
      <c r="X1496" s="14" t="str">
        <f t="shared" si="606"/>
        <v/>
      </c>
    </row>
    <row r="1497" spans="20:24" x14ac:dyDescent="0.3">
      <c r="T1497" s="13" t="str">
        <f t="shared" si="602"/>
        <v/>
      </c>
      <c r="U1497" s="14" t="str">
        <f t="shared" si="603"/>
        <v/>
      </c>
      <c r="V1497" s="13" t="str">
        <f t="shared" si="604"/>
        <v/>
      </c>
      <c r="W1497" s="13" t="str">
        <f t="shared" si="605"/>
        <v/>
      </c>
      <c r="X1497" s="14" t="str">
        <f t="shared" si="606"/>
        <v/>
      </c>
    </row>
    <row r="1498" spans="20:24" x14ac:dyDescent="0.3">
      <c r="T1498" s="13" t="str">
        <f t="shared" si="602"/>
        <v/>
      </c>
      <c r="U1498" s="14" t="str">
        <f t="shared" si="603"/>
        <v/>
      </c>
      <c r="V1498" s="13" t="str">
        <f t="shared" si="604"/>
        <v/>
      </c>
      <c r="W1498" s="13" t="str">
        <f t="shared" si="605"/>
        <v/>
      </c>
      <c r="X1498" s="14" t="str">
        <f t="shared" si="606"/>
        <v/>
      </c>
    </row>
    <row r="1499" spans="20:24" x14ac:dyDescent="0.3">
      <c r="T1499" s="13" t="str">
        <f t="shared" si="602"/>
        <v/>
      </c>
      <c r="U1499" s="14" t="str">
        <f t="shared" si="603"/>
        <v/>
      </c>
      <c r="V1499" s="13" t="str">
        <f t="shared" si="604"/>
        <v/>
      </c>
      <c r="W1499" s="13" t="str">
        <f t="shared" si="605"/>
        <v/>
      </c>
      <c r="X1499" s="14" t="str">
        <f t="shared" si="606"/>
        <v/>
      </c>
    </row>
    <row r="1500" spans="20:24" x14ac:dyDescent="0.3">
      <c r="T1500" s="13" t="str">
        <f t="shared" si="602"/>
        <v/>
      </c>
      <c r="U1500" s="14" t="str">
        <f t="shared" si="603"/>
        <v/>
      </c>
      <c r="V1500" s="13" t="str">
        <f t="shared" si="604"/>
        <v/>
      </c>
      <c r="W1500" s="13" t="str">
        <f t="shared" si="605"/>
        <v/>
      </c>
      <c r="X1500" s="14" t="str">
        <f t="shared" si="606"/>
        <v/>
      </c>
    </row>
    <row r="1501" spans="20:24" x14ac:dyDescent="0.3">
      <c r="T1501" s="13" t="str">
        <f t="shared" si="602"/>
        <v/>
      </c>
      <c r="U1501" s="14" t="str">
        <f t="shared" si="603"/>
        <v/>
      </c>
      <c r="V1501" s="13" t="str">
        <f t="shared" si="604"/>
        <v/>
      </c>
      <c r="W1501" s="13" t="str">
        <f t="shared" si="605"/>
        <v/>
      </c>
      <c r="X1501" s="14" t="str">
        <f t="shared" si="606"/>
        <v/>
      </c>
    </row>
    <row r="1502" spans="20:24" x14ac:dyDescent="0.3">
      <c r="T1502" s="13" t="str">
        <f t="shared" si="602"/>
        <v/>
      </c>
      <c r="U1502" s="14" t="str">
        <f t="shared" si="603"/>
        <v/>
      </c>
      <c r="V1502" s="13" t="str">
        <f t="shared" si="604"/>
        <v/>
      </c>
      <c r="W1502" s="13" t="str">
        <f t="shared" si="605"/>
        <v/>
      </c>
      <c r="X1502" s="14" t="str">
        <f t="shared" si="606"/>
        <v/>
      </c>
    </row>
    <row r="1503" spans="20:24" x14ac:dyDescent="0.3">
      <c r="T1503" s="13" t="str">
        <f t="shared" si="602"/>
        <v/>
      </c>
      <c r="U1503" s="14" t="str">
        <f t="shared" si="603"/>
        <v/>
      </c>
      <c r="V1503" s="13" t="str">
        <f t="shared" si="604"/>
        <v/>
      </c>
      <c r="W1503" s="13" t="str">
        <f t="shared" si="605"/>
        <v/>
      </c>
      <c r="X1503" s="14" t="str">
        <f t="shared" si="606"/>
        <v/>
      </c>
    </row>
    <row r="1504" spans="20:24" x14ac:dyDescent="0.3">
      <c r="T1504" s="13" t="str">
        <f t="shared" si="602"/>
        <v/>
      </c>
      <c r="U1504" s="14" t="str">
        <f t="shared" si="603"/>
        <v/>
      </c>
      <c r="V1504" s="13" t="str">
        <f t="shared" si="604"/>
        <v/>
      </c>
      <c r="W1504" s="13" t="str">
        <f t="shared" si="605"/>
        <v/>
      </c>
      <c r="X1504" s="14" t="str">
        <f t="shared" si="606"/>
        <v/>
      </c>
    </row>
    <row r="1505" spans="20:24" x14ac:dyDescent="0.3">
      <c r="T1505" s="13" t="str">
        <f t="shared" si="602"/>
        <v/>
      </c>
      <c r="U1505" s="14" t="str">
        <f t="shared" si="603"/>
        <v/>
      </c>
      <c r="V1505" s="13" t="str">
        <f t="shared" si="604"/>
        <v/>
      </c>
      <c r="W1505" s="13" t="str">
        <f t="shared" si="605"/>
        <v/>
      </c>
      <c r="X1505" s="14" t="str">
        <f t="shared" si="606"/>
        <v/>
      </c>
    </row>
    <row r="1506" spans="20:24" x14ac:dyDescent="0.3">
      <c r="T1506" s="13" t="str">
        <f t="shared" si="602"/>
        <v/>
      </c>
      <c r="U1506" s="14" t="str">
        <f t="shared" si="603"/>
        <v/>
      </c>
      <c r="V1506" s="13" t="str">
        <f t="shared" si="604"/>
        <v/>
      </c>
      <c r="W1506" s="13" t="str">
        <f t="shared" si="605"/>
        <v/>
      </c>
      <c r="X1506" s="14" t="str">
        <f t="shared" si="606"/>
        <v/>
      </c>
    </row>
    <row r="1507" spans="20:24" x14ac:dyDescent="0.3">
      <c r="T1507" s="13" t="str">
        <f t="shared" si="602"/>
        <v/>
      </c>
      <c r="U1507" s="14" t="str">
        <f t="shared" si="603"/>
        <v/>
      </c>
      <c r="V1507" s="13" t="str">
        <f t="shared" si="604"/>
        <v/>
      </c>
      <c r="W1507" s="13" t="str">
        <f t="shared" si="605"/>
        <v/>
      </c>
      <c r="X1507" s="14" t="str">
        <f t="shared" si="606"/>
        <v/>
      </c>
    </row>
    <row r="1508" spans="20:24" x14ac:dyDescent="0.3">
      <c r="T1508" s="13" t="str">
        <f t="shared" si="602"/>
        <v/>
      </c>
      <c r="U1508" s="14" t="str">
        <f t="shared" si="603"/>
        <v/>
      </c>
      <c r="V1508" s="13" t="str">
        <f t="shared" si="604"/>
        <v/>
      </c>
      <c r="W1508" s="13" t="str">
        <f t="shared" si="605"/>
        <v/>
      </c>
      <c r="X1508" s="14" t="str">
        <f t="shared" si="606"/>
        <v/>
      </c>
    </row>
    <row r="1509" spans="20:24" x14ac:dyDescent="0.3">
      <c r="T1509" s="13" t="str">
        <f t="shared" si="602"/>
        <v/>
      </c>
      <c r="U1509" s="14" t="str">
        <f t="shared" si="603"/>
        <v/>
      </c>
      <c r="V1509" s="13" t="str">
        <f t="shared" si="604"/>
        <v/>
      </c>
      <c r="W1509" s="13" t="str">
        <f t="shared" si="605"/>
        <v/>
      </c>
      <c r="X1509" s="14" t="str">
        <f t="shared" si="606"/>
        <v/>
      </c>
    </row>
    <row r="1510" spans="20:24" x14ac:dyDescent="0.3">
      <c r="T1510" s="13" t="str">
        <f t="shared" si="602"/>
        <v/>
      </c>
      <c r="U1510" s="14" t="str">
        <f t="shared" si="603"/>
        <v/>
      </c>
      <c r="V1510" s="13" t="str">
        <f t="shared" si="604"/>
        <v/>
      </c>
      <c r="W1510" s="13" t="str">
        <f t="shared" si="605"/>
        <v/>
      </c>
      <c r="X1510" s="14" t="str">
        <f t="shared" si="606"/>
        <v/>
      </c>
    </row>
    <row r="1511" spans="20:24" x14ac:dyDescent="0.3">
      <c r="T1511" s="13" t="str">
        <f t="shared" si="602"/>
        <v/>
      </c>
      <c r="U1511" s="14" t="str">
        <f t="shared" si="603"/>
        <v/>
      </c>
      <c r="V1511" s="13" t="str">
        <f t="shared" si="604"/>
        <v/>
      </c>
      <c r="W1511" s="13" t="str">
        <f t="shared" si="605"/>
        <v/>
      </c>
      <c r="X1511" s="14" t="str">
        <f t="shared" si="606"/>
        <v/>
      </c>
    </row>
    <row r="1512" spans="20:24" x14ac:dyDescent="0.3">
      <c r="T1512" s="13" t="str">
        <f t="shared" si="602"/>
        <v/>
      </c>
      <c r="U1512" s="14" t="str">
        <f t="shared" si="603"/>
        <v/>
      </c>
      <c r="V1512" s="13" t="str">
        <f t="shared" si="604"/>
        <v/>
      </c>
      <c r="W1512" s="13" t="str">
        <f t="shared" si="605"/>
        <v/>
      </c>
      <c r="X1512" s="14" t="str">
        <f t="shared" si="606"/>
        <v/>
      </c>
    </row>
    <row r="1513" spans="20:24" x14ac:dyDescent="0.3">
      <c r="T1513" s="13" t="str">
        <f t="shared" si="602"/>
        <v/>
      </c>
      <c r="U1513" s="14" t="str">
        <f t="shared" si="603"/>
        <v/>
      </c>
      <c r="V1513" s="13" t="str">
        <f t="shared" si="604"/>
        <v/>
      </c>
      <c r="W1513" s="13" t="str">
        <f t="shared" si="605"/>
        <v/>
      </c>
      <c r="X1513" s="14" t="str">
        <f t="shared" si="606"/>
        <v/>
      </c>
    </row>
    <row r="1514" spans="20:24" x14ac:dyDescent="0.3">
      <c r="T1514" s="13" t="str">
        <f t="shared" si="602"/>
        <v/>
      </c>
      <c r="U1514" s="14" t="str">
        <f t="shared" si="603"/>
        <v/>
      </c>
      <c r="V1514" s="13" t="str">
        <f t="shared" si="604"/>
        <v/>
      </c>
      <c r="W1514" s="13" t="str">
        <f t="shared" si="605"/>
        <v/>
      </c>
      <c r="X1514" s="14" t="str">
        <f t="shared" si="606"/>
        <v/>
      </c>
    </row>
    <row r="1515" spans="20:24" x14ac:dyDescent="0.3">
      <c r="T1515" s="13" t="str">
        <f t="shared" si="602"/>
        <v/>
      </c>
      <c r="U1515" s="14" t="str">
        <f t="shared" si="603"/>
        <v/>
      </c>
      <c r="V1515" s="13" t="str">
        <f t="shared" si="604"/>
        <v/>
      </c>
      <c r="W1515" s="13" t="str">
        <f t="shared" si="605"/>
        <v/>
      </c>
      <c r="X1515" s="14" t="str">
        <f t="shared" si="606"/>
        <v/>
      </c>
    </row>
    <row r="1516" spans="20:24" x14ac:dyDescent="0.3">
      <c r="T1516" s="13" t="str">
        <f t="shared" si="602"/>
        <v/>
      </c>
      <c r="U1516" s="14" t="str">
        <f t="shared" si="603"/>
        <v/>
      </c>
      <c r="V1516" s="13" t="str">
        <f t="shared" si="604"/>
        <v/>
      </c>
      <c r="W1516" s="13" t="str">
        <f t="shared" si="605"/>
        <v/>
      </c>
      <c r="X1516" s="14" t="str">
        <f t="shared" si="606"/>
        <v/>
      </c>
    </row>
    <row r="1517" spans="20:24" x14ac:dyDescent="0.3">
      <c r="T1517" s="13" t="str">
        <f t="shared" si="602"/>
        <v/>
      </c>
      <c r="U1517" s="14" t="str">
        <f t="shared" si="603"/>
        <v/>
      </c>
      <c r="V1517" s="13" t="str">
        <f t="shared" si="604"/>
        <v/>
      </c>
      <c r="W1517" s="13" t="str">
        <f t="shared" si="605"/>
        <v/>
      </c>
      <c r="X1517" s="14" t="str">
        <f t="shared" si="606"/>
        <v/>
      </c>
    </row>
    <row r="1518" spans="20:24" x14ac:dyDescent="0.3">
      <c r="T1518" s="13" t="str">
        <f t="shared" si="602"/>
        <v/>
      </c>
      <c r="U1518" s="14" t="str">
        <f t="shared" si="603"/>
        <v/>
      </c>
      <c r="V1518" s="13" t="str">
        <f t="shared" si="604"/>
        <v/>
      </c>
      <c r="W1518" s="13" t="str">
        <f t="shared" si="605"/>
        <v/>
      </c>
      <c r="X1518" s="14" t="str">
        <f t="shared" si="606"/>
        <v/>
      </c>
    </row>
    <row r="1519" spans="20:24" x14ac:dyDescent="0.3">
      <c r="T1519" s="13" t="str">
        <f t="shared" si="602"/>
        <v/>
      </c>
      <c r="U1519" s="14" t="str">
        <f t="shared" si="603"/>
        <v/>
      </c>
      <c r="V1519" s="13" t="str">
        <f t="shared" si="604"/>
        <v/>
      </c>
      <c r="W1519" s="13" t="str">
        <f t="shared" si="605"/>
        <v/>
      </c>
      <c r="X1519" s="14" t="str">
        <f t="shared" si="606"/>
        <v/>
      </c>
    </row>
    <row r="1520" spans="20:24" x14ac:dyDescent="0.3">
      <c r="T1520" s="13" t="str">
        <f t="shared" si="602"/>
        <v/>
      </c>
      <c r="U1520" s="14" t="str">
        <f t="shared" si="603"/>
        <v/>
      </c>
      <c r="V1520" s="13" t="str">
        <f t="shared" si="604"/>
        <v/>
      </c>
      <c r="W1520" s="13" t="str">
        <f t="shared" si="605"/>
        <v/>
      </c>
      <c r="X1520" s="14" t="str">
        <f t="shared" si="606"/>
        <v/>
      </c>
    </row>
    <row r="1521" spans="20:24" x14ac:dyDescent="0.3">
      <c r="T1521" s="13" t="str">
        <f t="shared" si="602"/>
        <v/>
      </c>
      <c r="U1521" s="14" t="str">
        <f t="shared" si="603"/>
        <v/>
      </c>
      <c r="V1521" s="13" t="str">
        <f t="shared" si="604"/>
        <v/>
      </c>
      <c r="W1521" s="13" t="str">
        <f t="shared" si="605"/>
        <v/>
      </c>
      <c r="X1521" s="14" t="str">
        <f t="shared" si="606"/>
        <v/>
      </c>
    </row>
    <row r="1522" spans="20:24" x14ac:dyDescent="0.3">
      <c r="T1522" s="13" t="str">
        <f t="shared" si="602"/>
        <v/>
      </c>
      <c r="U1522" s="14" t="str">
        <f t="shared" si="603"/>
        <v/>
      </c>
      <c r="V1522" s="13" t="str">
        <f t="shared" si="604"/>
        <v/>
      </c>
      <c r="W1522" s="13" t="str">
        <f t="shared" si="605"/>
        <v/>
      </c>
      <c r="X1522" s="14" t="str">
        <f t="shared" si="606"/>
        <v/>
      </c>
    </row>
    <row r="1523" spans="20:24" x14ac:dyDescent="0.3">
      <c r="T1523" s="13" t="str">
        <f t="shared" si="602"/>
        <v/>
      </c>
      <c r="U1523" s="14" t="str">
        <f t="shared" si="603"/>
        <v/>
      </c>
      <c r="V1523" s="13" t="str">
        <f t="shared" si="604"/>
        <v/>
      </c>
      <c r="W1523" s="13" t="str">
        <f t="shared" si="605"/>
        <v/>
      </c>
      <c r="X1523" s="14" t="str">
        <f t="shared" si="606"/>
        <v/>
      </c>
    </row>
    <row r="1524" spans="20:24" x14ac:dyDescent="0.3">
      <c r="T1524" s="13" t="str">
        <f t="shared" si="602"/>
        <v/>
      </c>
      <c r="U1524" s="14" t="str">
        <f t="shared" si="603"/>
        <v/>
      </c>
      <c r="V1524" s="13" t="str">
        <f t="shared" si="604"/>
        <v/>
      </c>
      <c r="W1524" s="13" t="str">
        <f t="shared" si="605"/>
        <v/>
      </c>
      <c r="X1524" s="14" t="str">
        <f t="shared" si="606"/>
        <v/>
      </c>
    </row>
    <row r="1525" spans="20:24" x14ac:dyDescent="0.3">
      <c r="T1525" s="13" t="str">
        <f t="shared" si="602"/>
        <v/>
      </c>
      <c r="U1525" s="14" t="str">
        <f t="shared" si="603"/>
        <v/>
      </c>
      <c r="V1525" s="13" t="str">
        <f t="shared" si="604"/>
        <v/>
      </c>
      <c r="W1525" s="13" t="str">
        <f t="shared" si="605"/>
        <v/>
      </c>
      <c r="X1525" s="14" t="str">
        <f t="shared" si="606"/>
        <v/>
      </c>
    </row>
    <row r="1526" spans="20:24" x14ac:dyDescent="0.3">
      <c r="T1526" s="13" t="str">
        <f t="shared" si="602"/>
        <v/>
      </c>
      <c r="U1526" s="14" t="str">
        <f t="shared" si="603"/>
        <v/>
      </c>
      <c r="V1526" s="13" t="str">
        <f t="shared" si="604"/>
        <v/>
      </c>
      <c r="W1526" s="13" t="str">
        <f t="shared" si="605"/>
        <v/>
      </c>
      <c r="X1526" s="14" t="str">
        <f t="shared" si="606"/>
        <v/>
      </c>
    </row>
    <row r="1527" spans="20:24" x14ac:dyDescent="0.3">
      <c r="T1527" s="13" t="str">
        <f t="shared" si="602"/>
        <v/>
      </c>
      <c r="U1527" s="14" t="str">
        <f t="shared" si="603"/>
        <v/>
      </c>
      <c r="V1527" s="13" t="str">
        <f t="shared" si="604"/>
        <v/>
      </c>
      <c r="W1527" s="13" t="str">
        <f t="shared" si="605"/>
        <v/>
      </c>
      <c r="X1527" s="14" t="str">
        <f t="shared" si="606"/>
        <v/>
      </c>
    </row>
    <row r="1528" spans="20:24" x14ac:dyDescent="0.3">
      <c r="T1528" s="13" t="str">
        <f t="shared" si="602"/>
        <v/>
      </c>
      <c r="U1528" s="14" t="str">
        <f t="shared" si="603"/>
        <v/>
      </c>
      <c r="V1528" s="13" t="str">
        <f t="shared" si="604"/>
        <v/>
      </c>
      <c r="W1528" s="13" t="str">
        <f t="shared" si="605"/>
        <v/>
      </c>
      <c r="X1528" s="14" t="str">
        <f t="shared" si="606"/>
        <v/>
      </c>
    </row>
    <row r="1529" spans="20:24" x14ac:dyDescent="0.3">
      <c r="T1529" s="13" t="str">
        <f t="shared" si="602"/>
        <v/>
      </c>
      <c r="U1529" s="14" t="str">
        <f t="shared" si="603"/>
        <v/>
      </c>
      <c r="V1529" s="13" t="str">
        <f t="shared" si="604"/>
        <v/>
      </c>
      <c r="W1529" s="13" t="str">
        <f t="shared" si="605"/>
        <v/>
      </c>
      <c r="X1529" s="14" t="str">
        <f t="shared" si="606"/>
        <v/>
      </c>
    </row>
    <row r="1530" spans="20:24" x14ac:dyDescent="0.3">
      <c r="T1530" s="13" t="str">
        <f t="shared" si="602"/>
        <v/>
      </c>
      <c r="U1530" s="14" t="str">
        <f t="shared" si="603"/>
        <v/>
      </c>
      <c r="V1530" s="13" t="str">
        <f t="shared" si="604"/>
        <v/>
      </c>
      <c r="W1530" s="13" t="str">
        <f t="shared" si="605"/>
        <v/>
      </c>
      <c r="X1530" s="14" t="str">
        <f t="shared" si="606"/>
        <v/>
      </c>
    </row>
    <row r="1531" spans="20:24" x14ac:dyDescent="0.3">
      <c r="T1531" s="13" t="str">
        <f t="shared" si="602"/>
        <v/>
      </c>
      <c r="U1531" s="14" t="str">
        <f t="shared" si="603"/>
        <v/>
      </c>
      <c r="V1531" s="13" t="str">
        <f t="shared" si="604"/>
        <v/>
      </c>
      <c r="W1531" s="13" t="str">
        <f t="shared" si="605"/>
        <v/>
      </c>
      <c r="X1531" s="14" t="str">
        <f t="shared" si="606"/>
        <v/>
      </c>
    </row>
    <row r="1532" spans="20:24" x14ac:dyDescent="0.3">
      <c r="T1532" s="13" t="str">
        <f t="shared" si="602"/>
        <v/>
      </c>
      <c r="U1532" s="14" t="str">
        <f t="shared" si="603"/>
        <v/>
      </c>
      <c r="V1532" s="13" t="str">
        <f t="shared" si="604"/>
        <v/>
      </c>
      <c r="W1532" s="13" t="str">
        <f t="shared" si="605"/>
        <v/>
      </c>
      <c r="X1532" s="14" t="str">
        <f t="shared" si="606"/>
        <v/>
      </c>
    </row>
    <row r="1533" spans="20:24" x14ac:dyDescent="0.3">
      <c r="T1533" s="13" t="str">
        <f t="shared" si="602"/>
        <v/>
      </c>
      <c r="U1533" s="14" t="str">
        <f t="shared" si="603"/>
        <v/>
      </c>
      <c r="V1533" s="13" t="str">
        <f t="shared" si="604"/>
        <v/>
      </c>
      <c r="W1533" s="13" t="str">
        <f t="shared" si="605"/>
        <v/>
      </c>
      <c r="X1533" s="14" t="str">
        <f t="shared" si="606"/>
        <v/>
      </c>
    </row>
    <row r="1534" spans="20:24" x14ac:dyDescent="0.3">
      <c r="T1534" s="13" t="str">
        <f t="shared" si="602"/>
        <v/>
      </c>
      <c r="U1534" s="14" t="str">
        <f t="shared" si="603"/>
        <v/>
      </c>
      <c r="V1534" s="13" t="str">
        <f t="shared" si="604"/>
        <v/>
      </c>
      <c r="W1534" s="13" t="str">
        <f t="shared" si="605"/>
        <v/>
      </c>
      <c r="X1534" s="14" t="str">
        <f t="shared" si="606"/>
        <v/>
      </c>
    </row>
    <row r="1535" spans="20:24" x14ac:dyDescent="0.3">
      <c r="T1535" s="13" t="str">
        <f t="shared" si="602"/>
        <v/>
      </c>
      <c r="U1535" s="14" t="str">
        <f t="shared" si="603"/>
        <v/>
      </c>
      <c r="V1535" s="13" t="str">
        <f t="shared" si="604"/>
        <v/>
      </c>
      <c r="W1535" s="13" t="str">
        <f t="shared" si="605"/>
        <v/>
      </c>
      <c r="X1535" s="14" t="str">
        <f t="shared" si="606"/>
        <v/>
      </c>
    </row>
    <row r="1536" spans="20:24" x14ac:dyDescent="0.3">
      <c r="T1536" s="13" t="str">
        <f t="shared" si="602"/>
        <v/>
      </c>
      <c r="U1536" s="14" t="str">
        <f t="shared" si="603"/>
        <v/>
      </c>
      <c r="V1536" s="13" t="str">
        <f t="shared" si="604"/>
        <v/>
      </c>
      <c r="W1536" s="13" t="str">
        <f t="shared" si="605"/>
        <v/>
      </c>
      <c r="X1536" s="14" t="str">
        <f t="shared" si="606"/>
        <v/>
      </c>
    </row>
    <row r="1537" spans="20:24" x14ac:dyDescent="0.3">
      <c r="T1537" s="13" t="str">
        <f t="shared" si="602"/>
        <v/>
      </c>
      <c r="U1537" s="14" t="str">
        <f t="shared" si="603"/>
        <v/>
      </c>
      <c r="V1537" s="13" t="str">
        <f t="shared" si="604"/>
        <v/>
      </c>
      <c r="W1537" s="13" t="str">
        <f t="shared" si="605"/>
        <v/>
      </c>
      <c r="X1537" s="14" t="str">
        <f t="shared" si="606"/>
        <v/>
      </c>
    </row>
    <row r="1538" spans="20:24" x14ac:dyDescent="0.3">
      <c r="T1538" s="13" t="str">
        <f t="shared" si="602"/>
        <v/>
      </c>
      <c r="U1538" s="14" t="str">
        <f t="shared" si="603"/>
        <v/>
      </c>
      <c r="V1538" s="13" t="str">
        <f t="shared" si="604"/>
        <v/>
      </c>
      <c r="W1538" s="13" t="str">
        <f t="shared" si="605"/>
        <v/>
      </c>
      <c r="X1538" s="14" t="str">
        <f t="shared" si="606"/>
        <v/>
      </c>
    </row>
    <row r="1539" spans="20:24" x14ac:dyDescent="0.3">
      <c r="T1539" s="13" t="str">
        <f t="shared" si="602"/>
        <v/>
      </c>
      <c r="U1539" s="14" t="str">
        <f t="shared" si="603"/>
        <v/>
      </c>
      <c r="V1539" s="13" t="str">
        <f t="shared" si="604"/>
        <v/>
      </c>
      <c r="W1539" s="13" t="str">
        <f t="shared" si="605"/>
        <v/>
      </c>
      <c r="X1539" s="14" t="str">
        <f t="shared" si="606"/>
        <v/>
      </c>
    </row>
    <row r="1540" spans="20:24" x14ac:dyDescent="0.3">
      <c r="T1540" s="13" t="str">
        <f t="shared" si="602"/>
        <v/>
      </c>
      <c r="U1540" s="14" t="str">
        <f t="shared" si="603"/>
        <v/>
      </c>
      <c r="V1540" s="13" t="str">
        <f t="shared" si="604"/>
        <v/>
      </c>
      <c r="W1540" s="13" t="str">
        <f t="shared" si="605"/>
        <v/>
      </c>
      <c r="X1540" s="14" t="str">
        <f t="shared" si="606"/>
        <v/>
      </c>
    </row>
    <row r="1541" spans="20:24" x14ac:dyDescent="0.3">
      <c r="T1541" s="13" t="str">
        <f t="shared" si="602"/>
        <v/>
      </c>
      <c r="U1541" s="14" t="str">
        <f t="shared" si="603"/>
        <v/>
      </c>
      <c r="V1541" s="13" t="str">
        <f t="shared" si="604"/>
        <v/>
      </c>
      <c r="W1541" s="13" t="str">
        <f t="shared" si="605"/>
        <v/>
      </c>
      <c r="X1541" s="14" t="str">
        <f t="shared" si="606"/>
        <v/>
      </c>
    </row>
    <row r="1542" spans="20:24" x14ac:dyDescent="0.3">
      <c r="T1542" s="13" t="str">
        <f t="shared" si="602"/>
        <v/>
      </c>
      <c r="U1542" s="14" t="str">
        <f t="shared" si="603"/>
        <v/>
      </c>
      <c r="V1542" s="13" t="str">
        <f t="shared" si="604"/>
        <v/>
      </c>
      <c r="W1542" s="13" t="str">
        <f t="shared" si="605"/>
        <v/>
      </c>
      <c r="X1542" s="14" t="str">
        <f t="shared" si="606"/>
        <v/>
      </c>
    </row>
    <row r="1543" spans="20:24" x14ac:dyDescent="0.3">
      <c r="T1543" s="13" t="str">
        <f t="shared" si="602"/>
        <v/>
      </c>
      <c r="U1543" s="14" t="str">
        <f t="shared" si="603"/>
        <v/>
      </c>
      <c r="V1543" s="13" t="str">
        <f t="shared" si="604"/>
        <v/>
      </c>
      <c r="W1543" s="13" t="str">
        <f t="shared" si="605"/>
        <v/>
      </c>
      <c r="X1543" s="14" t="str">
        <f t="shared" si="606"/>
        <v/>
      </c>
    </row>
    <row r="1544" spans="20:24" x14ac:dyDescent="0.3">
      <c r="T1544" s="13" t="str">
        <f t="shared" si="602"/>
        <v/>
      </c>
      <c r="U1544" s="14" t="str">
        <f t="shared" si="603"/>
        <v/>
      </c>
      <c r="V1544" s="13" t="str">
        <f t="shared" si="604"/>
        <v/>
      </c>
      <c r="W1544" s="13" t="str">
        <f t="shared" si="605"/>
        <v/>
      </c>
      <c r="X1544" s="14" t="str">
        <f t="shared" si="606"/>
        <v/>
      </c>
    </row>
    <row r="1545" spans="20:24" x14ac:dyDescent="0.3">
      <c r="T1545" s="13" t="str">
        <f t="shared" si="602"/>
        <v/>
      </c>
      <c r="U1545" s="14" t="str">
        <f t="shared" si="603"/>
        <v/>
      </c>
      <c r="V1545" s="13" t="str">
        <f t="shared" si="604"/>
        <v/>
      </c>
      <c r="W1545" s="13" t="str">
        <f t="shared" si="605"/>
        <v/>
      </c>
      <c r="X1545" s="14" t="str">
        <f t="shared" si="606"/>
        <v/>
      </c>
    </row>
    <row r="1546" spans="20:24" x14ac:dyDescent="0.3">
      <c r="T1546" s="13" t="str">
        <f t="shared" si="602"/>
        <v/>
      </c>
      <c r="U1546" s="14" t="str">
        <f t="shared" si="603"/>
        <v/>
      </c>
      <c r="V1546" s="13" t="str">
        <f t="shared" si="604"/>
        <v/>
      </c>
      <c r="W1546" s="13" t="str">
        <f t="shared" si="605"/>
        <v/>
      </c>
      <c r="X1546" s="14" t="str">
        <f t="shared" si="606"/>
        <v/>
      </c>
    </row>
    <row r="1547" spans="20:24" x14ac:dyDescent="0.3">
      <c r="T1547" s="13" t="str">
        <f t="shared" si="602"/>
        <v/>
      </c>
      <c r="U1547" s="14" t="str">
        <f t="shared" si="603"/>
        <v/>
      </c>
      <c r="V1547" s="13" t="str">
        <f t="shared" si="604"/>
        <v/>
      </c>
      <c r="W1547" s="13" t="str">
        <f t="shared" si="605"/>
        <v/>
      </c>
      <c r="X1547" s="14" t="str">
        <f t="shared" si="606"/>
        <v/>
      </c>
    </row>
    <row r="1548" spans="20:24" x14ac:dyDescent="0.3">
      <c r="T1548" s="13" t="str">
        <f t="shared" si="602"/>
        <v/>
      </c>
      <c r="U1548" s="14" t="str">
        <f t="shared" si="603"/>
        <v/>
      </c>
      <c r="V1548" s="13" t="str">
        <f t="shared" si="604"/>
        <v/>
      </c>
      <c r="W1548" s="13" t="str">
        <f t="shared" si="605"/>
        <v/>
      </c>
      <c r="X1548" s="14" t="str">
        <f t="shared" si="606"/>
        <v/>
      </c>
    </row>
    <row r="1549" spans="20:24" x14ac:dyDescent="0.3">
      <c r="T1549" s="13" t="str">
        <f t="shared" si="602"/>
        <v/>
      </c>
      <c r="U1549" s="14" t="str">
        <f t="shared" si="603"/>
        <v/>
      </c>
      <c r="V1549" s="13" t="str">
        <f t="shared" si="604"/>
        <v/>
      </c>
      <c r="W1549" s="13" t="str">
        <f t="shared" si="605"/>
        <v/>
      </c>
      <c r="X1549" s="14" t="str">
        <f t="shared" si="606"/>
        <v/>
      </c>
    </row>
    <row r="1550" spans="20:24" x14ac:dyDescent="0.3">
      <c r="T1550" s="13" t="str">
        <f t="shared" si="602"/>
        <v/>
      </c>
      <c r="U1550" s="14" t="str">
        <f t="shared" si="603"/>
        <v/>
      </c>
      <c r="V1550" s="13" t="str">
        <f t="shared" si="604"/>
        <v/>
      </c>
      <c r="W1550" s="13" t="str">
        <f t="shared" si="605"/>
        <v/>
      </c>
      <c r="X1550" s="14" t="str">
        <f t="shared" si="606"/>
        <v/>
      </c>
    </row>
    <row r="1551" spans="20:24" x14ac:dyDescent="0.3">
      <c r="T1551" s="13" t="str">
        <f t="shared" si="602"/>
        <v/>
      </c>
      <c r="U1551" s="14" t="str">
        <f t="shared" si="603"/>
        <v/>
      </c>
      <c r="V1551" s="13" t="str">
        <f t="shared" si="604"/>
        <v/>
      </c>
      <c r="W1551" s="13" t="str">
        <f t="shared" si="605"/>
        <v/>
      </c>
      <c r="X1551" s="14" t="str">
        <f t="shared" si="606"/>
        <v/>
      </c>
    </row>
    <row r="1552" spans="20:24" x14ac:dyDescent="0.3">
      <c r="T1552" s="13" t="str">
        <f t="shared" si="602"/>
        <v/>
      </c>
      <c r="U1552" s="14" t="str">
        <f t="shared" si="603"/>
        <v/>
      </c>
      <c r="V1552" s="13" t="str">
        <f t="shared" si="604"/>
        <v/>
      </c>
      <c r="W1552" s="13" t="str">
        <f t="shared" si="605"/>
        <v/>
      </c>
      <c r="X1552" s="14" t="str">
        <f t="shared" si="606"/>
        <v/>
      </c>
    </row>
    <row r="1553" spans="20:24" x14ac:dyDescent="0.3">
      <c r="T1553" s="13" t="str">
        <f t="shared" si="602"/>
        <v/>
      </c>
      <c r="U1553" s="14" t="str">
        <f t="shared" si="603"/>
        <v/>
      </c>
      <c r="V1553" s="13" t="str">
        <f t="shared" si="604"/>
        <v/>
      </c>
      <c r="W1553" s="13" t="str">
        <f t="shared" si="605"/>
        <v/>
      </c>
      <c r="X1553" s="14" t="str">
        <f t="shared" si="606"/>
        <v/>
      </c>
    </row>
    <row r="1554" spans="20:24" x14ac:dyDescent="0.3">
      <c r="T1554" s="13" t="str">
        <f t="shared" si="602"/>
        <v/>
      </c>
      <c r="U1554" s="14" t="str">
        <f t="shared" si="603"/>
        <v/>
      </c>
      <c r="V1554" s="13" t="str">
        <f t="shared" si="604"/>
        <v/>
      </c>
      <c r="W1554" s="13" t="str">
        <f t="shared" si="605"/>
        <v/>
      </c>
      <c r="X1554" s="14" t="str">
        <f t="shared" si="606"/>
        <v/>
      </c>
    </row>
    <row r="1555" spans="20:24" x14ac:dyDescent="0.3">
      <c r="T1555" s="13" t="str">
        <f t="shared" ref="T1555:T1618" si="607">IF(A1555="",IF(A1554="","",$T$1),IF(O1555=1,"#",IF(B1555=0,"*",DEC2HEX(R1555))))</f>
        <v/>
      </c>
      <c r="U1555" s="14" t="str">
        <f t="shared" ref="U1555:U1618" si="608">IF(A1555="",IF(A1554="","",$U$1),  IF(B1555=0,Q1555,I1555)  )</f>
        <v/>
      </c>
      <c r="V1555" s="13" t="str">
        <f t="shared" ref="V1555:V1618" si="609">IF(U1555=$U$1,"",IF(A1555="",IF(A1554="","",1),  IF(B1555=0,1,D1555)  ))</f>
        <v/>
      </c>
      <c r="W1555" s="13" t="str">
        <f t="shared" ref="W1555:W1618" si="610">IF(U1555=$U$1,"",IF(A1555="",IF(A1554="","",0),  IF(C1555=0,0,0)  ))</f>
        <v/>
      </c>
      <c r="X1555" s="14" t="str">
        <f t="shared" ref="X1555:X1618" si="611">IF(U1555=$U$1,"",IF(U1555="","",IF(B1555&gt;0,IF(Q1555&lt;&gt;"",Q1555,"No description"),"-")))</f>
        <v/>
      </c>
    </row>
    <row r="1556" spans="20:24" x14ac:dyDescent="0.3">
      <c r="T1556" s="13" t="str">
        <f t="shared" si="607"/>
        <v/>
      </c>
      <c r="U1556" s="14" t="str">
        <f t="shared" si="608"/>
        <v/>
      </c>
      <c r="V1556" s="13" t="str">
        <f t="shared" si="609"/>
        <v/>
      </c>
      <c r="W1556" s="13" t="str">
        <f t="shared" si="610"/>
        <v/>
      </c>
      <c r="X1556" s="14" t="str">
        <f t="shared" si="611"/>
        <v/>
      </c>
    </row>
    <row r="1557" spans="20:24" x14ac:dyDescent="0.3">
      <c r="T1557" s="13" t="str">
        <f t="shared" si="607"/>
        <v/>
      </c>
      <c r="U1557" s="14" t="str">
        <f t="shared" si="608"/>
        <v/>
      </c>
      <c r="V1557" s="13" t="str">
        <f t="shared" si="609"/>
        <v/>
      </c>
      <c r="W1557" s="13" t="str">
        <f t="shared" si="610"/>
        <v/>
      </c>
      <c r="X1557" s="14" t="str">
        <f t="shared" si="611"/>
        <v/>
      </c>
    </row>
    <row r="1558" spans="20:24" x14ac:dyDescent="0.3">
      <c r="T1558" s="13" t="str">
        <f t="shared" si="607"/>
        <v/>
      </c>
      <c r="U1558" s="14" t="str">
        <f t="shared" si="608"/>
        <v/>
      </c>
      <c r="V1558" s="13" t="str">
        <f t="shared" si="609"/>
        <v/>
      </c>
      <c r="W1558" s="13" t="str">
        <f t="shared" si="610"/>
        <v/>
      </c>
      <c r="X1558" s="14" t="str">
        <f t="shared" si="611"/>
        <v/>
      </c>
    </row>
    <row r="1559" spans="20:24" x14ac:dyDescent="0.3">
      <c r="T1559" s="13" t="str">
        <f t="shared" si="607"/>
        <v/>
      </c>
      <c r="U1559" s="14" t="str">
        <f t="shared" si="608"/>
        <v/>
      </c>
      <c r="V1559" s="13" t="str">
        <f t="shared" si="609"/>
        <v/>
      </c>
      <c r="W1559" s="13" t="str">
        <f t="shared" si="610"/>
        <v/>
      </c>
      <c r="X1559" s="14" t="str">
        <f t="shared" si="611"/>
        <v/>
      </c>
    </row>
    <row r="1560" spans="20:24" x14ac:dyDescent="0.3">
      <c r="T1560" s="13" t="str">
        <f t="shared" si="607"/>
        <v/>
      </c>
      <c r="U1560" s="14" t="str">
        <f t="shared" si="608"/>
        <v/>
      </c>
      <c r="V1560" s="13" t="str">
        <f t="shared" si="609"/>
        <v/>
      </c>
      <c r="W1560" s="13" t="str">
        <f t="shared" si="610"/>
        <v/>
      </c>
      <c r="X1560" s="14" t="str">
        <f t="shared" si="611"/>
        <v/>
      </c>
    </row>
    <row r="1561" spans="20:24" x14ac:dyDescent="0.3">
      <c r="T1561" s="13" t="str">
        <f t="shared" si="607"/>
        <v/>
      </c>
      <c r="U1561" s="14" t="str">
        <f t="shared" si="608"/>
        <v/>
      </c>
      <c r="V1561" s="13" t="str">
        <f t="shared" si="609"/>
        <v/>
      </c>
      <c r="W1561" s="13" t="str">
        <f t="shared" si="610"/>
        <v/>
      </c>
      <c r="X1561" s="14" t="str">
        <f t="shared" si="611"/>
        <v/>
      </c>
    </row>
    <row r="1562" spans="20:24" x14ac:dyDescent="0.3">
      <c r="T1562" s="13" t="str">
        <f t="shared" si="607"/>
        <v/>
      </c>
      <c r="U1562" s="14" t="str">
        <f t="shared" si="608"/>
        <v/>
      </c>
      <c r="V1562" s="13" t="str">
        <f t="shared" si="609"/>
        <v/>
      </c>
      <c r="W1562" s="13" t="str">
        <f t="shared" si="610"/>
        <v/>
      </c>
      <c r="X1562" s="14" t="str">
        <f t="shared" si="611"/>
        <v/>
      </c>
    </row>
    <row r="1563" spans="20:24" x14ac:dyDescent="0.3">
      <c r="T1563" s="13" t="str">
        <f t="shared" si="607"/>
        <v/>
      </c>
      <c r="U1563" s="14" t="str">
        <f t="shared" si="608"/>
        <v/>
      </c>
      <c r="V1563" s="13" t="str">
        <f t="shared" si="609"/>
        <v/>
      </c>
      <c r="W1563" s="13" t="str">
        <f t="shared" si="610"/>
        <v/>
      </c>
      <c r="X1563" s="14" t="str">
        <f t="shared" si="611"/>
        <v/>
      </c>
    </row>
    <row r="1564" spans="20:24" x14ac:dyDescent="0.3">
      <c r="T1564" s="13" t="str">
        <f t="shared" si="607"/>
        <v/>
      </c>
      <c r="U1564" s="14" t="str">
        <f t="shared" si="608"/>
        <v/>
      </c>
      <c r="V1564" s="13" t="str">
        <f t="shared" si="609"/>
        <v/>
      </c>
      <c r="W1564" s="13" t="str">
        <f t="shared" si="610"/>
        <v/>
      </c>
      <c r="X1564" s="14" t="str">
        <f t="shared" si="611"/>
        <v/>
      </c>
    </row>
    <row r="1565" spans="20:24" x14ac:dyDescent="0.3">
      <c r="T1565" s="13" t="str">
        <f t="shared" si="607"/>
        <v/>
      </c>
      <c r="U1565" s="14" t="str">
        <f t="shared" si="608"/>
        <v/>
      </c>
      <c r="V1565" s="13" t="str">
        <f t="shared" si="609"/>
        <v/>
      </c>
      <c r="W1565" s="13" t="str">
        <f t="shared" si="610"/>
        <v/>
      </c>
      <c r="X1565" s="14" t="str">
        <f t="shared" si="611"/>
        <v/>
      </c>
    </row>
    <row r="1566" spans="20:24" x14ac:dyDescent="0.3">
      <c r="T1566" s="13" t="str">
        <f t="shared" si="607"/>
        <v/>
      </c>
      <c r="U1566" s="14" t="str">
        <f t="shared" si="608"/>
        <v/>
      </c>
      <c r="V1566" s="13" t="str">
        <f t="shared" si="609"/>
        <v/>
      </c>
      <c r="W1566" s="13" t="str">
        <f t="shared" si="610"/>
        <v/>
      </c>
      <c r="X1566" s="14" t="str">
        <f t="shared" si="611"/>
        <v/>
      </c>
    </row>
    <row r="1567" spans="20:24" x14ac:dyDescent="0.3">
      <c r="T1567" s="13" t="str">
        <f t="shared" si="607"/>
        <v/>
      </c>
      <c r="U1567" s="14" t="str">
        <f t="shared" si="608"/>
        <v/>
      </c>
      <c r="V1567" s="13" t="str">
        <f t="shared" si="609"/>
        <v/>
      </c>
      <c r="W1567" s="13" t="str">
        <f t="shared" si="610"/>
        <v/>
      </c>
      <c r="X1567" s="14" t="str">
        <f t="shared" si="611"/>
        <v/>
      </c>
    </row>
    <row r="1568" spans="20:24" x14ac:dyDescent="0.3">
      <c r="T1568" s="13" t="str">
        <f t="shared" si="607"/>
        <v/>
      </c>
      <c r="U1568" s="14" t="str">
        <f t="shared" si="608"/>
        <v/>
      </c>
      <c r="V1568" s="13" t="str">
        <f t="shared" si="609"/>
        <v/>
      </c>
      <c r="W1568" s="13" t="str">
        <f t="shared" si="610"/>
        <v/>
      </c>
      <c r="X1568" s="14" t="str">
        <f t="shared" si="611"/>
        <v/>
      </c>
    </row>
    <row r="1569" spans="20:24" x14ac:dyDescent="0.3">
      <c r="T1569" s="13" t="str">
        <f t="shared" si="607"/>
        <v/>
      </c>
      <c r="U1569" s="14" t="str">
        <f t="shared" si="608"/>
        <v/>
      </c>
      <c r="V1569" s="13" t="str">
        <f t="shared" si="609"/>
        <v/>
      </c>
      <c r="W1569" s="13" t="str">
        <f t="shared" si="610"/>
        <v/>
      </c>
      <c r="X1569" s="14" t="str">
        <f t="shared" si="611"/>
        <v/>
      </c>
    </row>
    <row r="1570" spans="20:24" x14ac:dyDescent="0.3">
      <c r="T1570" s="13" t="str">
        <f t="shared" si="607"/>
        <v/>
      </c>
      <c r="U1570" s="14" t="str">
        <f t="shared" si="608"/>
        <v/>
      </c>
      <c r="V1570" s="13" t="str">
        <f t="shared" si="609"/>
        <v/>
      </c>
      <c r="W1570" s="13" t="str">
        <f t="shared" si="610"/>
        <v/>
      </c>
      <c r="X1570" s="14" t="str">
        <f t="shared" si="611"/>
        <v/>
      </c>
    </row>
    <row r="1571" spans="20:24" x14ac:dyDescent="0.3">
      <c r="T1571" s="13" t="str">
        <f t="shared" si="607"/>
        <v/>
      </c>
      <c r="U1571" s="14" t="str">
        <f t="shared" si="608"/>
        <v/>
      </c>
      <c r="V1571" s="13" t="str">
        <f t="shared" si="609"/>
        <v/>
      </c>
      <c r="W1571" s="13" t="str">
        <f t="shared" si="610"/>
        <v/>
      </c>
      <c r="X1571" s="14" t="str">
        <f t="shared" si="611"/>
        <v/>
      </c>
    </row>
    <row r="1572" spans="20:24" x14ac:dyDescent="0.3">
      <c r="T1572" s="13" t="str">
        <f t="shared" si="607"/>
        <v/>
      </c>
      <c r="U1572" s="14" t="str">
        <f t="shared" si="608"/>
        <v/>
      </c>
      <c r="V1572" s="13" t="str">
        <f t="shared" si="609"/>
        <v/>
      </c>
      <c r="W1572" s="13" t="str">
        <f t="shared" si="610"/>
        <v/>
      </c>
      <c r="X1572" s="14" t="str">
        <f t="shared" si="611"/>
        <v/>
      </c>
    </row>
    <row r="1573" spans="20:24" x14ac:dyDescent="0.3">
      <c r="T1573" s="13" t="str">
        <f t="shared" si="607"/>
        <v/>
      </c>
      <c r="U1573" s="14" t="str">
        <f t="shared" si="608"/>
        <v/>
      </c>
      <c r="V1573" s="13" t="str">
        <f t="shared" si="609"/>
        <v/>
      </c>
      <c r="W1573" s="13" t="str">
        <f t="shared" si="610"/>
        <v/>
      </c>
      <c r="X1573" s="14" t="str">
        <f t="shared" si="611"/>
        <v/>
      </c>
    </row>
    <row r="1574" spans="20:24" x14ac:dyDescent="0.3">
      <c r="T1574" s="13" t="str">
        <f t="shared" si="607"/>
        <v/>
      </c>
      <c r="U1574" s="14" t="str">
        <f t="shared" si="608"/>
        <v/>
      </c>
      <c r="V1574" s="13" t="str">
        <f t="shared" si="609"/>
        <v/>
      </c>
      <c r="W1574" s="13" t="str">
        <f t="shared" si="610"/>
        <v/>
      </c>
      <c r="X1574" s="14" t="str">
        <f t="shared" si="611"/>
        <v/>
      </c>
    </row>
    <row r="1575" spans="20:24" x14ac:dyDescent="0.3">
      <c r="T1575" s="13" t="str">
        <f t="shared" si="607"/>
        <v/>
      </c>
      <c r="U1575" s="14" t="str">
        <f t="shared" si="608"/>
        <v/>
      </c>
      <c r="V1575" s="13" t="str">
        <f t="shared" si="609"/>
        <v/>
      </c>
      <c r="W1575" s="13" t="str">
        <f t="shared" si="610"/>
        <v/>
      </c>
      <c r="X1575" s="14" t="str">
        <f t="shared" si="611"/>
        <v/>
      </c>
    </row>
    <row r="1576" spans="20:24" x14ac:dyDescent="0.3">
      <c r="T1576" s="13" t="str">
        <f t="shared" si="607"/>
        <v/>
      </c>
      <c r="U1576" s="14" t="str">
        <f t="shared" si="608"/>
        <v/>
      </c>
      <c r="V1576" s="13" t="str">
        <f t="shared" si="609"/>
        <v/>
      </c>
      <c r="W1576" s="13" t="str">
        <f t="shared" si="610"/>
        <v/>
      </c>
      <c r="X1576" s="14" t="str">
        <f t="shared" si="611"/>
        <v/>
      </c>
    </row>
    <row r="1577" spans="20:24" x14ac:dyDescent="0.3">
      <c r="T1577" s="13" t="str">
        <f t="shared" si="607"/>
        <v/>
      </c>
      <c r="U1577" s="14" t="str">
        <f t="shared" si="608"/>
        <v/>
      </c>
      <c r="V1577" s="13" t="str">
        <f t="shared" si="609"/>
        <v/>
      </c>
      <c r="W1577" s="13" t="str">
        <f t="shared" si="610"/>
        <v/>
      </c>
      <c r="X1577" s="14" t="str">
        <f t="shared" si="611"/>
        <v/>
      </c>
    </row>
    <row r="1578" spans="20:24" x14ac:dyDescent="0.3">
      <c r="T1578" s="13" t="str">
        <f t="shared" si="607"/>
        <v/>
      </c>
      <c r="U1578" s="14" t="str">
        <f t="shared" si="608"/>
        <v/>
      </c>
      <c r="V1578" s="13" t="str">
        <f t="shared" si="609"/>
        <v/>
      </c>
      <c r="W1578" s="13" t="str">
        <f t="shared" si="610"/>
        <v/>
      </c>
      <c r="X1578" s="14" t="str">
        <f t="shared" si="611"/>
        <v/>
      </c>
    </row>
    <row r="1579" spans="20:24" x14ac:dyDescent="0.3">
      <c r="T1579" s="13" t="str">
        <f t="shared" si="607"/>
        <v/>
      </c>
      <c r="U1579" s="14" t="str">
        <f t="shared" si="608"/>
        <v/>
      </c>
      <c r="V1579" s="13" t="str">
        <f t="shared" si="609"/>
        <v/>
      </c>
      <c r="W1579" s="13" t="str">
        <f t="shared" si="610"/>
        <v/>
      </c>
      <c r="X1579" s="14" t="str">
        <f t="shared" si="611"/>
        <v/>
      </c>
    </row>
    <row r="1580" spans="20:24" x14ac:dyDescent="0.3">
      <c r="T1580" s="13" t="str">
        <f t="shared" si="607"/>
        <v/>
      </c>
      <c r="U1580" s="14" t="str">
        <f t="shared" si="608"/>
        <v/>
      </c>
      <c r="V1580" s="13" t="str">
        <f t="shared" si="609"/>
        <v/>
      </c>
      <c r="W1580" s="13" t="str">
        <f t="shared" si="610"/>
        <v/>
      </c>
      <c r="X1580" s="14" t="str">
        <f t="shared" si="611"/>
        <v/>
      </c>
    </row>
    <row r="1581" spans="20:24" x14ac:dyDescent="0.3">
      <c r="T1581" s="13" t="str">
        <f t="shared" si="607"/>
        <v/>
      </c>
      <c r="U1581" s="14" t="str">
        <f t="shared" si="608"/>
        <v/>
      </c>
      <c r="V1581" s="13" t="str">
        <f t="shared" si="609"/>
        <v/>
      </c>
      <c r="W1581" s="13" t="str">
        <f t="shared" si="610"/>
        <v/>
      </c>
      <c r="X1581" s="14" t="str">
        <f t="shared" si="611"/>
        <v/>
      </c>
    </row>
    <row r="1582" spans="20:24" x14ac:dyDescent="0.3">
      <c r="T1582" s="13" t="str">
        <f t="shared" si="607"/>
        <v/>
      </c>
      <c r="U1582" s="14" t="str">
        <f t="shared" si="608"/>
        <v/>
      </c>
      <c r="V1582" s="13" t="str">
        <f t="shared" si="609"/>
        <v/>
      </c>
      <c r="W1582" s="13" t="str">
        <f t="shared" si="610"/>
        <v/>
      </c>
      <c r="X1582" s="14" t="str">
        <f t="shared" si="611"/>
        <v/>
      </c>
    </row>
    <row r="1583" spans="20:24" x14ac:dyDescent="0.3">
      <c r="T1583" s="13" t="str">
        <f t="shared" si="607"/>
        <v/>
      </c>
      <c r="U1583" s="14" t="str">
        <f t="shared" si="608"/>
        <v/>
      </c>
      <c r="V1583" s="13" t="str">
        <f t="shared" si="609"/>
        <v/>
      </c>
      <c r="W1583" s="13" t="str">
        <f t="shared" si="610"/>
        <v/>
      </c>
      <c r="X1583" s="14" t="str">
        <f t="shared" si="611"/>
        <v/>
      </c>
    </row>
    <row r="1584" spans="20:24" x14ac:dyDescent="0.3">
      <c r="T1584" s="13" t="str">
        <f t="shared" si="607"/>
        <v/>
      </c>
      <c r="U1584" s="14" t="str">
        <f t="shared" si="608"/>
        <v/>
      </c>
      <c r="V1584" s="13" t="str">
        <f t="shared" si="609"/>
        <v/>
      </c>
      <c r="W1584" s="13" t="str">
        <f t="shared" si="610"/>
        <v/>
      </c>
      <c r="X1584" s="14" t="str">
        <f t="shared" si="611"/>
        <v/>
      </c>
    </row>
    <row r="1585" spans="20:24" x14ac:dyDescent="0.3">
      <c r="T1585" s="13" t="str">
        <f t="shared" si="607"/>
        <v/>
      </c>
      <c r="U1585" s="14" t="str">
        <f t="shared" si="608"/>
        <v/>
      </c>
      <c r="V1585" s="13" t="str">
        <f t="shared" si="609"/>
        <v/>
      </c>
      <c r="W1585" s="13" t="str">
        <f t="shared" si="610"/>
        <v/>
      </c>
      <c r="X1585" s="14" t="str">
        <f t="shared" si="611"/>
        <v/>
      </c>
    </row>
    <row r="1586" spans="20:24" x14ac:dyDescent="0.3">
      <c r="T1586" s="13" t="str">
        <f t="shared" si="607"/>
        <v/>
      </c>
      <c r="U1586" s="14" t="str">
        <f t="shared" si="608"/>
        <v/>
      </c>
      <c r="V1586" s="13" t="str">
        <f t="shared" si="609"/>
        <v/>
      </c>
      <c r="W1586" s="13" t="str">
        <f t="shared" si="610"/>
        <v/>
      </c>
      <c r="X1586" s="14" t="str">
        <f t="shared" si="611"/>
        <v/>
      </c>
    </row>
    <row r="1587" spans="20:24" x14ac:dyDescent="0.3">
      <c r="T1587" s="13" t="str">
        <f t="shared" si="607"/>
        <v/>
      </c>
      <c r="U1587" s="14" t="str">
        <f t="shared" si="608"/>
        <v/>
      </c>
      <c r="V1587" s="13" t="str">
        <f t="shared" si="609"/>
        <v/>
      </c>
      <c r="W1587" s="13" t="str">
        <f t="shared" si="610"/>
        <v/>
      </c>
      <c r="X1587" s="14" t="str">
        <f t="shared" si="611"/>
        <v/>
      </c>
    </row>
    <row r="1588" spans="20:24" x14ac:dyDescent="0.3">
      <c r="T1588" s="13" t="str">
        <f t="shared" si="607"/>
        <v/>
      </c>
      <c r="U1588" s="14" t="str">
        <f t="shared" si="608"/>
        <v/>
      </c>
      <c r="V1588" s="13" t="str">
        <f t="shared" si="609"/>
        <v/>
      </c>
      <c r="W1588" s="13" t="str">
        <f t="shared" si="610"/>
        <v/>
      </c>
      <c r="X1588" s="14" t="str">
        <f t="shared" si="611"/>
        <v/>
      </c>
    </row>
    <row r="1589" spans="20:24" x14ac:dyDescent="0.3">
      <c r="T1589" s="13" t="str">
        <f t="shared" si="607"/>
        <v/>
      </c>
      <c r="U1589" s="14" t="str">
        <f t="shared" si="608"/>
        <v/>
      </c>
      <c r="V1589" s="13" t="str">
        <f t="shared" si="609"/>
        <v/>
      </c>
      <c r="W1589" s="13" t="str">
        <f t="shared" si="610"/>
        <v/>
      </c>
      <c r="X1589" s="14" t="str">
        <f t="shared" si="611"/>
        <v/>
      </c>
    </row>
    <row r="1590" spans="20:24" x14ac:dyDescent="0.3">
      <c r="T1590" s="13" t="str">
        <f t="shared" si="607"/>
        <v/>
      </c>
      <c r="U1590" s="14" t="str">
        <f t="shared" si="608"/>
        <v/>
      </c>
      <c r="V1590" s="13" t="str">
        <f t="shared" si="609"/>
        <v/>
      </c>
      <c r="W1590" s="13" t="str">
        <f t="shared" si="610"/>
        <v/>
      </c>
      <c r="X1590" s="14" t="str">
        <f t="shared" si="611"/>
        <v/>
      </c>
    </row>
    <row r="1591" spans="20:24" x14ac:dyDescent="0.3">
      <c r="T1591" s="13" t="str">
        <f t="shared" si="607"/>
        <v/>
      </c>
      <c r="U1591" s="14" t="str">
        <f t="shared" si="608"/>
        <v/>
      </c>
      <c r="V1591" s="13" t="str">
        <f t="shared" si="609"/>
        <v/>
      </c>
      <c r="W1591" s="13" t="str">
        <f t="shared" si="610"/>
        <v/>
      </c>
      <c r="X1591" s="14" t="str">
        <f t="shared" si="611"/>
        <v/>
      </c>
    </row>
    <row r="1592" spans="20:24" x14ac:dyDescent="0.3">
      <c r="T1592" s="13" t="str">
        <f t="shared" si="607"/>
        <v/>
      </c>
      <c r="U1592" s="14" t="str">
        <f t="shared" si="608"/>
        <v/>
      </c>
      <c r="V1592" s="13" t="str">
        <f t="shared" si="609"/>
        <v/>
      </c>
      <c r="W1592" s="13" t="str">
        <f t="shared" si="610"/>
        <v/>
      </c>
      <c r="X1592" s="14" t="str">
        <f t="shared" si="611"/>
        <v/>
      </c>
    </row>
    <row r="1593" spans="20:24" x14ac:dyDescent="0.3">
      <c r="T1593" s="13" t="str">
        <f t="shared" si="607"/>
        <v/>
      </c>
      <c r="U1593" s="14" t="str">
        <f t="shared" si="608"/>
        <v/>
      </c>
      <c r="V1593" s="13" t="str">
        <f t="shared" si="609"/>
        <v/>
      </c>
      <c r="W1593" s="13" t="str">
        <f t="shared" si="610"/>
        <v/>
      </c>
      <c r="X1593" s="14" t="str">
        <f t="shared" si="611"/>
        <v/>
      </c>
    </row>
    <row r="1594" spans="20:24" x14ac:dyDescent="0.3">
      <c r="T1594" s="13" t="str">
        <f t="shared" si="607"/>
        <v/>
      </c>
      <c r="U1594" s="14" t="str">
        <f t="shared" si="608"/>
        <v/>
      </c>
      <c r="V1594" s="13" t="str">
        <f t="shared" si="609"/>
        <v/>
      </c>
      <c r="W1594" s="13" t="str">
        <f t="shared" si="610"/>
        <v/>
      </c>
      <c r="X1594" s="14" t="str">
        <f t="shared" si="611"/>
        <v/>
      </c>
    </row>
    <row r="1595" spans="20:24" x14ac:dyDescent="0.3">
      <c r="T1595" s="13" t="str">
        <f t="shared" si="607"/>
        <v/>
      </c>
      <c r="U1595" s="14" t="str">
        <f t="shared" si="608"/>
        <v/>
      </c>
      <c r="V1595" s="13" t="str">
        <f t="shared" si="609"/>
        <v/>
      </c>
      <c r="W1595" s="13" t="str">
        <f t="shared" si="610"/>
        <v/>
      </c>
      <c r="X1595" s="14" t="str">
        <f t="shared" si="611"/>
        <v/>
      </c>
    </row>
    <row r="1596" spans="20:24" x14ac:dyDescent="0.3">
      <c r="T1596" s="13" t="str">
        <f t="shared" si="607"/>
        <v/>
      </c>
      <c r="U1596" s="14" t="str">
        <f t="shared" si="608"/>
        <v/>
      </c>
      <c r="V1596" s="13" t="str">
        <f t="shared" si="609"/>
        <v/>
      </c>
      <c r="W1596" s="13" t="str">
        <f t="shared" si="610"/>
        <v/>
      </c>
      <c r="X1596" s="14" t="str">
        <f t="shared" si="611"/>
        <v/>
      </c>
    </row>
    <row r="1597" spans="20:24" x14ac:dyDescent="0.3">
      <c r="T1597" s="13" t="str">
        <f t="shared" si="607"/>
        <v/>
      </c>
      <c r="U1597" s="14" t="str">
        <f t="shared" si="608"/>
        <v/>
      </c>
      <c r="V1597" s="13" t="str">
        <f t="shared" si="609"/>
        <v/>
      </c>
      <c r="W1597" s="13" t="str">
        <f t="shared" si="610"/>
        <v/>
      </c>
      <c r="X1597" s="14" t="str">
        <f t="shared" si="611"/>
        <v/>
      </c>
    </row>
    <row r="1598" spans="20:24" x14ac:dyDescent="0.3">
      <c r="T1598" s="13" t="str">
        <f t="shared" si="607"/>
        <v/>
      </c>
      <c r="U1598" s="14" t="str">
        <f t="shared" si="608"/>
        <v/>
      </c>
      <c r="V1598" s="13" t="str">
        <f t="shared" si="609"/>
        <v/>
      </c>
      <c r="W1598" s="13" t="str">
        <f t="shared" si="610"/>
        <v/>
      </c>
      <c r="X1598" s="14" t="str">
        <f t="shared" si="611"/>
        <v/>
      </c>
    </row>
    <row r="1599" spans="20:24" x14ac:dyDescent="0.3">
      <c r="T1599" s="13" t="str">
        <f t="shared" si="607"/>
        <v/>
      </c>
      <c r="U1599" s="14" t="str">
        <f t="shared" si="608"/>
        <v/>
      </c>
      <c r="V1599" s="13" t="str">
        <f t="shared" si="609"/>
        <v/>
      </c>
      <c r="W1599" s="13" t="str">
        <f t="shared" si="610"/>
        <v/>
      </c>
      <c r="X1599" s="14" t="str">
        <f t="shared" si="611"/>
        <v/>
      </c>
    </row>
    <row r="1600" spans="20:24" x14ac:dyDescent="0.3">
      <c r="T1600" s="13" t="str">
        <f t="shared" si="607"/>
        <v/>
      </c>
      <c r="U1600" s="14" t="str">
        <f t="shared" si="608"/>
        <v/>
      </c>
      <c r="V1600" s="13" t="str">
        <f t="shared" si="609"/>
        <v/>
      </c>
      <c r="W1600" s="13" t="str">
        <f t="shared" si="610"/>
        <v/>
      </c>
      <c r="X1600" s="14" t="str">
        <f t="shared" si="611"/>
        <v/>
      </c>
    </row>
    <row r="1601" spans="20:24" x14ac:dyDescent="0.3">
      <c r="T1601" s="13" t="str">
        <f t="shared" si="607"/>
        <v/>
      </c>
      <c r="U1601" s="14" t="str">
        <f t="shared" si="608"/>
        <v/>
      </c>
      <c r="V1601" s="13" t="str">
        <f t="shared" si="609"/>
        <v/>
      </c>
      <c r="W1601" s="13" t="str">
        <f t="shared" si="610"/>
        <v/>
      </c>
      <c r="X1601" s="14" t="str">
        <f t="shared" si="611"/>
        <v/>
      </c>
    </row>
    <row r="1602" spans="20:24" x14ac:dyDescent="0.3">
      <c r="T1602" s="13" t="str">
        <f t="shared" si="607"/>
        <v/>
      </c>
      <c r="U1602" s="14" t="str">
        <f t="shared" si="608"/>
        <v/>
      </c>
      <c r="V1602" s="13" t="str">
        <f t="shared" si="609"/>
        <v/>
      </c>
      <c r="W1602" s="13" t="str">
        <f t="shared" si="610"/>
        <v/>
      </c>
      <c r="X1602" s="14" t="str">
        <f t="shared" si="611"/>
        <v/>
      </c>
    </row>
    <row r="1603" spans="20:24" x14ac:dyDescent="0.3">
      <c r="T1603" s="13" t="str">
        <f t="shared" si="607"/>
        <v/>
      </c>
      <c r="U1603" s="14" t="str">
        <f t="shared" si="608"/>
        <v/>
      </c>
      <c r="V1603" s="13" t="str">
        <f t="shared" si="609"/>
        <v/>
      </c>
      <c r="W1603" s="13" t="str">
        <f t="shared" si="610"/>
        <v/>
      </c>
      <c r="X1603" s="14" t="str">
        <f t="shared" si="611"/>
        <v/>
      </c>
    </row>
    <row r="1604" spans="20:24" x14ac:dyDescent="0.3">
      <c r="T1604" s="13" t="str">
        <f t="shared" si="607"/>
        <v/>
      </c>
      <c r="U1604" s="14" t="str">
        <f t="shared" si="608"/>
        <v/>
      </c>
      <c r="V1604" s="13" t="str">
        <f t="shared" si="609"/>
        <v/>
      </c>
      <c r="W1604" s="13" t="str">
        <f t="shared" si="610"/>
        <v/>
      </c>
      <c r="X1604" s="14" t="str">
        <f t="shared" si="611"/>
        <v/>
      </c>
    </row>
    <row r="1605" spans="20:24" x14ac:dyDescent="0.3">
      <c r="T1605" s="13" t="str">
        <f t="shared" si="607"/>
        <v/>
      </c>
      <c r="U1605" s="14" t="str">
        <f t="shared" si="608"/>
        <v/>
      </c>
      <c r="V1605" s="13" t="str">
        <f t="shared" si="609"/>
        <v/>
      </c>
      <c r="W1605" s="13" t="str">
        <f t="shared" si="610"/>
        <v/>
      </c>
      <c r="X1605" s="14" t="str">
        <f t="shared" si="611"/>
        <v/>
      </c>
    </row>
    <row r="1606" spans="20:24" x14ac:dyDescent="0.3">
      <c r="T1606" s="13" t="str">
        <f t="shared" si="607"/>
        <v/>
      </c>
      <c r="U1606" s="14" t="str">
        <f t="shared" si="608"/>
        <v/>
      </c>
      <c r="V1606" s="13" t="str">
        <f t="shared" si="609"/>
        <v/>
      </c>
      <c r="W1606" s="13" t="str">
        <f t="shared" si="610"/>
        <v/>
      </c>
      <c r="X1606" s="14" t="str">
        <f t="shared" si="611"/>
        <v/>
      </c>
    </row>
    <row r="1607" spans="20:24" x14ac:dyDescent="0.3">
      <c r="T1607" s="13" t="str">
        <f t="shared" si="607"/>
        <v/>
      </c>
      <c r="U1607" s="14" t="str">
        <f t="shared" si="608"/>
        <v/>
      </c>
      <c r="V1607" s="13" t="str">
        <f t="shared" si="609"/>
        <v/>
      </c>
      <c r="W1607" s="13" t="str">
        <f t="shared" si="610"/>
        <v/>
      </c>
      <c r="X1607" s="14" t="str">
        <f t="shared" si="611"/>
        <v/>
      </c>
    </row>
    <row r="1608" spans="20:24" x14ac:dyDescent="0.3">
      <c r="T1608" s="13" t="str">
        <f t="shared" si="607"/>
        <v/>
      </c>
      <c r="U1608" s="14" t="str">
        <f t="shared" si="608"/>
        <v/>
      </c>
      <c r="V1608" s="13" t="str">
        <f t="shared" si="609"/>
        <v/>
      </c>
      <c r="W1608" s="13" t="str">
        <f t="shared" si="610"/>
        <v/>
      </c>
      <c r="X1608" s="14" t="str">
        <f t="shared" si="611"/>
        <v/>
      </c>
    </row>
    <row r="1609" spans="20:24" x14ac:dyDescent="0.3">
      <c r="T1609" s="13" t="str">
        <f t="shared" si="607"/>
        <v/>
      </c>
      <c r="U1609" s="14" t="str">
        <f t="shared" si="608"/>
        <v/>
      </c>
      <c r="V1609" s="13" t="str">
        <f t="shared" si="609"/>
        <v/>
      </c>
      <c r="W1609" s="13" t="str">
        <f t="shared" si="610"/>
        <v/>
      </c>
      <c r="X1609" s="14" t="str">
        <f t="shared" si="611"/>
        <v/>
      </c>
    </row>
    <row r="1610" spans="20:24" x14ac:dyDescent="0.3">
      <c r="T1610" s="13" t="str">
        <f t="shared" si="607"/>
        <v/>
      </c>
      <c r="U1610" s="14" t="str">
        <f t="shared" si="608"/>
        <v/>
      </c>
      <c r="V1610" s="13" t="str">
        <f t="shared" si="609"/>
        <v/>
      </c>
      <c r="W1610" s="13" t="str">
        <f t="shared" si="610"/>
        <v/>
      </c>
      <c r="X1610" s="14" t="str">
        <f t="shared" si="611"/>
        <v/>
      </c>
    </row>
    <row r="1611" spans="20:24" x14ac:dyDescent="0.3">
      <c r="T1611" s="13" t="str">
        <f t="shared" si="607"/>
        <v/>
      </c>
      <c r="U1611" s="14" t="str">
        <f t="shared" si="608"/>
        <v/>
      </c>
      <c r="V1611" s="13" t="str">
        <f t="shared" si="609"/>
        <v/>
      </c>
      <c r="W1611" s="13" t="str">
        <f t="shared" si="610"/>
        <v/>
      </c>
      <c r="X1611" s="14" t="str">
        <f t="shared" si="611"/>
        <v/>
      </c>
    </row>
    <row r="1612" spans="20:24" x14ac:dyDescent="0.3">
      <c r="T1612" s="13" t="str">
        <f t="shared" si="607"/>
        <v/>
      </c>
      <c r="U1612" s="14" t="str">
        <f t="shared" si="608"/>
        <v/>
      </c>
      <c r="V1612" s="13" t="str">
        <f t="shared" si="609"/>
        <v/>
      </c>
      <c r="W1612" s="13" t="str">
        <f t="shared" si="610"/>
        <v/>
      </c>
      <c r="X1612" s="14" t="str">
        <f t="shared" si="611"/>
        <v/>
      </c>
    </row>
    <row r="1613" spans="20:24" x14ac:dyDescent="0.3">
      <c r="T1613" s="13" t="str">
        <f t="shared" si="607"/>
        <v/>
      </c>
      <c r="U1613" s="14" t="str">
        <f t="shared" si="608"/>
        <v/>
      </c>
      <c r="V1613" s="13" t="str">
        <f t="shared" si="609"/>
        <v/>
      </c>
      <c r="W1613" s="13" t="str">
        <f t="shared" si="610"/>
        <v/>
      </c>
      <c r="X1613" s="14" t="str">
        <f t="shared" si="611"/>
        <v/>
      </c>
    </row>
    <row r="1614" spans="20:24" x14ac:dyDescent="0.3">
      <c r="T1614" s="13" t="str">
        <f t="shared" si="607"/>
        <v/>
      </c>
      <c r="U1614" s="14" t="str">
        <f t="shared" si="608"/>
        <v/>
      </c>
      <c r="V1614" s="13" t="str">
        <f t="shared" si="609"/>
        <v/>
      </c>
      <c r="W1614" s="13" t="str">
        <f t="shared" si="610"/>
        <v/>
      </c>
      <c r="X1614" s="14" t="str">
        <f t="shared" si="611"/>
        <v/>
      </c>
    </row>
    <row r="1615" spans="20:24" x14ac:dyDescent="0.3">
      <c r="T1615" s="13" t="str">
        <f t="shared" si="607"/>
        <v/>
      </c>
      <c r="U1615" s="14" t="str">
        <f t="shared" si="608"/>
        <v/>
      </c>
      <c r="V1615" s="13" t="str">
        <f t="shared" si="609"/>
        <v/>
      </c>
      <c r="W1615" s="13" t="str">
        <f t="shared" si="610"/>
        <v/>
      </c>
      <c r="X1615" s="14" t="str">
        <f t="shared" si="611"/>
        <v/>
      </c>
    </row>
    <row r="1616" spans="20:24" x14ac:dyDescent="0.3">
      <c r="T1616" s="13" t="str">
        <f t="shared" si="607"/>
        <v/>
      </c>
      <c r="U1616" s="14" t="str">
        <f t="shared" si="608"/>
        <v/>
      </c>
      <c r="V1616" s="13" t="str">
        <f t="shared" si="609"/>
        <v/>
      </c>
      <c r="W1616" s="13" t="str">
        <f t="shared" si="610"/>
        <v/>
      </c>
      <c r="X1616" s="14" t="str">
        <f t="shared" si="611"/>
        <v/>
      </c>
    </row>
    <row r="1617" spans="20:24" x14ac:dyDescent="0.3">
      <c r="T1617" s="13" t="str">
        <f t="shared" si="607"/>
        <v/>
      </c>
      <c r="U1617" s="14" t="str">
        <f t="shared" si="608"/>
        <v/>
      </c>
      <c r="V1617" s="13" t="str">
        <f t="shared" si="609"/>
        <v/>
      </c>
      <c r="W1617" s="13" t="str">
        <f t="shared" si="610"/>
        <v/>
      </c>
      <c r="X1617" s="14" t="str">
        <f t="shared" si="611"/>
        <v/>
      </c>
    </row>
    <row r="1618" spans="20:24" x14ac:dyDescent="0.3">
      <c r="T1618" s="13" t="str">
        <f t="shared" si="607"/>
        <v/>
      </c>
      <c r="U1618" s="14" t="str">
        <f t="shared" si="608"/>
        <v/>
      </c>
      <c r="V1618" s="13" t="str">
        <f t="shared" si="609"/>
        <v/>
      </c>
      <c r="W1618" s="13" t="str">
        <f t="shared" si="610"/>
        <v/>
      </c>
      <c r="X1618" s="14" t="str">
        <f t="shared" si="611"/>
        <v/>
      </c>
    </row>
    <row r="1619" spans="20:24" x14ac:dyDescent="0.3">
      <c r="T1619" s="13" t="str">
        <f t="shared" ref="T1619:T1682" si="612">IF(A1619="",IF(A1618="","",$T$1),IF(O1619=1,"#",IF(B1619=0,"*",DEC2HEX(R1619))))</f>
        <v/>
      </c>
      <c r="U1619" s="14" t="str">
        <f t="shared" ref="U1619:U1682" si="613">IF(A1619="",IF(A1618="","",$U$1),  IF(B1619=0,Q1619,I1619)  )</f>
        <v/>
      </c>
      <c r="V1619" s="13" t="str">
        <f t="shared" ref="V1619:V1682" si="614">IF(U1619=$U$1,"",IF(A1619="",IF(A1618="","",1),  IF(B1619=0,1,D1619)  ))</f>
        <v/>
      </c>
      <c r="W1619" s="13" t="str">
        <f t="shared" ref="W1619:W1682" si="615">IF(U1619=$U$1,"",IF(A1619="",IF(A1618="","",0),  IF(C1619=0,0,0)  ))</f>
        <v/>
      </c>
      <c r="X1619" s="14" t="str">
        <f t="shared" ref="X1619:X1682" si="616">IF(U1619=$U$1,"",IF(U1619="","",IF(B1619&gt;0,IF(Q1619&lt;&gt;"",Q1619,"No description"),"-")))</f>
        <v/>
      </c>
    </row>
    <row r="1620" spans="20:24" x14ac:dyDescent="0.3">
      <c r="T1620" s="13" t="str">
        <f t="shared" si="612"/>
        <v/>
      </c>
      <c r="U1620" s="14" t="str">
        <f t="shared" si="613"/>
        <v/>
      </c>
      <c r="V1620" s="13" t="str">
        <f t="shared" si="614"/>
        <v/>
      </c>
      <c r="W1620" s="13" t="str">
        <f t="shared" si="615"/>
        <v/>
      </c>
      <c r="X1620" s="14" t="str">
        <f t="shared" si="616"/>
        <v/>
      </c>
    </row>
    <row r="1621" spans="20:24" x14ac:dyDescent="0.3">
      <c r="T1621" s="13" t="str">
        <f t="shared" si="612"/>
        <v/>
      </c>
      <c r="U1621" s="14" t="str">
        <f t="shared" si="613"/>
        <v/>
      </c>
      <c r="V1621" s="13" t="str">
        <f t="shared" si="614"/>
        <v/>
      </c>
      <c r="W1621" s="13" t="str">
        <f t="shared" si="615"/>
        <v/>
      </c>
      <c r="X1621" s="14" t="str">
        <f t="shared" si="616"/>
        <v/>
      </c>
    </row>
    <row r="1622" spans="20:24" x14ac:dyDescent="0.3">
      <c r="T1622" s="13" t="str">
        <f t="shared" si="612"/>
        <v/>
      </c>
      <c r="U1622" s="14" t="str">
        <f t="shared" si="613"/>
        <v/>
      </c>
      <c r="V1622" s="13" t="str">
        <f t="shared" si="614"/>
        <v/>
      </c>
      <c r="W1622" s="13" t="str">
        <f t="shared" si="615"/>
        <v/>
      </c>
      <c r="X1622" s="14" t="str">
        <f t="shared" si="616"/>
        <v/>
      </c>
    </row>
    <row r="1623" spans="20:24" x14ac:dyDescent="0.3">
      <c r="T1623" s="13" t="str">
        <f t="shared" si="612"/>
        <v/>
      </c>
      <c r="U1623" s="14" t="str">
        <f t="shared" si="613"/>
        <v/>
      </c>
      <c r="V1623" s="13" t="str">
        <f t="shared" si="614"/>
        <v/>
      </c>
      <c r="W1623" s="13" t="str">
        <f t="shared" si="615"/>
        <v/>
      </c>
      <c r="X1623" s="14" t="str">
        <f t="shared" si="616"/>
        <v/>
      </c>
    </row>
    <row r="1624" spans="20:24" x14ac:dyDescent="0.3">
      <c r="T1624" s="13" t="str">
        <f t="shared" si="612"/>
        <v/>
      </c>
      <c r="U1624" s="14" t="str">
        <f t="shared" si="613"/>
        <v/>
      </c>
      <c r="V1624" s="13" t="str">
        <f t="shared" si="614"/>
        <v/>
      </c>
      <c r="W1624" s="13" t="str">
        <f t="shared" si="615"/>
        <v/>
      </c>
      <c r="X1624" s="14" t="str">
        <f t="shared" si="616"/>
        <v/>
      </c>
    </row>
    <row r="1625" spans="20:24" x14ac:dyDescent="0.3">
      <c r="T1625" s="13" t="str">
        <f t="shared" si="612"/>
        <v/>
      </c>
      <c r="U1625" s="14" t="str">
        <f t="shared" si="613"/>
        <v/>
      </c>
      <c r="V1625" s="13" t="str">
        <f t="shared" si="614"/>
        <v/>
      </c>
      <c r="W1625" s="13" t="str">
        <f t="shared" si="615"/>
        <v/>
      </c>
      <c r="X1625" s="14" t="str">
        <f t="shared" si="616"/>
        <v/>
      </c>
    </row>
    <row r="1626" spans="20:24" x14ac:dyDescent="0.3">
      <c r="T1626" s="13" t="str">
        <f t="shared" si="612"/>
        <v/>
      </c>
      <c r="U1626" s="14" t="str">
        <f t="shared" si="613"/>
        <v/>
      </c>
      <c r="V1626" s="13" t="str">
        <f t="shared" si="614"/>
        <v/>
      </c>
      <c r="W1626" s="13" t="str">
        <f t="shared" si="615"/>
        <v/>
      </c>
      <c r="X1626" s="14" t="str">
        <f t="shared" si="616"/>
        <v/>
      </c>
    </row>
    <row r="1627" spans="20:24" x14ac:dyDescent="0.3">
      <c r="T1627" s="13" t="str">
        <f t="shared" si="612"/>
        <v/>
      </c>
      <c r="U1627" s="14" t="str">
        <f t="shared" si="613"/>
        <v/>
      </c>
      <c r="V1627" s="13" t="str">
        <f t="shared" si="614"/>
        <v/>
      </c>
      <c r="W1627" s="13" t="str">
        <f t="shared" si="615"/>
        <v/>
      </c>
      <c r="X1627" s="14" t="str">
        <f t="shared" si="616"/>
        <v/>
      </c>
    </row>
    <row r="1628" spans="20:24" x14ac:dyDescent="0.3">
      <c r="T1628" s="13" t="str">
        <f t="shared" si="612"/>
        <v/>
      </c>
      <c r="U1628" s="14" t="str">
        <f t="shared" si="613"/>
        <v/>
      </c>
      <c r="V1628" s="13" t="str">
        <f t="shared" si="614"/>
        <v/>
      </c>
      <c r="W1628" s="13" t="str">
        <f t="shared" si="615"/>
        <v/>
      </c>
      <c r="X1628" s="14" t="str">
        <f t="shared" si="616"/>
        <v/>
      </c>
    </row>
    <row r="1629" spans="20:24" x14ac:dyDescent="0.3">
      <c r="T1629" s="13" t="str">
        <f t="shared" si="612"/>
        <v/>
      </c>
      <c r="U1629" s="14" t="str">
        <f t="shared" si="613"/>
        <v/>
      </c>
      <c r="V1629" s="13" t="str">
        <f t="shared" si="614"/>
        <v/>
      </c>
      <c r="W1629" s="13" t="str">
        <f t="shared" si="615"/>
        <v/>
      </c>
      <c r="X1629" s="14" t="str">
        <f t="shared" si="616"/>
        <v/>
      </c>
    </row>
    <row r="1630" spans="20:24" x14ac:dyDescent="0.3">
      <c r="T1630" s="13" t="str">
        <f t="shared" si="612"/>
        <v/>
      </c>
      <c r="U1630" s="14" t="str">
        <f t="shared" si="613"/>
        <v/>
      </c>
      <c r="V1630" s="13" t="str">
        <f t="shared" si="614"/>
        <v/>
      </c>
      <c r="W1630" s="13" t="str">
        <f t="shared" si="615"/>
        <v/>
      </c>
      <c r="X1630" s="14" t="str">
        <f t="shared" si="616"/>
        <v/>
      </c>
    </row>
    <row r="1631" spans="20:24" x14ac:dyDescent="0.3">
      <c r="T1631" s="13" t="str">
        <f t="shared" si="612"/>
        <v/>
      </c>
      <c r="U1631" s="14" t="str">
        <f t="shared" si="613"/>
        <v/>
      </c>
      <c r="V1631" s="13" t="str">
        <f t="shared" si="614"/>
        <v/>
      </c>
      <c r="W1631" s="13" t="str">
        <f t="shared" si="615"/>
        <v/>
      </c>
      <c r="X1631" s="14" t="str">
        <f t="shared" si="616"/>
        <v/>
      </c>
    </row>
    <row r="1632" spans="20:24" x14ac:dyDescent="0.3">
      <c r="T1632" s="13" t="str">
        <f t="shared" si="612"/>
        <v/>
      </c>
      <c r="U1632" s="14" t="str">
        <f t="shared" si="613"/>
        <v/>
      </c>
      <c r="V1632" s="13" t="str">
        <f t="shared" si="614"/>
        <v/>
      </c>
      <c r="W1632" s="13" t="str">
        <f t="shared" si="615"/>
        <v/>
      </c>
      <c r="X1632" s="14" t="str">
        <f t="shared" si="616"/>
        <v/>
      </c>
    </row>
    <row r="1633" spans="20:24" x14ac:dyDescent="0.3">
      <c r="T1633" s="13" t="str">
        <f t="shared" si="612"/>
        <v/>
      </c>
      <c r="U1633" s="14" t="str">
        <f t="shared" si="613"/>
        <v/>
      </c>
      <c r="V1633" s="13" t="str">
        <f t="shared" si="614"/>
        <v/>
      </c>
      <c r="W1633" s="13" t="str">
        <f t="shared" si="615"/>
        <v/>
      </c>
      <c r="X1633" s="14" t="str">
        <f t="shared" si="616"/>
        <v/>
      </c>
    </row>
    <row r="1634" spans="20:24" x14ac:dyDescent="0.3">
      <c r="T1634" s="13" t="str">
        <f t="shared" si="612"/>
        <v/>
      </c>
      <c r="U1634" s="14" t="str">
        <f t="shared" si="613"/>
        <v/>
      </c>
      <c r="V1634" s="13" t="str">
        <f t="shared" si="614"/>
        <v/>
      </c>
      <c r="W1634" s="13" t="str">
        <f t="shared" si="615"/>
        <v/>
      </c>
      <c r="X1634" s="14" t="str">
        <f t="shared" si="616"/>
        <v/>
      </c>
    </row>
    <row r="1635" spans="20:24" x14ac:dyDescent="0.3">
      <c r="T1635" s="13" t="str">
        <f t="shared" si="612"/>
        <v/>
      </c>
      <c r="U1635" s="14" t="str">
        <f t="shared" si="613"/>
        <v/>
      </c>
      <c r="V1635" s="13" t="str">
        <f t="shared" si="614"/>
        <v/>
      </c>
      <c r="W1635" s="13" t="str">
        <f t="shared" si="615"/>
        <v/>
      </c>
      <c r="X1635" s="14" t="str">
        <f t="shared" si="616"/>
        <v/>
      </c>
    </row>
    <row r="1636" spans="20:24" x14ac:dyDescent="0.3">
      <c r="T1636" s="13" t="str">
        <f t="shared" si="612"/>
        <v/>
      </c>
      <c r="U1636" s="14" t="str">
        <f t="shared" si="613"/>
        <v/>
      </c>
      <c r="V1636" s="13" t="str">
        <f t="shared" si="614"/>
        <v/>
      </c>
      <c r="W1636" s="13" t="str">
        <f t="shared" si="615"/>
        <v/>
      </c>
      <c r="X1636" s="14" t="str">
        <f t="shared" si="616"/>
        <v/>
      </c>
    </row>
    <row r="1637" spans="20:24" x14ac:dyDescent="0.3">
      <c r="T1637" s="13" t="str">
        <f t="shared" si="612"/>
        <v/>
      </c>
      <c r="U1637" s="14" t="str">
        <f t="shared" si="613"/>
        <v/>
      </c>
      <c r="V1637" s="13" t="str">
        <f t="shared" si="614"/>
        <v/>
      </c>
      <c r="W1637" s="13" t="str">
        <f t="shared" si="615"/>
        <v/>
      </c>
      <c r="X1637" s="14" t="str">
        <f t="shared" si="616"/>
        <v/>
      </c>
    </row>
    <row r="1638" spans="20:24" x14ac:dyDescent="0.3">
      <c r="T1638" s="13" t="str">
        <f t="shared" si="612"/>
        <v/>
      </c>
      <c r="U1638" s="14" t="str">
        <f t="shared" si="613"/>
        <v/>
      </c>
      <c r="V1638" s="13" t="str">
        <f t="shared" si="614"/>
        <v/>
      </c>
      <c r="W1638" s="13" t="str">
        <f t="shared" si="615"/>
        <v/>
      </c>
      <c r="X1638" s="14" t="str">
        <f t="shared" si="616"/>
        <v/>
      </c>
    </row>
    <row r="1639" spans="20:24" x14ac:dyDescent="0.3">
      <c r="T1639" s="13" t="str">
        <f t="shared" si="612"/>
        <v/>
      </c>
      <c r="U1639" s="14" t="str">
        <f t="shared" si="613"/>
        <v/>
      </c>
      <c r="V1639" s="13" t="str">
        <f t="shared" si="614"/>
        <v/>
      </c>
      <c r="W1639" s="13" t="str">
        <f t="shared" si="615"/>
        <v/>
      </c>
      <c r="X1639" s="14" t="str">
        <f t="shared" si="616"/>
        <v/>
      </c>
    </row>
    <row r="1640" spans="20:24" x14ac:dyDescent="0.3">
      <c r="T1640" s="13" t="str">
        <f t="shared" si="612"/>
        <v/>
      </c>
      <c r="U1640" s="14" t="str">
        <f t="shared" si="613"/>
        <v/>
      </c>
      <c r="V1640" s="13" t="str">
        <f t="shared" si="614"/>
        <v/>
      </c>
      <c r="W1640" s="13" t="str">
        <f t="shared" si="615"/>
        <v/>
      </c>
      <c r="X1640" s="14" t="str">
        <f t="shared" si="616"/>
        <v/>
      </c>
    </row>
    <row r="1641" spans="20:24" x14ac:dyDescent="0.3">
      <c r="T1641" s="13" t="str">
        <f t="shared" si="612"/>
        <v/>
      </c>
      <c r="U1641" s="14" t="str">
        <f t="shared" si="613"/>
        <v/>
      </c>
      <c r="V1641" s="13" t="str">
        <f t="shared" si="614"/>
        <v/>
      </c>
      <c r="W1641" s="13" t="str">
        <f t="shared" si="615"/>
        <v/>
      </c>
      <c r="X1641" s="14" t="str">
        <f t="shared" si="616"/>
        <v/>
      </c>
    </row>
    <row r="1642" spans="20:24" x14ac:dyDescent="0.3">
      <c r="T1642" s="13" t="str">
        <f t="shared" si="612"/>
        <v/>
      </c>
      <c r="U1642" s="14" t="str">
        <f t="shared" si="613"/>
        <v/>
      </c>
      <c r="V1642" s="13" t="str">
        <f t="shared" si="614"/>
        <v/>
      </c>
      <c r="W1642" s="13" t="str">
        <f t="shared" si="615"/>
        <v/>
      </c>
      <c r="X1642" s="14" t="str">
        <f t="shared" si="616"/>
        <v/>
      </c>
    </row>
    <row r="1643" spans="20:24" x14ac:dyDescent="0.3">
      <c r="T1643" s="13" t="str">
        <f t="shared" si="612"/>
        <v/>
      </c>
      <c r="U1643" s="14" t="str">
        <f t="shared" si="613"/>
        <v/>
      </c>
      <c r="V1643" s="13" t="str">
        <f t="shared" si="614"/>
        <v/>
      </c>
      <c r="W1643" s="13" t="str">
        <f t="shared" si="615"/>
        <v/>
      </c>
      <c r="X1643" s="14" t="str">
        <f t="shared" si="616"/>
        <v/>
      </c>
    </row>
    <row r="1644" spans="20:24" x14ac:dyDescent="0.3">
      <c r="T1644" s="13" t="str">
        <f t="shared" si="612"/>
        <v/>
      </c>
      <c r="U1644" s="14" t="str">
        <f t="shared" si="613"/>
        <v/>
      </c>
      <c r="V1644" s="13" t="str">
        <f t="shared" si="614"/>
        <v/>
      </c>
      <c r="W1644" s="13" t="str">
        <f t="shared" si="615"/>
        <v/>
      </c>
      <c r="X1644" s="14" t="str">
        <f t="shared" si="616"/>
        <v/>
      </c>
    </row>
    <row r="1645" spans="20:24" x14ac:dyDescent="0.3">
      <c r="T1645" s="13" t="str">
        <f t="shared" si="612"/>
        <v/>
      </c>
      <c r="U1645" s="14" t="str">
        <f t="shared" si="613"/>
        <v/>
      </c>
      <c r="V1645" s="13" t="str">
        <f t="shared" si="614"/>
        <v/>
      </c>
      <c r="W1645" s="13" t="str">
        <f t="shared" si="615"/>
        <v/>
      </c>
      <c r="X1645" s="14" t="str">
        <f t="shared" si="616"/>
        <v/>
      </c>
    </row>
    <row r="1646" spans="20:24" x14ac:dyDescent="0.3">
      <c r="T1646" s="13" t="str">
        <f t="shared" si="612"/>
        <v/>
      </c>
      <c r="U1646" s="14" t="str">
        <f t="shared" si="613"/>
        <v/>
      </c>
      <c r="V1646" s="13" t="str">
        <f t="shared" si="614"/>
        <v/>
      </c>
      <c r="W1646" s="13" t="str">
        <f t="shared" si="615"/>
        <v/>
      </c>
      <c r="X1646" s="14" t="str">
        <f t="shared" si="616"/>
        <v/>
      </c>
    </row>
    <row r="1647" spans="20:24" x14ac:dyDescent="0.3">
      <c r="T1647" s="13" t="str">
        <f t="shared" si="612"/>
        <v/>
      </c>
      <c r="U1647" s="14" t="str">
        <f t="shared" si="613"/>
        <v/>
      </c>
      <c r="V1647" s="13" t="str">
        <f t="shared" si="614"/>
        <v/>
      </c>
      <c r="W1647" s="13" t="str">
        <f t="shared" si="615"/>
        <v/>
      </c>
      <c r="X1647" s="14" t="str">
        <f t="shared" si="616"/>
        <v/>
      </c>
    </row>
    <row r="1648" spans="20:24" x14ac:dyDescent="0.3">
      <c r="T1648" s="13" t="str">
        <f t="shared" si="612"/>
        <v/>
      </c>
      <c r="U1648" s="14" t="str">
        <f t="shared" si="613"/>
        <v/>
      </c>
      <c r="V1648" s="13" t="str">
        <f t="shared" si="614"/>
        <v/>
      </c>
      <c r="W1648" s="13" t="str">
        <f t="shared" si="615"/>
        <v/>
      </c>
      <c r="X1648" s="14" t="str">
        <f t="shared" si="616"/>
        <v/>
      </c>
    </row>
    <row r="1649" spans="20:24" x14ac:dyDescent="0.3">
      <c r="T1649" s="13" t="str">
        <f t="shared" si="612"/>
        <v/>
      </c>
      <c r="U1649" s="14" t="str">
        <f t="shared" si="613"/>
        <v/>
      </c>
      <c r="V1649" s="13" t="str">
        <f t="shared" si="614"/>
        <v/>
      </c>
      <c r="W1649" s="13" t="str">
        <f t="shared" si="615"/>
        <v/>
      </c>
      <c r="X1649" s="14" t="str">
        <f t="shared" si="616"/>
        <v/>
      </c>
    </row>
    <row r="1650" spans="20:24" x14ac:dyDescent="0.3">
      <c r="T1650" s="13" t="str">
        <f t="shared" si="612"/>
        <v/>
      </c>
      <c r="U1650" s="14" t="str">
        <f t="shared" si="613"/>
        <v/>
      </c>
      <c r="V1650" s="13" t="str">
        <f t="shared" si="614"/>
        <v/>
      </c>
      <c r="W1650" s="13" t="str">
        <f t="shared" si="615"/>
        <v/>
      </c>
      <c r="X1650" s="14" t="str">
        <f t="shared" si="616"/>
        <v/>
      </c>
    </row>
    <row r="1651" spans="20:24" x14ac:dyDescent="0.3">
      <c r="T1651" s="13" t="str">
        <f t="shared" si="612"/>
        <v/>
      </c>
      <c r="U1651" s="14" t="str">
        <f t="shared" si="613"/>
        <v/>
      </c>
      <c r="V1651" s="13" t="str">
        <f t="shared" si="614"/>
        <v/>
      </c>
      <c r="W1651" s="13" t="str">
        <f t="shared" si="615"/>
        <v/>
      </c>
      <c r="X1651" s="14" t="str">
        <f t="shared" si="616"/>
        <v/>
      </c>
    </row>
    <row r="1652" spans="20:24" x14ac:dyDescent="0.3">
      <c r="T1652" s="13" t="str">
        <f t="shared" si="612"/>
        <v/>
      </c>
      <c r="U1652" s="14" t="str">
        <f t="shared" si="613"/>
        <v/>
      </c>
      <c r="V1652" s="13" t="str">
        <f t="shared" si="614"/>
        <v/>
      </c>
      <c r="W1652" s="13" t="str">
        <f t="shared" si="615"/>
        <v/>
      </c>
      <c r="X1652" s="14" t="str">
        <f t="shared" si="616"/>
        <v/>
      </c>
    </row>
    <row r="1653" spans="20:24" x14ac:dyDescent="0.3">
      <c r="T1653" s="13" t="str">
        <f t="shared" si="612"/>
        <v/>
      </c>
      <c r="U1653" s="14" t="str">
        <f t="shared" si="613"/>
        <v/>
      </c>
      <c r="V1653" s="13" t="str">
        <f t="shared" si="614"/>
        <v/>
      </c>
      <c r="W1653" s="13" t="str">
        <f t="shared" si="615"/>
        <v/>
      </c>
      <c r="X1653" s="14" t="str">
        <f t="shared" si="616"/>
        <v/>
      </c>
    </row>
    <row r="1654" spans="20:24" x14ac:dyDescent="0.3">
      <c r="T1654" s="13" t="str">
        <f t="shared" si="612"/>
        <v/>
      </c>
      <c r="U1654" s="14" t="str">
        <f t="shared" si="613"/>
        <v/>
      </c>
      <c r="V1654" s="13" t="str">
        <f t="shared" si="614"/>
        <v/>
      </c>
      <c r="W1654" s="13" t="str">
        <f t="shared" si="615"/>
        <v/>
      </c>
      <c r="X1654" s="14" t="str">
        <f t="shared" si="616"/>
        <v/>
      </c>
    </row>
    <row r="1655" spans="20:24" x14ac:dyDescent="0.3">
      <c r="T1655" s="13" t="str">
        <f t="shared" si="612"/>
        <v/>
      </c>
      <c r="U1655" s="14" t="str">
        <f t="shared" si="613"/>
        <v/>
      </c>
      <c r="V1655" s="13" t="str">
        <f t="shared" si="614"/>
        <v/>
      </c>
      <c r="W1655" s="13" t="str">
        <f t="shared" si="615"/>
        <v/>
      </c>
      <c r="X1655" s="14" t="str">
        <f t="shared" si="616"/>
        <v/>
      </c>
    </row>
    <row r="1656" spans="20:24" x14ac:dyDescent="0.3">
      <c r="T1656" s="13" t="str">
        <f t="shared" si="612"/>
        <v/>
      </c>
      <c r="U1656" s="14" t="str">
        <f t="shared" si="613"/>
        <v/>
      </c>
      <c r="V1656" s="13" t="str">
        <f t="shared" si="614"/>
        <v/>
      </c>
      <c r="W1656" s="13" t="str">
        <f t="shared" si="615"/>
        <v/>
      </c>
      <c r="X1656" s="14" t="str">
        <f t="shared" si="616"/>
        <v/>
      </c>
    </row>
    <row r="1657" spans="20:24" x14ac:dyDescent="0.3">
      <c r="T1657" s="13" t="str">
        <f t="shared" si="612"/>
        <v/>
      </c>
      <c r="U1657" s="14" t="str">
        <f t="shared" si="613"/>
        <v/>
      </c>
      <c r="V1657" s="13" t="str">
        <f t="shared" si="614"/>
        <v/>
      </c>
      <c r="W1657" s="13" t="str">
        <f t="shared" si="615"/>
        <v/>
      </c>
      <c r="X1657" s="14" t="str">
        <f t="shared" si="616"/>
        <v/>
      </c>
    </row>
    <row r="1658" spans="20:24" x14ac:dyDescent="0.3">
      <c r="T1658" s="13" t="str">
        <f t="shared" si="612"/>
        <v/>
      </c>
      <c r="U1658" s="14" t="str">
        <f t="shared" si="613"/>
        <v/>
      </c>
      <c r="V1658" s="13" t="str">
        <f t="shared" si="614"/>
        <v/>
      </c>
      <c r="W1658" s="13" t="str">
        <f t="shared" si="615"/>
        <v/>
      </c>
      <c r="X1658" s="14" t="str">
        <f t="shared" si="616"/>
        <v/>
      </c>
    </row>
    <row r="1659" spans="20:24" x14ac:dyDescent="0.3">
      <c r="T1659" s="13" t="str">
        <f t="shared" si="612"/>
        <v/>
      </c>
      <c r="U1659" s="14" t="str">
        <f t="shared" si="613"/>
        <v/>
      </c>
      <c r="V1659" s="13" t="str">
        <f t="shared" si="614"/>
        <v/>
      </c>
      <c r="W1659" s="13" t="str">
        <f t="shared" si="615"/>
        <v/>
      </c>
      <c r="X1659" s="14" t="str">
        <f t="shared" si="616"/>
        <v/>
      </c>
    </row>
    <row r="1660" spans="20:24" x14ac:dyDescent="0.3">
      <c r="T1660" s="13" t="str">
        <f t="shared" si="612"/>
        <v/>
      </c>
      <c r="U1660" s="14" t="str">
        <f t="shared" si="613"/>
        <v/>
      </c>
      <c r="V1660" s="13" t="str">
        <f t="shared" si="614"/>
        <v/>
      </c>
      <c r="W1660" s="13" t="str">
        <f t="shared" si="615"/>
        <v/>
      </c>
      <c r="X1660" s="14" t="str">
        <f t="shared" si="616"/>
        <v/>
      </c>
    </row>
    <row r="1661" spans="20:24" x14ac:dyDescent="0.3">
      <c r="T1661" s="13" t="str">
        <f t="shared" si="612"/>
        <v/>
      </c>
      <c r="U1661" s="14" t="str">
        <f t="shared" si="613"/>
        <v/>
      </c>
      <c r="V1661" s="13" t="str">
        <f t="shared" si="614"/>
        <v/>
      </c>
      <c r="W1661" s="13" t="str">
        <f t="shared" si="615"/>
        <v/>
      </c>
      <c r="X1661" s="14" t="str">
        <f t="shared" si="616"/>
        <v/>
      </c>
    </row>
    <row r="1662" spans="20:24" x14ac:dyDescent="0.3">
      <c r="T1662" s="13" t="str">
        <f t="shared" si="612"/>
        <v/>
      </c>
      <c r="U1662" s="14" t="str">
        <f t="shared" si="613"/>
        <v/>
      </c>
      <c r="V1662" s="13" t="str">
        <f t="shared" si="614"/>
        <v/>
      </c>
      <c r="W1662" s="13" t="str">
        <f t="shared" si="615"/>
        <v/>
      </c>
      <c r="X1662" s="14" t="str">
        <f t="shared" si="616"/>
        <v/>
      </c>
    </row>
    <row r="1663" spans="20:24" x14ac:dyDescent="0.3">
      <c r="T1663" s="13" t="str">
        <f t="shared" si="612"/>
        <v/>
      </c>
      <c r="U1663" s="14" t="str">
        <f t="shared" si="613"/>
        <v/>
      </c>
      <c r="V1663" s="13" t="str">
        <f t="shared" si="614"/>
        <v/>
      </c>
      <c r="W1663" s="13" t="str">
        <f t="shared" si="615"/>
        <v/>
      </c>
      <c r="X1663" s="14" t="str">
        <f t="shared" si="616"/>
        <v/>
      </c>
    </row>
    <row r="1664" spans="20:24" x14ac:dyDescent="0.3">
      <c r="T1664" s="13" t="str">
        <f t="shared" si="612"/>
        <v/>
      </c>
      <c r="U1664" s="14" t="str">
        <f t="shared" si="613"/>
        <v/>
      </c>
      <c r="V1664" s="13" t="str">
        <f t="shared" si="614"/>
        <v/>
      </c>
      <c r="W1664" s="13" t="str">
        <f t="shared" si="615"/>
        <v/>
      </c>
      <c r="X1664" s="14" t="str">
        <f t="shared" si="616"/>
        <v/>
      </c>
    </row>
    <row r="1665" spans="20:24" x14ac:dyDescent="0.3">
      <c r="T1665" s="13" t="str">
        <f t="shared" si="612"/>
        <v/>
      </c>
      <c r="U1665" s="14" t="str">
        <f t="shared" si="613"/>
        <v/>
      </c>
      <c r="V1665" s="13" t="str">
        <f t="shared" si="614"/>
        <v/>
      </c>
      <c r="W1665" s="13" t="str">
        <f t="shared" si="615"/>
        <v/>
      </c>
      <c r="X1665" s="14" t="str">
        <f t="shared" si="616"/>
        <v/>
      </c>
    </row>
    <row r="1666" spans="20:24" x14ac:dyDescent="0.3">
      <c r="T1666" s="13" t="str">
        <f t="shared" si="612"/>
        <v/>
      </c>
      <c r="U1666" s="14" t="str">
        <f t="shared" si="613"/>
        <v/>
      </c>
      <c r="V1666" s="13" t="str">
        <f t="shared" si="614"/>
        <v/>
      </c>
      <c r="W1666" s="13" t="str">
        <f t="shared" si="615"/>
        <v/>
      </c>
      <c r="X1666" s="14" t="str">
        <f t="shared" si="616"/>
        <v/>
      </c>
    </row>
    <row r="1667" spans="20:24" x14ac:dyDescent="0.3">
      <c r="T1667" s="13" t="str">
        <f t="shared" si="612"/>
        <v/>
      </c>
      <c r="U1667" s="14" t="str">
        <f t="shared" si="613"/>
        <v/>
      </c>
      <c r="V1667" s="13" t="str">
        <f t="shared" si="614"/>
        <v/>
      </c>
      <c r="W1667" s="13" t="str">
        <f t="shared" si="615"/>
        <v/>
      </c>
      <c r="X1667" s="14" t="str">
        <f t="shared" si="616"/>
        <v/>
      </c>
    </row>
    <row r="1668" spans="20:24" x14ac:dyDescent="0.3">
      <c r="T1668" s="13" t="str">
        <f t="shared" si="612"/>
        <v/>
      </c>
      <c r="U1668" s="14" t="str">
        <f t="shared" si="613"/>
        <v/>
      </c>
      <c r="V1668" s="13" t="str">
        <f t="shared" si="614"/>
        <v/>
      </c>
      <c r="W1668" s="13" t="str">
        <f t="shared" si="615"/>
        <v/>
      </c>
      <c r="X1668" s="14" t="str">
        <f t="shared" si="616"/>
        <v/>
      </c>
    </row>
    <row r="1669" spans="20:24" x14ac:dyDescent="0.3">
      <c r="T1669" s="13" t="str">
        <f t="shared" si="612"/>
        <v/>
      </c>
      <c r="U1669" s="14" t="str">
        <f t="shared" si="613"/>
        <v/>
      </c>
      <c r="V1669" s="13" t="str">
        <f t="shared" si="614"/>
        <v/>
      </c>
      <c r="W1669" s="13" t="str">
        <f t="shared" si="615"/>
        <v/>
      </c>
      <c r="X1669" s="14" t="str">
        <f t="shared" si="616"/>
        <v/>
      </c>
    </row>
    <row r="1670" spans="20:24" x14ac:dyDescent="0.3">
      <c r="T1670" s="13" t="str">
        <f t="shared" si="612"/>
        <v/>
      </c>
      <c r="U1670" s="14" t="str">
        <f t="shared" si="613"/>
        <v/>
      </c>
      <c r="V1670" s="13" t="str">
        <f t="shared" si="614"/>
        <v/>
      </c>
      <c r="W1670" s="13" t="str">
        <f t="shared" si="615"/>
        <v/>
      </c>
      <c r="X1670" s="14" t="str">
        <f t="shared" si="616"/>
        <v/>
      </c>
    </row>
    <row r="1671" spans="20:24" x14ac:dyDescent="0.3">
      <c r="T1671" s="13" t="str">
        <f t="shared" si="612"/>
        <v/>
      </c>
      <c r="U1671" s="14" t="str">
        <f t="shared" si="613"/>
        <v/>
      </c>
      <c r="V1671" s="13" t="str">
        <f t="shared" si="614"/>
        <v/>
      </c>
      <c r="W1671" s="13" t="str">
        <f t="shared" si="615"/>
        <v/>
      </c>
      <c r="X1671" s="14" t="str">
        <f t="shared" si="616"/>
        <v/>
      </c>
    </row>
    <row r="1672" spans="20:24" x14ac:dyDescent="0.3">
      <c r="T1672" s="13" t="str">
        <f t="shared" si="612"/>
        <v/>
      </c>
      <c r="U1672" s="14" t="str">
        <f t="shared" si="613"/>
        <v/>
      </c>
      <c r="V1672" s="13" t="str">
        <f t="shared" si="614"/>
        <v/>
      </c>
      <c r="W1672" s="13" t="str">
        <f t="shared" si="615"/>
        <v/>
      </c>
      <c r="X1672" s="14" t="str">
        <f t="shared" si="616"/>
        <v/>
      </c>
    </row>
    <row r="1673" spans="20:24" x14ac:dyDescent="0.3">
      <c r="T1673" s="13" t="str">
        <f t="shared" si="612"/>
        <v/>
      </c>
      <c r="U1673" s="14" t="str">
        <f t="shared" si="613"/>
        <v/>
      </c>
      <c r="V1673" s="13" t="str">
        <f t="shared" si="614"/>
        <v/>
      </c>
      <c r="W1673" s="13" t="str">
        <f t="shared" si="615"/>
        <v/>
      </c>
      <c r="X1673" s="14" t="str">
        <f t="shared" si="616"/>
        <v/>
      </c>
    </row>
    <row r="1674" spans="20:24" x14ac:dyDescent="0.3">
      <c r="T1674" s="13" t="str">
        <f t="shared" si="612"/>
        <v/>
      </c>
      <c r="U1674" s="14" t="str">
        <f t="shared" si="613"/>
        <v/>
      </c>
      <c r="V1674" s="13" t="str">
        <f t="shared" si="614"/>
        <v/>
      </c>
      <c r="W1674" s="13" t="str">
        <f t="shared" si="615"/>
        <v/>
      </c>
      <c r="X1674" s="14" t="str">
        <f t="shared" si="616"/>
        <v/>
      </c>
    </row>
    <row r="1675" spans="20:24" x14ac:dyDescent="0.3">
      <c r="T1675" s="13" t="str">
        <f t="shared" si="612"/>
        <v/>
      </c>
      <c r="U1675" s="14" t="str">
        <f t="shared" si="613"/>
        <v/>
      </c>
      <c r="V1675" s="13" t="str">
        <f t="shared" si="614"/>
        <v/>
      </c>
      <c r="W1675" s="13" t="str">
        <f t="shared" si="615"/>
        <v/>
      </c>
      <c r="X1675" s="14" t="str">
        <f t="shared" si="616"/>
        <v/>
      </c>
    </row>
    <row r="1676" spans="20:24" x14ac:dyDescent="0.3">
      <c r="T1676" s="13" t="str">
        <f t="shared" si="612"/>
        <v/>
      </c>
      <c r="U1676" s="14" t="str">
        <f t="shared" si="613"/>
        <v/>
      </c>
      <c r="V1676" s="13" t="str">
        <f t="shared" si="614"/>
        <v/>
      </c>
      <c r="W1676" s="13" t="str">
        <f t="shared" si="615"/>
        <v/>
      </c>
      <c r="X1676" s="14" t="str">
        <f t="shared" si="616"/>
        <v/>
      </c>
    </row>
    <row r="1677" spans="20:24" x14ac:dyDescent="0.3">
      <c r="T1677" s="13" t="str">
        <f t="shared" si="612"/>
        <v/>
      </c>
      <c r="U1677" s="14" t="str">
        <f t="shared" si="613"/>
        <v/>
      </c>
      <c r="V1677" s="13" t="str">
        <f t="shared" si="614"/>
        <v/>
      </c>
      <c r="W1677" s="13" t="str">
        <f t="shared" si="615"/>
        <v/>
      </c>
      <c r="X1677" s="14" t="str">
        <f t="shared" si="616"/>
        <v/>
      </c>
    </row>
    <row r="1678" spans="20:24" x14ac:dyDescent="0.3">
      <c r="T1678" s="13" t="str">
        <f t="shared" si="612"/>
        <v/>
      </c>
      <c r="U1678" s="14" t="str">
        <f t="shared" si="613"/>
        <v/>
      </c>
      <c r="V1678" s="13" t="str">
        <f t="shared" si="614"/>
        <v/>
      </c>
      <c r="W1678" s="13" t="str">
        <f t="shared" si="615"/>
        <v/>
      </c>
      <c r="X1678" s="14" t="str">
        <f t="shared" si="616"/>
        <v/>
      </c>
    </row>
    <row r="1679" spans="20:24" x14ac:dyDescent="0.3">
      <c r="T1679" s="13" t="str">
        <f t="shared" si="612"/>
        <v/>
      </c>
      <c r="U1679" s="14" t="str">
        <f t="shared" si="613"/>
        <v/>
      </c>
      <c r="V1679" s="13" t="str">
        <f t="shared" si="614"/>
        <v/>
      </c>
      <c r="W1679" s="13" t="str">
        <f t="shared" si="615"/>
        <v/>
      </c>
      <c r="X1679" s="14" t="str">
        <f t="shared" si="616"/>
        <v/>
      </c>
    </row>
    <row r="1680" spans="20:24" x14ac:dyDescent="0.3">
      <c r="T1680" s="13" t="str">
        <f t="shared" si="612"/>
        <v/>
      </c>
      <c r="U1680" s="14" t="str">
        <f t="shared" si="613"/>
        <v/>
      </c>
      <c r="V1680" s="13" t="str">
        <f t="shared" si="614"/>
        <v/>
      </c>
      <c r="W1680" s="13" t="str">
        <f t="shared" si="615"/>
        <v/>
      </c>
      <c r="X1680" s="14" t="str">
        <f t="shared" si="616"/>
        <v/>
      </c>
    </row>
    <row r="1681" spans="20:24" x14ac:dyDescent="0.3">
      <c r="T1681" s="13" t="str">
        <f t="shared" si="612"/>
        <v/>
      </c>
      <c r="U1681" s="14" t="str">
        <f t="shared" si="613"/>
        <v/>
      </c>
      <c r="V1681" s="13" t="str">
        <f t="shared" si="614"/>
        <v/>
      </c>
      <c r="W1681" s="13" t="str">
        <f t="shared" si="615"/>
        <v/>
      </c>
      <c r="X1681" s="14" t="str">
        <f t="shared" si="616"/>
        <v/>
      </c>
    </row>
    <row r="1682" spans="20:24" x14ac:dyDescent="0.3">
      <c r="T1682" s="13" t="str">
        <f t="shared" si="612"/>
        <v/>
      </c>
      <c r="U1682" s="14" t="str">
        <f t="shared" si="613"/>
        <v/>
      </c>
      <c r="V1682" s="13" t="str">
        <f t="shared" si="614"/>
        <v/>
      </c>
      <c r="W1682" s="13" t="str">
        <f t="shared" si="615"/>
        <v/>
      </c>
      <c r="X1682" s="14" t="str">
        <f t="shared" si="616"/>
        <v/>
      </c>
    </row>
    <row r="1683" spans="20:24" x14ac:dyDescent="0.3">
      <c r="T1683" s="13" t="str">
        <f t="shared" ref="T1683:T1746" si="617">IF(A1683="",IF(A1682="","",$T$1),IF(O1683=1,"#",IF(B1683=0,"*",DEC2HEX(R1683))))</f>
        <v/>
      </c>
      <c r="U1683" s="14" t="str">
        <f t="shared" ref="U1683:U1746" si="618">IF(A1683="",IF(A1682="","",$U$1),  IF(B1683=0,Q1683,I1683)  )</f>
        <v/>
      </c>
      <c r="V1683" s="13" t="str">
        <f t="shared" ref="V1683:V1746" si="619">IF(U1683=$U$1,"",IF(A1683="",IF(A1682="","",1),  IF(B1683=0,1,D1683)  ))</f>
        <v/>
      </c>
      <c r="W1683" s="13" t="str">
        <f t="shared" ref="W1683:W1746" si="620">IF(U1683=$U$1,"",IF(A1683="",IF(A1682="","",0),  IF(C1683=0,0,0)  ))</f>
        <v/>
      </c>
      <c r="X1683" s="14" t="str">
        <f t="shared" ref="X1683:X1746" si="621">IF(U1683=$U$1,"",IF(U1683="","",IF(B1683&gt;0,IF(Q1683&lt;&gt;"",Q1683,"No description"),"-")))</f>
        <v/>
      </c>
    </row>
    <row r="1684" spans="20:24" x14ac:dyDescent="0.3">
      <c r="T1684" s="13" t="str">
        <f t="shared" si="617"/>
        <v/>
      </c>
      <c r="U1684" s="14" t="str">
        <f t="shared" si="618"/>
        <v/>
      </c>
      <c r="V1684" s="13" t="str">
        <f t="shared" si="619"/>
        <v/>
      </c>
      <c r="W1684" s="13" t="str">
        <f t="shared" si="620"/>
        <v/>
      </c>
      <c r="X1684" s="14" t="str">
        <f t="shared" si="621"/>
        <v/>
      </c>
    </row>
    <row r="1685" spans="20:24" x14ac:dyDescent="0.3">
      <c r="T1685" s="13" t="str">
        <f t="shared" si="617"/>
        <v/>
      </c>
      <c r="U1685" s="14" t="str">
        <f t="shared" si="618"/>
        <v/>
      </c>
      <c r="V1685" s="13" t="str">
        <f t="shared" si="619"/>
        <v/>
      </c>
      <c r="W1685" s="13" t="str">
        <f t="shared" si="620"/>
        <v/>
      </c>
      <c r="X1685" s="14" t="str">
        <f t="shared" si="621"/>
        <v/>
      </c>
    </row>
    <row r="1686" spans="20:24" x14ac:dyDescent="0.3">
      <c r="T1686" s="13" t="str">
        <f t="shared" si="617"/>
        <v/>
      </c>
      <c r="U1686" s="14" t="str">
        <f t="shared" si="618"/>
        <v/>
      </c>
      <c r="V1686" s="13" t="str">
        <f t="shared" si="619"/>
        <v/>
      </c>
      <c r="W1686" s="13" t="str">
        <f t="shared" si="620"/>
        <v/>
      </c>
      <c r="X1686" s="14" t="str">
        <f t="shared" si="621"/>
        <v/>
      </c>
    </row>
    <row r="1687" spans="20:24" x14ac:dyDescent="0.3">
      <c r="T1687" s="13" t="str">
        <f t="shared" si="617"/>
        <v/>
      </c>
      <c r="U1687" s="14" t="str">
        <f t="shared" si="618"/>
        <v/>
      </c>
      <c r="V1687" s="13" t="str">
        <f t="shared" si="619"/>
        <v/>
      </c>
      <c r="W1687" s="13" t="str">
        <f t="shared" si="620"/>
        <v/>
      </c>
      <c r="X1687" s="14" t="str">
        <f t="shared" si="621"/>
        <v/>
      </c>
    </row>
    <row r="1688" spans="20:24" x14ac:dyDescent="0.3">
      <c r="T1688" s="13" t="str">
        <f t="shared" si="617"/>
        <v/>
      </c>
      <c r="U1688" s="14" t="str">
        <f t="shared" si="618"/>
        <v/>
      </c>
      <c r="V1688" s="13" t="str">
        <f t="shared" si="619"/>
        <v/>
      </c>
      <c r="W1688" s="13" t="str">
        <f t="shared" si="620"/>
        <v/>
      </c>
      <c r="X1688" s="14" t="str">
        <f t="shared" si="621"/>
        <v/>
      </c>
    </row>
    <row r="1689" spans="20:24" x14ac:dyDescent="0.3">
      <c r="T1689" s="13" t="str">
        <f t="shared" si="617"/>
        <v/>
      </c>
      <c r="U1689" s="14" t="str">
        <f t="shared" si="618"/>
        <v/>
      </c>
      <c r="V1689" s="13" t="str">
        <f t="shared" si="619"/>
        <v/>
      </c>
      <c r="W1689" s="13" t="str">
        <f t="shared" si="620"/>
        <v/>
      </c>
      <c r="X1689" s="14" t="str">
        <f t="shared" si="621"/>
        <v/>
      </c>
    </row>
    <row r="1690" spans="20:24" x14ac:dyDescent="0.3">
      <c r="T1690" s="13" t="str">
        <f t="shared" si="617"/>
        <v/>
      </c>
      <c r="U1690" s="14" t="str">
        <f t="shared" si="618"/>
        <v/>
      </c>
      <c r="V1690" s="13" t="str">
        <f t="shared" si="619"/>
        <v/>
      </c>
      <c r="W1690" s="13" t="str">
        <f t="shared" si="620"/>
        <v/>
      </c>
      <c r="X1690" s="14" t="str">
        <f t="shared" si="621"/>
        <v/>
      </c>
    </row>
    <row r="1691" spans="20:24" x14ac:dyDescent="0.3">
      <c r="T1691" s="13" t="str">
        <f t="shared" si="617"/>
        <v/>
      </c>
      <c r="U1691" s="14" t="str">
        <f t="shared" si="618"/>
        <v/>
      </c>
      <c r="V1691" s="13" t="str">
        <f t="shared" si="619"/>
        <v/>
      </c>
      <c r="W1691" s="13" t="str">
        <f t="shared" si="620"/>
        <v/>
      </c>
      <c r="X1691" s="14" t="str">
        <f t="shared" si="621"/>
        <v/>
      </c>
    </row>
    <row r="1692" spans="20:24" x14ac:dyDescent="0.3">
      <c r="T1692" s="13" t="str">
        <f t="shared" si="617"/>
        <v/>
      </c>
      <c r="U1692" s="14" t="str">
        <f t="shared" si="618"/>
        <v/>
      </c>
      <c r="V1692" s="13" t="str">
        <f t="shared" si="619"/>
        <v/>
      </c>
      <c r="W1692" s="13" t="str">
        <f t="shared" si="620"/>
        <v/>
      </c>
      <c r="X1692" s="14" t="str">
        <f t="shared" si="621"/>
        <v/>
      </c>
    </row>
    <row r="1693" spans="20:24" x14ac:dyDescent="0.3">
      <c r="T1693" s="13" t="str">
        <f t="shared" si="617"/>
        <v/>
      </c>
      <c r="U1693" s="14" t="str">
        <f t="shared" si="618"/>
        <v/>
      </c>
      <c r="V1693" s="13" t="str">
        <f t="shared" si="619"/>
        <v/>
      </c>
      <c r="W1693" s="13" t="str">
        <f t="shared" si="620"/>
        <v/>
      </c>
      <c r="X1693" s="14" t="str">
        <f t="shared" si="621"/>
        <v/>
      </c>
    </row>
    <row r="1694" spans="20:24" x14ac:dyDescent="0.3">
      <c r="T1694" s="13" t="str">
        <f t="shared" si="617"/>
        <v/>
      </c>
      <c r="U1694" s="14" t="str">
        <f t="shared" si="618"/>
        <v/>
      </c>
      <c r="V1694" s="13" t="str">
        <f t="shared" si="619"/>
        <v/>
      </c>
      <c r="W1694" s="13" t="str">
        <f t="shared" si="620"/>
        <v/>
      </c>
      <c r="X1694" s="14" t="str">
        <f t="shared" si="621"/>
        <v/>
      </c>
    </row>
    <row r="1695" spans="20:24" x14ac:dyDescent="0.3">
      <c r="T1695" s="13" t="str">
        <f t="shared" si="617"/>
        <v/>
      </c>
      <c r="U1695" s="14" t="str">
        <f t="shared" si="618"/>
        <v/>
      </c>
      <c r="V1695" s="13" t="str">
        <f t="shared" si="619"/>
        <v/>
      </c>
      <c r="W1695" s="13" t="str">
        <f t="shared" si="620"/>
        <v/>
      </c>
      <c r="X1695" s="14" t="str">
        <f t="shared" si="621"/>
        <v/>
      </c>
    </row>
    <row r="1696" spans="20:24" x14ac:dyDescent="0.3">
      <c r="T1696" s="13" t="str">
        <f t="shared" si="617"/>
        <v/>
      </c>
      <c r="U1696" s="14" t="str">
        <f t="shared" si="618"/>
        <v/>
      </c>
      <c r="V1696" s="13" t="str">
        <f t="shared" si="619"/>
        <v/>
      </c>
      <c r="W1696" s="13" t="str">
        <f t="shared" si="620"/>
        <v/>
      </c>
      <c r="X1696" s="14" t="str">
        <f t="shared" si="621"/>
        <v/>
      </c>
    </row>
    <row r="1697" spans="20:24" x14ac:dyDescent="0.3">
      <c r="T1697" s="13" t="str">
        <f t="shared" si="617"/>
        <v/>
      </c>
      <c r="U1697" s="14" t="str">
        <f t="shared" si="618"/>
        <v/>
      </c>
      <c r="V1697" s="13" t="str">
        <f t="shared" si="619"/>
        <v/>
      </c>
      <c r="W1697" s="13" t="str">
        <f t="shared" si="620"/>
        <v/>
      </c>
      <c r="X1697" s="14" t="str">
        <f t="shared" si="621"/>
        <v/>
      </c>
    </row>
    <row r="1698" spans="20:24" x14ac:dyDescent="0.3">
      <c r="T1698" s="13" t="str">
        <f t="shared" si="617"/>
        <v/>
      </c>
      <c r="U1698" s="14" t="str">
        <f t="shared" si="618"/>
        <v/>
      </c>
      <c r="V1698" s="13" t="str">
        <f t="shared" si="619"/>
        <v/>
      </c>
      <c r="W1698" s="13" t="str">
        <f t="shared" si="620"/>
        <v/>
      </c>
      <c r="X1698" s="14" t="str">
        <f t="shared" si="621"/>
        <v/>
      </c>
    </row>
    <row r="1699" spans="20:24" x14ac:dyDescent="0.3">
      <c r="T1699" s="13" t="str">
        <f t="shared" si="617"/>
        <v/>
      </c>
      <c r="U1699" s="14" t="str">
        <f t="shared" si="618"/>
        <v/>
      </c>
      <c r="V1699" s="13" t="str">
        <f t="shared" si="619"/>
        <v/>
      </c>
      <c r="W1699" s="13" t="str">
        <f t="shared" si="620"/>
        <v/>
      </c>
      <c r="X1699" s="14" t="str">
        <f t="shared" si="621"/>
        <v/>
      </c>
    </row>
    <row r="1700" spans="20:24" x14ac:dyDescent="0.3">
      <c r="T1700" s="13" t="str">
        <f t="shared" si="617"/>
        <v/>
      </c>
      <c r="U1700" s="14" t="str">
        <f t="shared" si="618"/>
        <v/>
      </c>
      <c r="V1700" s="13" t="str">
        <f t="shared" si="619"/>
        <v/>
      </c>
      <c r="W1700" s="13" t="str">
        <f t="shared" si="620"/>
        <v/>
      </c>
      <c r="X1700" s="14" t="str">
        <f t="shared" si="621"/>
        <v/>
      </c>
    </row>
    <row r="1701" spans="20:24" x14ac:dyDescent="0.3">
      <c r="T1701" s="13" t="str">
        <f t="shared" si="617"/>
        <v/>
      </c>
      <c r="U1701" s="14" t="str">
        <f t="shared" si="618"/>
        <v/>
      </c>
      <c r="V1701" s="13" t="str">
        <f t="shared" si="619"/>
        <v/>
      </c>
      <c r="W1701" s="13" t="str">
        <f t="shared" si="620"/>
        <v/>
      </c>
      <c r="X1701" s="14" t="str">
        <f t="shared" si="621"/>
        <v/>
      </c>
    </row>
    <row r="1702" spans="20:24" x14ac:dyDescent="0.3">
      <c r="T1702" s="13" t="str">
        <f t="shared" si="617"/>
        <v/>
      </c>
      <c r="U1702" s="14" t="str">
        <f t="shared" si="618"/>
        <v/>
      </c>
      <c r="V1702" s="13" t="str">
        <f t="shared" si="619"/>
        <v/>
      </c>
      <c r="W1702" s="13" t="str">
        <f t="shared" si="620"/>
        <v/>
      </c>
      <c r="X1702" s="14" t="str">
        <f t="shared" si="621"/>
        <v/>
      </c>
    </row>
    <row r="1703" spans="20:24" x14ac:dyDescent="0.3">
      <c r="T1703" s="13" t="str">
        <f t="shared" si="617"/>
        <v/>
      </c>
      <c r="U1703" s="14" t="str">
        <f t="shared" si="618"/>
        <v/>
      </c>
      <c r="V1703" s="13" t="str">
        <f t="shared" si="619"/>
        <v/>
      </c>
      <c r="W1703" s="13" t="str">
        <f t="shared" si="620"/>
        <v/>
      </c>
      <c r="X1703" s="14" t="str">
        <f t="shared" si="621"/>
        <v/>
      </c>
    </row>
    <row r="1704" spans="20:24" x14ac:dyDescent="0.3">
      <c r="T1704" s="13" t="str">
        <f t="shared" si="617"/>
        <v/>
      </c>
      <c r="U1704" s="14" t="str">
        <f t="shared" si="618"/>
        <v/>
      </c>
      <c r="V1704" s="13" t="str">
        <f t="shared" si="619"/>
        <v/>
      </c>
      <c r="W1704" s="13" t="str">
        <f t="shared" si="620"/>
        <v/>
      </c>
      <c r="X1704" s="14" t="str">
        <f t="shared" si="621"/>
        <v/>
      </c>
    </row>
    <row r="1705" spans="20:24" x14ac:dyDescent="0.3">
      <c r="T1705" s="13" t="str">
        <f t="shared" si="617"/>
        <v/>
      </c>
      <c r="U1705" s="14" t="str">
        <f t="shared" si="618"/>
        <v/>
      </c>
      <c r="V1705" s="13" t="str">
        <f t="shared" si="619"/>
        <v/>
      </c>
      <c r="W1705" s="13" t="str">
        <f t="shared" si="620"/>
        <v/>
      </c>
      <c r="X1705" s="14" t="str">
        <f t="shared" si="621"/>
        <v/>
      </c>
    </row>
    <row r="1706" spans="20:24" x14ac:dyDescent="0.3">
      <c r="T1706" s="13" t="str">
        <f t="shared" si="617"/>
        <v/>
      </c>
      <c r="U1706" s="14" t="str">
        <f t="shared" si="618"/>
        <v/>
      </c>
      <c r="V1706" s="13" t="str">
        <f t="shared" si="619"/>
        <v/>
      </c>
      <c r="W1706" s="13" t="str">
        <f t="shared" si="620"/>
        <v/>
      </c>
      <c r="X1706" s="14" t="str">
        <f t="shared" si="621"/>
        <v/>
      </c>
    </row>
    <row r="1707" spans="20:24" x14ac:dyDescent="0.3">
      <c r="T1707" s="13" t="str">
        <f t="shared" si="617"/>
        <v/>
      </c>
      <c r="U1707" s="14" t="str">
        <f t="shared" si="618"/>
        <v/>
      </c>
      <c r="V1707" s="13" t="str">
        <f t="shared" si="619"/>
        <v/>
      </c>
      <c r="W1707" s="13" t="str">
        <f t="shared" si="620"/>
        <v/>
      </c>
      <c r="X1707" s="14" t="str">
        <f t="shared" si="621"/>
        <v/>
      </c>
    </row>
    <row r="1708" spans="20:24" x14ac:dyDescent="0.3">
      <c r="T1708" s="13" t="str">
        <f t="shared" si="617"/>
        <v/>
      </c>
      <c r="U1708" s="14" t="str">
        <f t="shared" si="618"/>
        <v/>
      </c>
      <c r="V1708" s="13" t="str">
        <f t="shared" si="619"/>
        <v/>
      </c>
      <c r="W1708" s="13" t="str">
        <f t="shared" si="620"/>
        <v/>
      </c>
      <c r="X1708" s="14" t="str">
        <f t="shared" si="621"/>
        <v/>
      </c>
    </row>
    <row r="1709" spans="20:24" x14ac:dyDescent="0.3">
      <c r="T1709" s="13" t="str">
        <f t="shared" si="617"/>
        <v/>
      </c>
      <c r="U1709" s="14" t="str">
        <f t="shared" si="618"/>
        <v/>
      </c>
      <c r="V1709" s="13" t="str">
        <f t="shared" si="619"/>
        <v/>
      </c>
      <c r="W1709" s="13" t="str">
        <f t="shared" si="620"/>
        <v/>
      </c>
      <c r="X1709" s="14" t="str">
        <f t="shared" si="621"/>
        <v/>
      </c>
    </row>
    <row r="1710" spans="20:24" x14ac:dyDescent="0.3">
      <c r="T1710" s="13" t="str">
        <f t="shared" si="617"/>
        <v/>
      </c>
      <c r="U1710" s="14" t="str">
        <f t="shared" si="618"/>
        <v/>
      </c>
      <c r="V1710" s="13" t="str">
        <f t="shared" si="619"/>
        <v/>
      </c>
      <c r="W1710" s="13" t="str">
        <f t="shared" si="620"/>
        <v/>
      </c>
      <c r="X1710" s="14" t="str">
        <f t="shared" si="621"/>
        <v/>
      </c>
    </row>
    <row r="1711" spans="20:24" x14ac:dyDescent="0.3">
      <c r="T1711" s="13" t="str">
        <f t="shared" si="617"/>
        <v/>
      </c>
      <c r="U1711" s="14" t="str">
        <f t="shared" si="618"/>
        <v/>
      </c>
      <c r="V1711" s="13" t="str">
        <f t="shared" si="619"/>
        <v/>
      </c>
      <c r="W1711" s="13" t="str">
        <f t="shared" si="620"/>
        <v/>
      </c>
      <c r="X1711" s="14" t="str">
        <f t="shared" si="621"/>
        <v/>
      </c>
    </row>
    <row r="1712" spans="20:24" x14ac:dyDescent="0.3">
      <c r="T1712" s="13" t="str">
        <f t="shared" si="617"/>
        <v/>
      </c>
      <c r="U1712" s="14" t="str">
        <f t="shared" si="618"/>
        <v/>
      </c>
      <c r="V1712" s="13" t="str">
        <f t="shared" si="619"/>
        <v/>
      </c>
      <c r="W1712" s="13" t="str">
        <f t="shared" si="620"/>
        <v/>
      </c>
      <c r="X1712" s="14" t="str">
        <f t="shared" si="621"/>
        <v/>
      </c>
    </row>
    <row r="1713" spans="20:24" x14ac:dyDescent="0.3">
      <c r="T1713" s="13" t="str">
        <f t="shared" si="617"/>
        <v/>
      </c>
      <c r="U1713" s="14" t="str">
        <f t="shared" si="618"/>
        <v/>
      </c>
      <c r="V1713" s="13" t="str">
        <f t="shared" si="619"/>
        <v/>
      </c>
      <c r="W1713" s="13" t="str">
        <f t="shared" si="620"/>
        <v/>
      </c>
      <c r="X1713" s="14" t="str">
        <f t="shared" si="621"/>
        <v/>
      </c>
    </row>
    <row r="1714" spans="20:24" x14ac:dyDescent="0.3">
      <c r="T1714" s="13" t="str">
        <f t="shared" si="617"/>
        <v/>
      </c>
      <c r="U1714" s="14" t="str">
        <f t="shared" si="618"/>
        <v/>
      </c>
      <c r="V1714" s="13" t="str">
        <f t="shared" si="619"/>
        <v/>
      </c>
      <c r="W1714" s="13" t="str">
        <f t="shared" si="620"/>
        <v/>
      </c>
      <c r="X1714" s="14" t="str">
        <f t="shared" si="621"/>
        <v/>
      </c>
    </row>
    <row r="1715" spans="20:24" x14ac:dyDescent="0.3">
      <c r="T1715" s="13" t="str">
        <f t="shared" si="617"/>
        <v/>
      </c>
      <c r="U1715" s="14" t="str">
        <f t="shared" si="618"/>
        <v/>
      </c>
      <c r="V1715" s="13" t="str">
        <f t="shared" si="619"/>
        <v/>
      </c>
      <c r="W1715" s="13" t="str">
        <f t="shared" si="620"/>
        <v/>
      </c>
      <c r="X1715" s="14" t="str">
        <f t="shared" si="621"/>
        <v/>
      </c>
    </row>
    <row r="1716" spans="20:24" x14ac:dyDescent="0.3">
      <c r="T1716" s="13" t="str">
        <f t="shared" si="617"/>
        <v/>
      </c>
      <c r="U1716" s="14" t="str">
        <f t="shared" si="618"/>
        <v/>
      </c>
      <c r="V1716" s="13" t="str">
        <f t="shared" si="619"/>
        <v/>
      </c>
      <c r="W1716" s="13" t="str">
        <f t="shared" si="620"/>
        <v/>
      </c>
      <c r="X1716" s="14" t="str">
        <f t="shared" si="621"/>
        <v/>
      </c>
    </row>
    <row r="1717" spans="20:24" x14ac:dyDescent="0.3">
      <c r="T1717" s="13" t="str">
        <f t="shared" si="617"/>
        <v/>
      </c>
      <c r="U1717" s="14" t="str">
        <f t="shared" si="618"/>
        <v/>
      </c>
      <c r="V1717" s="13" t="str">
        <f t="shared" si="619"/>
        <v/>
      </c>
      <c r="W1717" s="13" t="str">
        <f t="shared" si="620"/>
        <v/>
      </c>
      <c r="X1717" s="14" t="str">
        <f t="shared" si="621"/>
        <v/>
      </c>
    </row>
    <row r="1718" spans="20:24" x14ac:dyDescent="0.3">
      <c r="T1718" s="13" t="str">
        <f t="shared" si="617"/>
        <v/>
      </c>
      <c r="U1718" s="14" t="str">
        <f t="shared" si="618"/>
        <v/>
      </c>
      <c r="V1718" s="13" t="str">
        <f t="shared" si="619"/>
        <v/>
      </c>
      <c r="W1718" s="13" t="str">
        <f t="shared" si="620"/>
        <v/>
      </c>
      <c r="X1718" s="14" t="str">
        <f t="shared" si="621"/>
        <v/>
      </c>
    </row>
    <row r="1719" spans="20:24" x14ac:dyDescent="0.3">
      <c r="T1719" s="13" t="str">
        <f t="shared" si="617"/>
        <v/>
      </c>
      <c r="U1719" s="14" t="str">
        <f t="shared" si="618"/>
        <v/>
      </c>
      <c r="V1719" s="13" t="str">
        <f t="shared" si="619"/>
        <v/>
      </c>
      <c r="W1719" s="13" t="str">
        <f t="shared" si="620"/>
        <v/>
      </c>
      <c r="X1719" s="14" t="str">
        <f t="shared" si="621"/>
        <v/>
      </c>
    </row>
    <row r="1720" spans="20:24" x14ac:dyDescent="0.3">
      <c r="T1720" s="13" t="str">
        <f t="shared" si="617"/>
        <v/>
      </c>
      <c r="U1720" s="14" t="str">
        <f t="shared" si="618"/>
        <v/>
      </c>
      <c r="V1720" s="13" t="str">
        <f t="shared" si="619"/>
        <v/>
      </c>
      <c r="W1720" s="13" t="str">
        <f t="shared" si="620"/>
        <v/>
      </c>
      <c r="X1720" s="14" t="str">
        <f t="shared" si="621"/>
        <v/>
      </c>
    </row>
    <row r="1721" spans="20:24" x14ac:dyDescent="0.3">
      <c r="T1721" s="13" t="str">
        <f t="shared" si="617"/>
        <v/>
      </c>
      <c r="U1721" s="14" t="str">
        <f t="shared" si="618"/>
        <v/>
      </c>
      <c r="V1721" s="13" t="str">
        <f t="shared" si="619"/>
        <v/>
      </c>
      <c r="W1721" s="13" t="str">
        <f t="shared" si="620"/>
        <v/>
      </c>
      <c r="X1721" s="14" t="str">
        <f t="shared" si="621"/>
        <v/>
      </c>
    </row>
    <row r="1722" spans="20:24" x14ac:dyDescent="0.3">
      <c r="T1722" s="13" t="str">
        <f t="shared" si="617"/>
        <v/>
      </c>
      <c r="U1722" s="14" t="str">
        <f t="shared" si="618"/>
        <v/>
      </c>
      <c r="V1722" s="13" t="str">
        <f t="shared" si="619"/>
        <v/>
      </c>
      <c r="W1722" s="13" t="str">
        <f t="shared" si="620"/>
        <v/>
      </c>
      <c r="X1722" s="14" t="str">
        <f t="shared" si="621"/>
        <v/>
      </c>
    </row>
    <row r="1723" spans="20:24" x14ac:dyDescent="0.3">
      <c r="T1723" s="13" t="str">
        <f t="shared" si="617"/>
        <v/>
      </c>
      <c r="U1723" s="14" t="str">
        <f t="shared" si="618"/>
        <v/>
      </c>
      <c r="V1723" s="13" t="str">
        <f t="shared" si="619"/>
        <v/>
      </c>
      <c r="W1723" s="13" t="str">
        <f t="shared" si="620"/>
        <v/>
      </c>
      <c r="X1723" s="14" t="str">
        <f t="shared" si="621"/>
        <v/>
      </c>
    </row>
    <row r="1724" spans="20:24" x14ac:dyDescent="0.3">
      <c r="T1724" s="13" t="str">
        <f t="shared" si="617"/>
        <v/>
      </c>
      <c r="U1724" s="14" t="str">
        <f t="shared" si="618"/>
        <v/>
      </c>
      <c r="V1724" s="13" t="str">
        <f t="shared" si="619"/>
        <v/>
      </c>
      <c r="W1724" s="13" t="str">
        <f t="shared" si="620"/>
        <v/>
      </c>
      <c r="X1724" s="14" t="str">
        <f t="shared" si="621"/>
        <v/>
      </c>
    </row>
    <row r="1725" spans="20:24" x14ac:dyDescent="0.3">
      <c r="T1725" s="13" t="str">
        <f t="shared" si="617"/>
        <v/>
      </c>
      <c r="U1725" s="14" t="str">
        <f t="shared" si="618"/>
        <v/>
      </c>
      <c r="V1725" s="13" t="str">
        <f t="shared" si="619"/>
        <v/>
      </c>
      <c r="W1725" s="13" t="str">
        <f t="shared" si="620"/>
        <v/>
      </c>
      <c r="X1725" s="14" t="str">
        <f t="shared" si="621"/>
        <v/>
      </c>
    </row>
    <row r="1726" spans="20:24" x14ac:dyDescent="0.3">
      <c r="T1726" s="13" t="str">
        <f t="shared" si="617"/>
        <v/>
      </c>
      <c r="U1726" s="14" t="str">
        <f t="shared" si="618"/>
        <v/>
      </c>
      <c r="V1726" s="13" t="str">
        <f t="shared" si="619"/>
        <v/>
      </c>
      <c r="W1726" s="13" t="str">
        <f t="shared" si="620"/>
        <v/>
      </c>
      <c r="X1726" s="14" t="str">
        <f t="shared" si="621"/>
        <v/>
      </c>
    </row>
    <row r="1727" spans="20:24" x14ac:dyDescent="0.3">
      <c r="T1727" s="13" t="str">
        <f t="shared" si="617"/>
        <v/>
      </c>
      <c r="U1727" s="14" t="str">
        <f t="shared" si="618"/>
        <v/>
      </c>
      <c r="V1727" s="13" t="str">
        <f t="shared" si="619"/>
        <v/>
      </c>
      <c r="W1727" s="13" t="str">
        <f t="shared" si="620"/>
        <v/>
      </c>
      <c r="X1727" s="14" t="str">
        <f t="shared" si="621"/>
        <v/>
      </c>
    </row>
    <row r="1728" spans="20:24" x14ac:dyDescent="0.3">
      <c r="T1728" s="13" t="str">
        <f t="shared" si="617"/>
        <v/>
      </c>
      <c r="U1728" s="14" t="str">
        <f t="shared" si="618"/>
        <v/>
      </c>
      <c r="V1728" s="13" t="str">
        <f t="shared" si="619"/>
        <v/>
      </c>
      <c r="W1728" s="13" t="str">
        <f t="shared" si="620"/>
        <v/>
      </c>
      <c r="X1728" s="14" t="str">
        <f t="shared" si="621"/>
        <v/>
      </c>
    </row>
    <row r="1729" spans="20:24" x14ac:dyDescent="0.3">
      <c r="T1729" s="13" t="str">
        <f t="shared" si="617"/>
        <v/>
      </c>
      <c r="U1729" s="14" t="str">
        <f t="shared" si="618"/>
        <v/>
      </c>
      <c r="V1729" s="13" t="str">
        <f t="shared" si="619"/>
        <v/>
      </c>
      <c r="W1729" s="13" t="str">
        <f t="shared" si="620"/>
        <v/>
      </c>
      <c r="X1729" s="14" t="str">
        <f t="shared" si="621"/>
        <v/>
      </c>
    </row>
    <row r="1730" spans="20:24" x14ac:dyDescent="0.3">
      <c r="T1730" s="13" t="str">
        <f t="shared" si="617"/>
        <v/>
      </c>
      <c r="U1730" s="14" t="str">
        <f t="shared" si="618"/>
        <v/>
      </c>
      <c r="V1730" s="13" t="str">
        <f t="shared" si="619"/>
        <v/>
      </c>
      <c r="W1730" s="13" t="str">
        <f t="shared" si="620"/>
        <v/>
      </c>
      <c r="X1730" s="14" t="str">
        <f t="shared" si="621"/>
        <v/>
      </c>
    </row>
    <row r="1731" spans="20:24" x14ac:dyDescent="0.3">
      <c r="T1731" s="13" t="str">
        <f t="shared" si="617"/>
        <v/>
      </c>
      <c r="U1731" s="14" t="str">
        <f t="shared" si="618"/>
        <v/>
      </c>
      <c r="V1731" s="13" t="str">
        <f t="shared" si="619"/>
        <v/>
      </c>
      <c r="W1731" s="13" t="str">
        <f t="shared" si="620"/>
        <v/>
      </c>
      <c r="X1731" s="14" t="str">
        <f t="shared" si="621"/>
        <v/>
      </c>
    </row>
    <row r="1732" spans="20:24" x14ac:dyDescent="0.3">
      <c r="T1732" s="13" t="str">
        <f t="shared" si="617"/>
        <v/>
      </c>
      <c r="U1732" s="14" t="str">
        <f t="shared" si="618"/>
        <v/>
      </c>
      <c r="V1732" s="13" t="str">
        <f t="shared" si="619"/>
        <v/>
      </c>
      <c r="W1732" s="13" t="str">
        <f t="shared" si="620"/>
        <v/>
      </c>
      <c r="X1732" s="14" t="str">
        <f t="shared" si="621"/>
        <v/>
      </c>
    </row>
    <row r="1733" spans="20:24" x14ac:dyDescent="0.3">
      <c r="T1733" s="13" t="str">
        <f t="shared" si="617"/>
        <v/>
      </c>
      <c r="U1733" s="14" t="str">
        <f t="shared" si="618"/>
        <v/>
      </c>
      <c r="V1733" s="13" t="str">
        <f t="shared" si="619"/>
        <v/>
      </c>
      <c r="W1733" s="13" t="str">
        <f t="shared" si="620"/>
        <v/>
      </c>
      <c r="X1733" s="14" t="str">
        <f t="shared" si="621"/>
        <v/>
      </c>
    </row>
    <row r="1734" spans="20:24" x14ac:dyDescent="0.3">
      <c r="T1734" s="13" t="str">
        <f t="shared" si="617"/>
        <v/>
      </c>
      <c r="U1734" s="14" t="str">
        <f t="shared" si="618"/>
        <v/>
      </c>
      <c r="V1734" s="13" t="str">
        <f t="shared" si="619"/>
        <v/>
      </c>
      <c r="W1734" s="13" t="str">
        <f t="shared" si="620"/>
        <v/>
      </c>
      <c r="X1734" s="14" t="str">
        <f t="shared" si="621"/>
        <v/>
      </c>
    </row>
    <row r="1735" spans="20:24" x14ac:dyDescent="0.3">
      <c r="T1735" s="13" t="str">
        <f t="shared" si="617"/>
        <v/>
      </c>
      <c r="U1735" s="14" t="str">
        <f t="shared" si="618"/>
        <v/>
      </c>
      <c r="V1735" s="13" t="str">
        <f t="shared" si="619"/>
        <v/>
      </c>
      <c r="W1735" s="13" t="str">
        <f t="shared" si="620"/>
        <v/>
      </c>
      <c r="X1735" s="14" t="str">
        <f t="shared" si="621"/>
        <v/>
      </c>
    </row>
    <row r="1736" spans="20:24" x14ac:dyDescent="0.3">
      <c r="T1736" s="13" t="str">
        <f t="shared" si="617"/>
        <v/>
      </c>
      <c r="U1736" s="14" t="str">
        <f t="shared" si="618"/>
        <v/>
      </c>
      <c r="V1736" s="13" t="str">
        <f t="shared" si="619"/>
        <v/>
      </c>
      <c r="W1736" s="13" t="str">
        <f t="shared" si="620"/>
        <v/>
      </c>
      <c r="X1736" s="14" t="str">
        <f t="shared" si="621"/>
        <v/>
      </c>
    </row>
    <row r="1737" spans="20:24" x14ac:dyDescent="0.3">
      <c r="T1737" s="13" t="str">
        <f t="shared" si="617"/>
        <v/>
      </c>
      <c r="U1737" s="14" t="str">
        <f t="shared" si="618"/>
        <v/>
      </c>
      <c r="V1737" s="13" t="str">
        <f t="shared" si="619"/>
        <v/>
      </c>
      <c r="W1737" s="13" t="str">
        <f t="shared" si="620"/>
        <v/>
      </c>
      <c r="X1737" s="14" t="str">
        <f t="shared" si="621"/>
        <v/>
      </c>
    </row>
    <row r="1738" spans="20:24" x14ac:dyDescent="0.3">
      <c r="T1738" s="13" t="str">
        <f t="shared" si="617"/>
        <v/>
      </c>
      <c r="U1738" s="14" t="str">
        <f t="shared" si="618"/>
        <v/>
      </c>
      <c r="V1738" s="13" t="str">
        <f t="shared" si="619"/>
        <v/>
      </c>
      <c r="W1738" s="13" t="str">
        <f t="shared" si="620"/>
        <v/>
      </c>
      <c r="X1738" s="14" t="str">
        <f t="shared" si="621"/>
        <v/>
      </c>
    </row>
    <row r="1739" spans="20:24" x14ac:dyDescent="0.3">
      <c r="T1739" s="13" t="str">
        <f t="shared" si="617"/>
        <v/>
      </c>
      <c r="U1739" s="14" t="str">
        <f t="shared" si="618"/>
        <v/>
      </c>
      <c r="V1739" s="13" t="str">
        <f t="shared" si="619"/>
        <v/>
      </c>
      <c r="W1739" s="13" t="str">
        <f t="shared" si="620"/>
        <v/>
      </c>
      <c r="X1739" s="14" t="str">
        <f t="shared" si="621"/>
        <v/>
      </c>
    </row>
    <row r="1740" spans="20:24" x14ac:dyDescent="0.3">
      <c r="T1740" s="13" t="str">
        <f t="shared" si="617"/>
        <v/>
      </c>
      <c r="U1740" s="14" t="str">
        <f t="shared" si="618"/>
        <v/>
      </c>
      <c r="V1740" s="13" t="str">
        <f t="shared" si="619"/>
        <v/>
      </c>
      <c r="W1740" s="13" t="str">
        <f t="shared" si="620"/>
        <v/>
      </c>
      <c r="X1740" s="14" t="str">
        <f t="shared" si="621"/>
        <v/>
      </c>
    </row>
    <row r="1741" spans="20:24" x14ac:dyDescent="0.3">
      <c r="T1741" s="13" t="str">
        <f t="shared" si="617"/>
        <v/>
      </c>
      <c r="U1741" s="14" t="str">
        <f t="shared" si="618"/>
        <v/>
      </c>
      <c r="V1741" s="13" t="str">
        <f t="shared" si="619"/>
        <v/>
      </c>
      <c r="W1741" s="13" t="str">
        <f t="shared" si="620"/>
        <v/>
      </c>
      <c r="X1741" s="14" t="str">
        <f t="shared" si="621"/>
        <v/>
      </c>
    </row>
    <row r="1742" spans="20:24" x14ac:dyDescent="0.3">
      <c r="T1742" s="13" t="str">
        <f t="shared" si="617"/>
        <v/>
      </c>
      <c r="U1742" s="14" t="str">
        <f t="shared" si="618"/>
        <v/>
      </c>
      <c r="V1742" s="13" t="str">
        <f t="shared" si="619"/>
        <v/>
      </c>
      <c r="W1742" s="13" t="str">
        <f t="shared" si="620"/>
        <v/>
      </c>
      <c r="X1742" s="14" t="str">
        <f t="shared" si="621"/>
        <v/>
      </c>
    </row>
    <row r="1743" spans="20:24" x14ac:dyDescent="0.3">
      <c r="T1743" s="13" t="str">
        <f t="shared" si="617"/>
        <v/>
      </c>
      <c r="U1743" s="14" t="str">
        <f t="shared" si="618"/>
        <v/>
      </c>
      <c r="V1743" s="13" t="str">
        <f t="shared" si="619"/>
        <v/>
      </c>
      <c r="W1743" s="13" t="str">
        <f t="shared" si="620"/>
        <v/>
      </c>
      <c r="X1743" s="14" t="str">
        <f t="shared" si="621"/>
        <v/>
      </c>
    </row>
    <row r="1744" spans="20:24" x14ac:dyDescent="0.3">
      <c r="T1744" s="13" t="str">
        <f t="shared" si="617"/>
        <v/>
      </c>
      <c r="U1744" s="14" t="str">
        <f t="shared" si="618"/>
        <v/>
      </c>
      <c r="V1744" s="13" t="str">
        <f t="shared" si="619"/>
        <v/>
      </c>
      <c r="W1744" s="13" t="str">
        <f t="shared" si="620"/>
        <v/>
      </c>
      <c r="X1744" s="14" t="str">
        <f t="shared" si="621"/>
        <v/>
      </c>
    </row>
    <row r="1745" spans="20:24" x14ac:dyDescent="0.3">
      <c r="T1745" s="13" t="str">
        <f t="shared" si="617"/>
        <v/>
      </c>
      <c r="U1745" s="14" t="str">
        <f t="shared" si="618"/>
        <v/>
      </c>
      <c r="V1745" s="13" t="str">
        <f t="shared" si="619"/>
        <v/>
      </c>
      <c r="W1745" s="13" t="str">
        <f t="shared" si="620"/>
        <v/>
      </c>
      <c r="X1745" s="14" t="str">
        <f t="shared" si="621"/>
        <v/>
      </c>
    </row>
    <row r="1746" spans="20:24" x14ac:dyDescent="0.3">
      <c r="T1746" s="13" t="str">
        <f t="shared" si="617"/>
        <v/>
      </c>
      <c r="U1746" s="14" t="str">
        <f t="shared" si="618"/>
        <v/>
      </c>
      <c r="V1746" s="13" t="str">
        <f t="shared" si="619"/>
        <v/>
      </c>
      <c r="W1746" s="13" t="str">
        <f t="shared" si="620"/>
        <v/>
      </c>
      <c r="X1746" s="14" t="str">
        <f t="shared" si="621"/>
        <v/>
      </c>
    </row>
    <row r="1747" spans="20:24" x14ac:dyDescent="0.3">
      <c r="T1747" s="13" t="str">
        <f t="shared" ref="T1747:T1810" si="622">IF(A1747="",IF(A1746="","",$T$1),IF(O1747=1,"#",IF(B1747=0,"*",DEC2HEX(R1747))))</f>
        <v/>
      </c>
      <c r="U1747" s="14" t="str">
        <f t="shared" ref="U1747:U1810" si="623">IF(A1747="",IF(A1746="","",$U$1),  IF(B1747=0,Q1747,I1747)  )</f>
        <v/>
      </c>
      <c r="V1747" s="13" t="str">
        <f t="shared" ref="V1747:V1810" si="624">IF(U1747=$U$1,"",IF(A1747="",IF(A1746="","",1),  IF(B1747=0,1,D1747)  ))</f>
        <v/>
      </c>
      <c r="W1747" s="13" t="str">
        <f t="shared" ref="W1747:W1810" si="625">IF(U1747=$U$1,"",IF(A1747="",IF(A1746="","",0),  IF(C1747=0,0,0)  ))</f>
        <v/>
      </c>
      <c r="X1747" s="14" t="str">
        <f t="shared" ref="X1747:X1810" si="626">IF(U1747=$U$1,"",IF(U1747="","",IF(B1747&gt;0,IF(Q1747&lt;&gt;"",Q1747,"No description"),"-")))</f>
        <v/>
      </c>
    </row>
    <row r="1748" spans="20:24" x14ac:dyDescent="0.3">
      <c r="T1748" s="13" t="str">
        <f t="shared" si="622"/>
        <v/>
      </c>
      <c r="U1748" s="14" t="str">
        <f t="shared" si="623"/>
        <v/>
      </c>
      <c r="V1748" s="13" t="str">
        <f t="shared" si="624"/>
        <v/>
      </c>
      <c r="W1748" s="13" t="str">
        <f t="shared" si="625"/>
        <v/>
      </c>
      <c r="X1748" s="14" t="str">
        <f t="shared" si="626"/>
        <v/>
      </c>
    </row>
    <row r="1749" spans="20:24" x14ac:dyDescent="0.3">
      <c r="T1749" s="13" t="str">
        <f t="shared" si="622"/>
        <v/>
      </c>
      <c r="U1749" s="14" t="str">
        <f t="shared" si="623"/>
        <v/>
      </c>
      <c r="V1749" s="13" t="str">
        <f t="shared" si="624"/>
        <v/>
      </c>
      <c r="W1749" s="13" t="str">
        <f t="shared" si="625"/>
        <v/>
      </c>
      <c r="X1749" s="14" t="str">
        <f t="shared" si="626"/>
        <v/>
      </c>
    </row>
    <row r="1750" spans="20:24" x14ac:dyDescent="0.3">
      <c r="T1750" s="13" t="str">
        <f t="shared" si="622"/>
        <v/>
      </c>
      <c r="U1750" s="14" t="str">
        <f t="shared" si="623"/>
        <v/>
      </c>
      <c r="V1750" s="13" t="str">
        <f t="shared" si="624"/>
        <v/>
      </c>
      <c r="W1750" s="13" t="str">
        <f t="shared" si="625"/>
        <v/>
      </c>
      <c r="X1750" s="14" t="str">
        <f t="shared" si="626"/>
        <v/>
      </c>
    </row>
    <row r="1751" spans="20:24" x14ac:dyDescent="0.3">
      <c r="T1751" s="13" t="str">
        <f t="shared" si="622"/>
        <v/>
      </c>
      <c r="U1751" s="14" t="str">
        <f t="shared" si="623"/>
        <v/>
      </c>
      <c r="V1751" s="13" t="str">
        <f t="shared" si="624"/>
        <v/>
      </c>
      <c r="W1751" s="13" t="str">
        <f t="shared" si="625"/>
        <v/>
      </c>
      <c r="X1751" s="14" t="str">
        <f t="shared" si="626"/>
        <v/>
      </c>
    </row>
    <row r="1752" spans="20:24" x14ac:dyDescent="0.3">
      <c r="T1752" s="13" t="str">
        <f t="shared" si="622"/>
        <v/>
      </c>
      <c r="U1752" s="14" t="str">
        <f t="shared" si="623"/>
        <v/>
      </c>
      <c r="V1752" s="13" t="str">
        <f t="shared" si="624"/>
        <v/>
      </c>
      <c r="W1752" s="13" t="str">
        <f t="shared" si="625"/>
        <v/>
      </c>
      <c r="X1752" s="14" t="str">
        <f t="shared" si="626"/>
        <v/>
      </c>
    </row>
    <row r="1753" spans="20:24" x14ac:dyDescent="0.3">
      <c r="T1753" s="13" t="str">
        <f t="shared" si="622"/>
        <v/>
      </c>
      <c r="U1753" s="14" t="str">
        <f t="shared" si="623"/>
        <v/>
      </c>
      <c r="V1753" s="13" t="str">
        <f t="shared" si="624"/>
        <v/>
      </c>
      <c r="W1753" s="13" t="str">
        <f t="shared" si="625"/>
        <v/>
      </c>
      <c r="X1753" s="14" t="str">
        <f t="shared" si="626"/>
        <v/>
      </c>
    </row>
    <row r="1754" spans="20:24" x14ac:dyDescent="0.3">
      <c r="T1754" s="13" t="str">
        <f t="shared" si="622"/>
        <v/>
      </c>
      <c r="U1754" s="14" t="str">
        <f t="shared" si="623"/>
        <v/>
      </c>
      <c r="V1754" s="13" t="str">
        <f t="shared" si="624"/>
        <v/>
      </c>
      <c r="W1754" s="13" t="str">
        <f t="shared" si="625"/>
        <v/>
      </c>
      <c r="X1754" s="14" t="str">
        <f t="shared" si="626"/>
        <v/>
      </c>
    </row>
    <row r="1755" spans="20:24" x14ac:dyDescent="0.3">
      <c r="T1755" s="13" t="str">
        <f t="shared" si="622"/>
        <v/>
      </c>
      <c r="U1755" s="14" t="str">
        <f t="shared" si="623"/>
        <v/>
      </c>
      <c r="V1755" s="13" t="str">
        <f t="shared" si="624"/>
        <v/>
      </c>
      <c r="W1755" s="13" t="str">
        <f t="shared" si="625"/>
        <v/>
      </c>
      <c r="X1755" s="14" t="str">
        <f t="shared" si="626"/>
        <v/>
      </c>
    </row>
    <row r="1756" spans="20:24" x14ac:dyDescent="0.3">
      <c r="T1756" s="13" t="str">
        <f t="shared" si="622"/>
        <v/>
      </c>
      <c r="U1756" s="14" t="str">
        <f t="shared" si="623"/>
        <v/>
      </c>
      <c r="V1756" s="13" t="str">
        <f t="shared" si="624"/>
        <v/>
      </c>
      <c r="W1756" s="13" t="str">
        <f t="shared" si="625"/>
        <v/>
      </c>
      <c r="X1756" s="14" t="str">
        <f t="shared" si="626"/>
        <v/>
      </c>
    </row>
    <row r="1757" spans="20:24" x14ac:dyDescent="0.3">
      <c r="T1757" s="13" t="str">
        <f t="shared" si="622"/>
        <v/>
      </c>
      <c r="U1757" s="14" t="str">
        <f t="shared" si="623"/>
        <v/>
      </c>
      <c r="V1757" s="13" t="str">
        <f t="shared" si="624"/>
        <v/>
      </c>
      <c r="W1757" s="13" t="str">
        <f t="shared" si="625"/>
        <v/>
      </c>
      <c r="X1757" s="14" t="str">
        <f t="shared" si="626"/>
        <v/>
      </c>
    </row>
    <row r="1758" spans="20:24" x14ac:dyDescent="0.3">
      <c r="T1758" s="13" t="str">
        <f t="shared" si="622"/>
        <v/>
      </c>
      <c r="U1758" s="14" t="str">
        <f t="shared" si="623"/>
        <v/>
      </c>
      <c r="V1758" s="13" t="str">
        <f t="shared" si="624"/>
        <v/>
      </c>
      <c r="W1758" s="13" t="str">
        <f t="shared" si="625"/>
        <v/>
      </c>
      <c r="X1758" s="14" t="str">
        <f t="shared" si="626"/>
        <v/>
      </c>
    </row>
    <row r="1759" spans="20:24" x14ac:dyDescent="0.3">
      <c r="T1759" s="13" t="str">
        <f t="shared" si="622"/>
        <v/>
      </c>
      <c r="U1759" s="14" t="str">
        <f t="shared" si="623"/>
        <v/>
      </c>
      <c r="V1759" s="13" t="str">
        <f t="shared" si="624"/>
        <v/>
      </c>
      <c r="W1759" s="13" t="str">
        <f t="shared" si="625"/>
        <v/>
      </c>
      <c r="X1759" s="14" t="str">
        <f t="shared" si="626"/>
        <v/>
      </c>
    </row>
    <row r="1760" spans="20:24" x14ac:dyDescent="0.3">
      <c r="T1760" s="13" t="str">
        <f t="shared" si="622"/>
        <v/>
      </c>
      <c r="U1760" s="14" t="str">
        <f t="shared" si="623"/>
        <v/>
      </c>
      <c r="V1760" s="13" t="str">
        <f t="shared" si="624"/>
        <v/>
      </c>
      <c r="W1760" s="13" t="str">
        <f t="shared" si="625"/>
        <v/>
      </c>
      <c r="X1760" s="14" t="str">
        <f t="shared" si="626"/>
        <v/>
      </c>
    </row>
    <row r="1761" spans="20:24" x14ac:dyDescent="0.3">
      <c r="T1761" s="13" t="str">
        <f t="shared" si="622"/>
        <v/>
      </c>
      <c r="U1761" s="14" t="str">
        <f t="shared" si="623"/>
        <v/>
      </c>
      <c r="V1761" s="13" t="str">
        <f t="shared" si="624"/>
        <v/>
      </c>
      <c r="W1761" s="13" t="str">
        <f t="shared" si="625"/>
        <v/>
      </c>
      <c r="X1761" s="14" t="str">
        <f t="shared" si="626"/>
        <v/>
      </c>
    </row>
    <row r="1762" spans="20:24" x14ac:dyDescent="0.3">
      <c r="T1762" s="13" t="str">
        <f t="shared" si="622"/>
        <v/>
      </c>
      <c r="U1762" s="14" t="str">
        <f t="shared" si="623"/>
        <v/>
      </c>
      <c r="V1762" s="13" t="str">
        <f t="shared" si="624"/>
        <v/>
      </c>
      <c r="W1762" s="13" t="str">
        <f t="shared" si="625"/>
        <v/>
      </c>
      <c r="X1762" s="14" t="str">
        <f t="shared" si="626"/>
        <v/>
      </c>
    </row>
    <row r="1763" spans="20:24" x14ac:dyDescent="0.3">
      <c r="T1763" s="13" t="str">
        <f t="shared" si="622"/>
        <v/>
      </c>
      <c r="U1763" s="14" t="str">
        <f t="shared" si="623"/>
        <v/>
      </c>
      <c r="V1763" s="13" t="str">
        <f t="shared" si="624"/>
        <v/>
      </c>
      <c r="W1763" s="13" t="str">
        <f t="shared" si="625"/>
        <v/>
      </c>
      <c r="X1763" s="14" t="str">
        <f t="shared" si="626"/>
        <v/>
      </c>
    </row>
    <row r="1764" spans="20:24" x14ac:dyDescent="0.3">
      <c r="T1764" s="13" t="str">
        <f t="shared" si="622"/>
        <v/>
      </c>
      <c r="U1764" s="14" t="str">
        <f t="shared" si="623"/>
        <v/>
      </c>
      <c r="V1764" s="13" t="str">
        <f t="shared" si="624"/>
        <v/>
      </c>
      <c r="W1764" s="13" t="str">
        <f t="shared" si="625"/>
        <v/>
      </c>
      <c r="X1764" s="14" t="str">
        <f t="shared" si="626"/>
        <v/>
      </c>
    </row>
    <row r="1765" spans="20:24" x14ac:dyDescent="0.3">
      <c r="T1765" s="13" t="str">
        <f t="shared" si="622"/>
        <v/>
      </c>
      <c r="U1765" s="14" t="str">
        <f t="shared" si="623"/>
        <v/>
      </c>
      <c r="V1765" s="13" t="str">
        <f t="shared" si="624"/>
        <v/>
      </c>
      <c r="W1765" s="13" t="str">
        <f t="shared" si="625"/>
        <v/>
      </c>
      <c r="X1765" s="14" t="str">
        <f t="shared" si="626"/>
        <v/>
      </c>
    </row>
    <row r="1766" spans="20:24" x14ac:dyDescent="0.3">
      <c r="T1766" s="13" t="str">
        <f t="shared" si="622"/>
        <v/>
      </c>
      <c r="U1766" s="14" t="str">
        <f t="shared" si="623"/>
        <v/>
      </c>
      <c r="V1766" s="13" t="str">
        <f t="shared" si="624"/>
        <v/>
      </c>
      <c r="W1766" s="13" t="str">
        <f t="shared" si="625"/>
        <v/>
      </c>
      <c r="X1766" s="14" t="str">
        <f t="shared" si="626"/>
        <v/>
      </c>
    </row>
    <row r="1767" spans="20:24" x14ac:dyDescent="0.3">
      <c r="T1767" s="13" t="str">
        <f t="shared" si="622"/>
        <v/>
      </c>
      <c r="U1767" s="14" t="str">
        <f t="shared" si="623"/>
        <v/>
      </c>
      <c r="V1767" s="13" t="str">
        <f t="shared" si="624"/>
        <v/>
      </c>
      <c r="W1767" s="13" t="str">
        <f t="shared" si="625"/>
        <v/>
      </c>
      <c r="X1767" s="14" t="str">
        <f t="shared" si="626"/>
        <v/>
      </c>
    </row>
    <row r="1768" spans="20:24" x14ac:dyDescent="0.3">
      <c r="T1768" s="13" t="str">
        <f t="shared" si="622"/>
        <v/>
      </c>
      <c r="U1768" s="14" t="str">
        <f t="shared" si="623"/>
        <v/>
      </c>
      <c r="V1768" s="13" t="str">
        <f t="shared" si="624"/>
        <v/>
      </c>
      <c r="W1768" s="13" t="str">
        <f t="shared" si="625"/>
        <v/>
      </c>
      <c r="X1768" s="14" t="str">
        <f t="shared" si="626"/>
        <v/>
      </c>
    </row>
    <row r="1769" spans="20:24" x14ac:dyDescent="0.3">
      <c r="T1769" s="13" t="str">
        <f t="shared" si="622"/>
        <v/>
      </c>
      <c r="U1769" s="14" t="str">
        <f t="shared" si="623"/>
        <v/>
      </c>
      <c r="V1769" s="13" t="str">
        <f t="shared" si="624"/>
        <v/>
      </c>
      <c r="W1769" s="13" t="str">
        <f t="shared" si="625"/>
        <v/>
      </c>
      <c r="X1769" s="14" t="str">
        <f t="shared" si="626"/>
        <v/>
      </c>
    </row>
    <row r="1770" spans="20:24" x14ac:dyDescent="0.3">
      <c r="T1770" s="13" t="str">
        <f t="shared" si="622"/>
        <v/>
      </c>
      <c r="U1770" s="14" t="str">
        <f t="shared" si="623"/>
        <v/>
      </c>
      <c r="V1770" s="13" t="str">
        <f t="shared" si="624"/>
        <v/>
      </c>
      <c r="W1770" s="13" t="str">
        <f t="shared" si="625"/>
        <v/>
      </c>
      <c r="X1770" s="14" t="str">
        <f t="shared" si="626"/>
        <v/>
      </c>
    </row>
    <row r="1771" spans="20:24" x14ac:dyDescent="0.3">
      <c r="T1771" s="13" t="str">
        <f t="shared" si="622"/>
        <v/>
      </c>
      <c r="U1771" s="14" t="str">
        <f t="shared" si="623"/>
        <v/>
      </c>
      <c r="V1771" s="13" t="str">
        <f t="shared" si="624"/>
        <v/>
      </c>
      <c r="W1771" s="13" t="str">
        <f t="shared" si="625"/>
        <v/>
      </c>
      <c r="X1771" s="14" t="str">
        <f t="shared" si="626"/>
        <v/>
      </c>
    </row>
    <row r="1772" spans="20:24" x14ac:dyDescent="0.3">
      <c r="T1772" s="13" t="str">
        <f t="shared" si="622"/>
        <v/>
      </c>
      <c r="U1772" s="14" t="str">
        <f t="shared" si="623"/>
        <v/>
      </c>
      <c r="V1772" s="13" t="str">
        <f t="shared" si="624"/>
        <v/>
      </c>
      <c r="W1772" s="13" t="str">
        <f t="shared" si="625"/>
        <v/>
      </c>
      <c r="X1772" s="14" t="str">
        <f t="shared" si="626"/>
        <v/>
      </c>
    </row>
    <row r="1773" spans="20:24" x14ac:dyDescent="0.3">
      <c r="T1773" s="13" t="str">
        <f t="shared" si="622"/>
        <v/>
      </c>
      <c r="U1773" s="14" t="str">
        <f t="shared" si="623"/>
        <v/>
      </c>
      <c r="V1773" s="13" t="str">
        <f t="shared" si="624"/>
        <v/>
      </c>
      <c r="W1773" s="13" t="str">
        <f t="shared" si="625"/>
        <v/>
      </c>
      <c r="X1773" s="14" t="str">
        <f t="shared" si="626"/>
        <v/>
      </c>
    </row>
    <row r="1774" spans="20:24" x14ac:dyDescent="0.3">
      <c r="T1774" s="13" t="str">
        <f t="shared" si="622"/>
        <v/>
      </c>
      <c r="U1774" s="14" t="str">
        <f t="shared" si="623"/>
        <v/>
      </c>
      <c r="V1774" s="13" t="str">
        <f t="shared" si="624"/>
        <v/>
      </c>
      <c r="W1774" s="13" t="str">
        <f t="shared" si="625"/>
        <v/>
      </c>
      <c r="X1774" s="14" t="str">
        <f t="shared" si="626"/>
        <v/>
      </c>
    </row>
    <row r="1775" spans="20:24" x14ac:dyDescent="0.3">
      <c r="T1775" s="13" t="str">
        <f t="shared" si="622"/>
        <v/>
      </c>
      <c r="U1775" s="14" t="str">
        <f t="shared" si="623"/>
        <v/>
      </c>
      <c r="V1775" s="13" t="str">
        <f t="shared" si="624"/>
        <v/>
      </c>
      <c r="W1775" s="13" t="str">
        <f t="shared" si="625"/>
        <v/>
      </c>
      <c r="X1775" s="14" t="str">
        <f t="shared" si="626"/>
        <v/>
      </c>
    </row>
    <row r="1776" spans="20:24" x14ac:dyDescent="0.3">
      <c r="T1776" s="13" t="str">
        <f t="shared" si="622"/>
        <v/>
      </c>
      <c r="U1776" s="14" t="str">
        <f t="shared" si="623"/>
        <v/>
      </c>
      <c r="V1776" s="13" t="str">
        <f t="shared" si="624"/>
        <v/>
      </c>
      <c r="W1776" s="13" t="str">
        <f t="shared" si="625"/>
        <v/>
      </c>
      <c r="X1776" s="14" t="str">
        <f t="shared" si="626"/>
        <v/>
      </c>
    </row>
    <row r="1777" spans="20:24" x14ac:dyDescent="0.3">
      <c r="T1777" s="13" t="str">
        <f t="shared" si="622"/>
        <v/>
      </c>
      <c r="U1777" s="14" t="str">
        <f t="shared" si="623"/>
        <v/>
      </c>
      <c r="V1777" s="13" t="str">
        <f t="shared" si="624"/>
        <v/>
      </c>
      <c r="W1777" s="13" t="str">
        <f t="shared" si="625"/>
        <v/>
      </c>
      <c r="X1777" s="14" t="str">
        <f t="shared" si="626"/>
        <v/>
      </c>
    </row>
    <row r="1778" spans="20:24" x14ac:dyDescent="0.3">
      <c r="T1778" s="13" t="str">
        <f t="shared" si="622"/>
        <v/>
      </c>
      <c r="U1778" s="14" t="str">
        <f t="shared" si="623"/>
        <v/>
      </c>
      <c r="V1778" s="13" t="str">
        <f t="shared" si="624"/>
        <v/>
      </c>
      <c r="W1778" s="13" t="str">
        <f t="shared" si="625"/>
        <v/>
      </c>
      <c r="X1778" s="14" t="str">
        <f t="shared" si="626"/>
        <v/>
      </c>
    </row>
    <row r="1779" spans="20:24" x14ac:dyDescent="0.3">
      <c r="T1779" s="13" t="str">
        <f t="shared" si="622"/>
        <v/>
      </c>
      <c r="U1779" s="14" t="str">
        <f t="shared" si="623"/>
        <v/>
      </c>
      <c r="V1779" s="13" t="str">
        <f t="shared" si="624"/>
        <v/>
      </c>
      <c r="W1779" s="13" t="str">
        <f t="shared" si="625"/>
        <v/>
      </c>
      <c r="X1779" s="14" t="str">
        <f t="shared" si="626"/>
        <v/>
      </c>
    </row>
    <row r="1780" spans="20:24" x14ac:dyDescent="0.3">
      <c r="T1780" s="13" t="str">
        <f t="shared" si="622"/>
        <v/>
      </c>
      <c r="U1780" s="14" t="str">
        <f t="shared" si="623"/>
        <v/>
      </c>
      <c r="V1780" s="13" t="str">
        <f t="shared" si="624"/>
        <v/>
      </c>
      <c r="W1780" s="13" t="str">
        <f t="shared" si="625"/>
        <v/>
      </c>
      <c r="X1780" s="14" t="str">
        <f t="shared" si="626"/>
        <v/>
      </c>
    </row>
    <row r="1781" spans="20:24" x14ac:dyDescent="0.3">
      <c r="T1781" s="13" t="str">
        <f t="shared" si="622"/>
        <v/>
      </c>
      <c r="U1781" s="14" t="str">
        <f t="shared" si="623"/>
        <v/>
      </c>
      <c r="V1781" s="13" t="str">
        <f t="shared" si="624"/>
        <v/>
      </c>
      <c r="W1781" s="13" t="str">
        <f t="shared" si="625"/>
        <v/>
      </c>
      <c r="X1781" s="14" t="str">
        <f t="shared" si="626"/>
        <v/>
      </c>
    </row>
    <row r="1782" spans="20:24" x14ac:dyDescent="0.3">
      <c r="T1782" s="13" t="str">
        <f t="shared" si="622"/>
        <v/>
      </c>
      <c r="U1782" s="14" t="str">
        <f t="shared" si="623"/>
        <v/>
      </c>
      <c r="V1782" s="13" t="str">
        <f t="shared" si="624"/>
        <v/>
      </c>
      <c r="W1782" s="13" t="str">
        <f t="shared" si="625"/>
        <v/>
      </c>
      <c r="X1782" s="14" t="str">
        <f t="shared" si="626"/>
        <v/>
      </c>
    </row>
    <row r="1783" spans="20:24" x14ac:dyDescent="0.3">
      <c r="T1783" s="13" t="str">
        <f t="shared" si="622"/>
        <v/>
      </c>
      <c r="U1783" s="14" t="str">
        <f t="shared" si="623"/>
        <v/>
      </c>
      <c r="V1783" s="13" t="str">
        <f t="shared" si="624"/>
        <v/>
      </c>
      <c r="W1783" s="13" t="str">
        <f t="shared" si="625"/>
        <v/>
      </c>
      <c r="X1783" s="14" t="str">
        <f t="shared" si="626"/>
        <v/>
      </c>
    </row>
    <row r="1784" spans="20:24" x14ac:dyDescent="0.3">
      <c r="T1784" s="13" t="str">
        <f t="shared" si="622"/>
        <v/>
      </c>
      <c r="U1784" s="14" t="str">
        <f t="shared" si="623"/>
        <v/>
      </c>
      <c r="V1784" s="13" t="str">
        <f t="shared" si="624"/>
        <v/>
      </c>
      <c r="W1784" s="13" t="str">
        <f t="shared" si="625"/>
        <v/>
      </c>
      <c r="X1784" s="14" t="str">
        <f t="shared" si="626"/>
        <v/>
      </c>
    </row>
    <row r="1785" spans="20:24" x14ac:dyDescent="0.3">
      <c r="T1785" s="13" t="str">
        <f t="shared" si="622"/>
        <v/>
      </c>
      <c r="U1785" s="14" t="str">
        <f t="shared" si="623"/>
        <v/>
      </c>
      <c r="V1785" s="13" t="str">
        <f t="shared" si="624"/>
        <v/>
      </c>
      <c r="W1785" s="13" t="str">
        <f t="shared" si="625"/>
        <v/>
      </c>
      <c r="X1785" s="14" t="str">
        <f t="shared" si="626"/>
        <v/>
      </c>
    </row>
    <row r="1786" spans="20:24" x14ac:dyDescent="0.3">
      <c r="T1786" s="13" t="str">
        <f t="shared" si="622"/>
        <v/>
      </c>
      <c r="U1786" s="14" t="str">
        <f t="shared" si="623"/>
        <v/>
      </c>
      <c r="V1786" s="13" t="str">
        <f t="shared" si="624"/>
        <v/>
      </c>
      <c r="W1786" s="13" t="str">
        <f t="shared" si="625"/>
        <v/>
      </c>
      <c r="X1786" s="14" t="str">
        <f t="shared" si="626"/>
        <v/>
      </c>
    </row>
    <row r="1787" spans="20:24" x14ac:dyDescent="0.3">
      <c r="T1787" s="13" t="str">
        <f t="shared" si="622"/>
        <v/>
      </c>
      <c r="U1787" s="14" t="str">
        <f t="shared" si="623"/>
        <v/>
      </c>
      <c r="V1787" s="13" t="str">
        <f t="shared" si="624"/>
        <v/>
      </c>
      <c r="W1787" s="13" t="str">
        <f t="shared" si="625"/>
        <v/>
      </c>
      <c r="X1787" s="14" t="str">
        <f t="shared" si="626"/>
        <v/>
      </c>
    </row>
    <row r="1788" spans="20:24" x14ac:dyDescent="0.3">
      <c r="T1788" s="13" t="str">
        <f t="shared" si="622"/>
        <v/>
      </c>
      <c r="U1788" s="14" t="str">
        <f t="shared" si="623"/>
        <v/>
      </c>
      <c r="V1788" s="13" t="str">
        <f t="shared" si="624"/>
        <v/>
      </c>
      <c r="W1788" s="13" t="str">
        <f t="shared" si="625"/>
        <v/>
      </c>
      <c r="X1788" s="14" t="str">
        <f t="shared" si="626"/>
        <v/>
      </c>
    </row>
    <row r="1789" spans="20:24" x14ac:dyDescent="0.3">
      <c r="T1789" s="13" t="str">
        <f t="shared" si="622"/>
        <v/>
      </c>
      <c r="U1789" s="14" t="str">
        <f t="shared" si="623"/>
        <v/>
      </c>
      <c r="V1789" s="13" t="str">
        <f t="shared" si="624"/>
        <v/>
      </c>
      <c r="W1789" s="13" t="str">
        <f t="shared" si="625"/>
        <v/>
      </c>
      <c r="X1789" s="14" t="str">
        <f t="shared" si="626"/>
        <v/>
      </c>
    </row>
    <row r="1790" spans="20:24" x14ac:dyDescent="0.3">
      <c r="T1790" s="13" t="str">
        <f t="shared" si="622"/>
        <v/>
      </c>
      <c r="U1790" s="14" t="str">
        <f t="shared" si="623"/>
        <v/>
      </c>
      <c r="V1790" s="13" t="str">
        <f t="shared" si="624"/>
        <v/>
      </c>
      <c r="W1790" s="13" t="str">
        <f t="shared" si="625"/>
        <v/>
      </c>
      <c r="X1790" s="14" t="str">
        <f t="shared" si="626"/>
        <v/>
      </c>
    </row>
    <row r="1791" spans="20:24" x14ac:dyDescent="0.3">
      <c r="T1791" s="13" t="str">
        <f t="shared" si="622"/>
        <v/>
      </c>
      <c r="U1791" s="14" t="str">
        <f t="shared" si="623"/>
        <v/>
      </c>
      <c r="V1791" s="13" t="str">
        <f t="shared" si="624"/>
        <v/>
      </c>
      <c r="W1791" s="13" t="str">
        <f t="shared" si="625"/>
        <v/>
      </c>
      <c r="X1791" s="14" t="str">
        <f t="shared" si="626"/>
        <v/>
      </c>
    </row>
    <row r="1792" spans="20:24" x14ac:dyDescent="0.3">
      <c r="T1792" s="13" t="str">
        <f t="shared" si="622"/>
        <v/>
      </c>
      <c r="U1792" s="14" t="str">
        <f t="shared" si="623"/>
        <v/>
      </c>
      <c r="V1792" s="13" t="str">
        <f t="shared" si="624"/>
        <v/>
      </c>
      <c r="W1792" s="13" t="str">
        <f t="shared" si="625"/>
        <v/>
      </c>
      <c r="X1792" s="14" t="str">
        <f t="shared" si="626"/>
        <v/>
      </c>
    </row>
    <row r="1793" spans="20:24" x14ac:dyDescent="0.3">
      <c r="T1793" s="13" t="str">
        <f t="shared" si="622"/>
        <v/>
      </c>
      <c r="U1793" s="14" t="str">
        <f t="shared" si="623"/>
        <v/>
      </c>
      <c r="V1793" s="13" t="str">
        <f t="shared" si="624"/>
        <v/>
      </c>
      <c r="W1793" s="13" t="str">
        <f t="shared" si="625"/>
        <v/>
      </c>
      <c r="X1793" s="14" t="str">
        <f t="shared" si="626"/>
        <v/>
      </c>
    </row>
    <row r="1794" spans="20:24" x14ac:dyDescent="0.3">
      <c r="T1794" s="13" t="str">
        <f t="shared" si="622"/>
        <v/>
      </c>
      <c r="U1794" s="14" t="str">
        <f t="shared" si="623"/>
        <v/>
      </c>
      <c r="V1794" s="13" t="str">
        <f t="shared" si="624"/>
        <v/>
      </c>
      <c r="W1794" s="13" t="str">
        <f t="shared" si="625"/>
        <v/>
      </c>
      <c r="X1794" s="14" t="str">
        <f t="shared" si="626"/>
        <v/>
      </c>
    </row>
    <row r="1795" spans="20:24" x14ac:dyDescent="0.3">
      <c r="T1795" s="13" t="str">
        <f t="shared" si="622"/>
        <v/>
      </c>
      <c r="U1795" s="14" t="str">
        <f t="shared" si="623"/>
        <v/>
      </c>
      <c r="V1795" s="13" t="str">
        <f t="shared" si="624"/>
        <v/>
      </c>
      <c r="W1795" s="13" t="str">
        <f t="shared" si="625"/>
        <v/>
      </c>
      <c r="X1795" s="14" t="str">
        <f t="shared" si="626"/>
        <v/>
      </c>
    </row>
    <row r="1796" spans="20:24" x14ac:dyDescent="0.3">
      <c r="T1796" s="13" t="str">
        <f t="shared" si="622"/>
        <v/>
      </c>
      <c r="U1796" s="14" t="str">
        <f t="shared" si="623"/>
        <v/>
      </c>
      <c r="V1796" s="13" t="str">
        <f t="shared" si="624"/>
        <v/>
      </c>
      <c r="W1796" s="13" t="str">
        <f t="shared" si="625"/>
        <v/>
      </c>
      <c r="X1796" s="14" t="str">
        <f t="shared" si="626"/>
        <v/>
      </c>
    </row>
    <row r="1797" spans="20:24" x14ac:dyDescent="0.3">
      <c r="T1797" s="13" t="str">
        <f t="shared" si="622"/>
        <v/>
      </c>
      <c r="U1797" s="14" t="str">
        <f t="shared" si="623"/>
        <v/>
      </c>
      <c r="V1797" s="13" t="str">
        <f t="shared" si="624"/>
        <v/>
      </c>
      <c r="W1797" s="13" t="str">
        <f t="shared" si="625"/>
        <v/>
      </c>
      <c r="X1797" s="14" t="str">
        <f t="shared" si="626"/>
        <v/>
      </c>
    </row>
    <row r="1798" spans="20:24" x14ac:dyDescent="0.3">
      <c r="T1798" s="13" t="str">
        <f t="shared" si="622"/>
        <v/>
      </c>
      <c r="U1798" s="14" t="str">
        <f t="shared" si="623"/>
        <v/>
      </c>
      <c r="V1798" s="13" t="str">
        <f t="shared" si="624"/>
        <v/>
      </c>
      <c r="W1798" s="13" t="str">
        <f t="shared" si="625"/>
        <v/>
      </c>
      <c r="X1798" s="14" t="str">
        <f t="shared" si="626"/>
        <v/>
      </c>
    </row>
    <row r="1799" spans="20:24" x14ac:dyDescent="0.3">
      <c r="T1799" s="13" t="str">
        <f t="shared" si="622"/>
        <v/>
      </c>
      <c r="U1799" s="14" t="str">
        <f t="shared" si="623"/>
        <v/>
      </c>
      <c r="V1799" s="13" t="str">
        <f t="shared" si="624"/>
        <v/>
      </c>
      <c r="W1799" s="13" t="str">
        <f t="shared" si="625"/>
        <v/>
      </c>
      <c r="X1799" s="14" t="str">
        <f t="shared" si="626"/>
        <v/>
      </c>
    </row>
    <row r="1800" spans="20:24" x14ac:dyDescent="0.3">
      <c r="T1800" s="13" t="str">
        <f t="shared" si="622"/>
        <v/>
      </c>
      <c r="U1800" s="14" t="str">
        <f t="shared" si="623"/>
        <v/>
      </c>
      <c r="V1800" s="13" t="str">
        <f t="shared" si="624"/>
        <v/>
      </c>
      <c r="W1800" s="13" t="str">
        <f t="shared" si="625"/>
        <v/>
      </c>
      <c r="X1800" s="14" t="str">
        <f t="shared" si="626"/>
        <v/>
      </c>
    </row>
    <row r="1801" spans="20:24" x14ac:dyDescent="0.3">
      <c r="T1801" s="13" t="str">
        <f t="shared" si="622"/>
        <v/>
      </c>
      <c r="U1801" s="14" t="str">
        <f t="shared" si="623"/>
        <v/>
      </c>
      <c r="V1801" s="13" t="str">
        <f t="shared" si="624"/>
        <v/>
      </c>
      <c r="W1801" s="13" t="str">
        <f t="shared" si="625"/>
        <v/>
      </c>
      <c r="X1801" s="14" t="str">
        <f t="shared" si="626"/>
        <v/>
      </c>
    </row>
    <row r="1802" spans="20:24" x14ac:dyDescent="0.3">
      <c r="T1802" s="13" t="str">
        <f t="shared" si="622"/>
        <v/>
      </c>
      <c r="U1802" s="14" t="str">
        <f t="shared" si="623"/>
        <v/>
      </c>
      <c r="V1802" s="13" t="str">
        <f t="shared" si="624"/>
        <v/>
      </c>
      <c r="W1802" s="13" t="str">
        <f t="shared" si="625"/>
        <v/>
      </c>
      <c r="X1802" s="14" t="str">
        <f t="shared" si="626"/>
        <v/>
      </c>
    </row>
    <row r="1803" spans="20:24" x14ac:dyDescent="0.3">
      <c r="T1803" s="13" t="str">
        <f t="shared" si="622"/>
        <v/>
      </c>
      <c r="U1803" s="14" t="str">
        <f t="shared" si="623"/>
        <v/>
      </c>
      <c r="V1803" s="13" t="str">
        <f t="shared" si="624"/>
        <v/>
      </c>
      <c r="W1803" s="13" t="str">
        <f t="shared" si="625"/>
        <v/>
      </c>
      <c r="X1803" s="14" t="str">
        <f t="shared" si="626"/>
        <v/>
      </c>
    </row>
    <row r="1804" spans="20:24" x14ac:dyDescent="0.3">
      <c r="T1804" s="13" t="str">
        <f t="shared" si="622"/>
        <v/>
      </c>
      <c r="U1804" s="14" t="str">
        <f t="shared" si="623"/>
        <v/>
      </c>
      <c r="V1804" s="13" t="str">
        <f t="shared" si="624"/>
        <v/>
      </c>
      <c r="W1804" s="13" t="str">
        <f t="shared" si="625"/>
        <v/>
      </c>
      <c r="X1804" s="14" t="str">
        <f t="shared" si="626"/>
        <v/>
      </c>
    </row>
    <row r="1805" spans="20:24" x14ac:dyDescent="0.3">
      <c r="T1805" s="13" t="str">
        <f t="shared" si="622"/>
        <v/>
      </c>
      <c r="U1805" s="14" t="str">
        <f t="shared" si="623"/>
        <v/>
      </c>
      <c r="V1805" s="13" t="str">
        <f t="shared" si="624"/>
        <v/>
      </c>
      <c r="W1805" s="13" t="str">
        <f t="shared" si="625"/>
        <v/>
      </c>
      <c r="X1805" s="14" t="str">
        <f t="shared" si="626"/>
        <v/>
      </c>
    </row>
    <row r="1806" spans="20:24" x14ac:dyDescent="0.3">
      <c r="T1806" s="13" t="str">
        <f t="shared" si="622"/>
        <v/>
      </c>
      <c r="U1806" s="14" t="str">
        <f t="shared" si="623"/>
        <v/>
      </c>
      <c r="V1806" s="13" t="str">
        <f t="shared" si="624"/>
        <v/>
      </c>
      <c r="W1806" s="13" t="str">
        <f t="shared" si="625"/>
        <v/>
      </c>
      <c r="X1806" s="14" t="str">
        <f t="shared" si="626"/>
        <v/>
      </c>
    </row>
    <row r="1807" spans="20:24" x14ac:dyDescent="0.3">
      <c r="T1807" s="13" t="str">
        <f t="shared" si="622"/>
        <v/>
      </c>
      <c r="U1807" s="14" t="str">
        <f t="shared" si="623"/>
        <v/>
      </c>
      <c r="V1807" s="13" t="str">
        <f t="shared" si="624"/>
        <v/>
      </c>
      <c r="W1807" s="13" t="str">
        <f t="shared" si="625"/>
        <v/>
      </c>
      <c r="X1807" s="14" t="str">
        <f t="shared" si="626"/>
        <v/>
      </c>
    </row>
    <row r="1808" spans="20:24" x14ac:dyDescent="0.3">
      <c r="T1808" s="13" t="str">
        <f t="shared" si="622"/>
        <v/>
      </c>
      <c r="U1808" s="14" t="str">
        <f t="shared" si="623"/>
        <v/>
      </c>
      <c r="V1808" s="13" t="str">
        <f t="shared" si="624"/>
        <v/>
      </c>
      <c r="W1808" s="13" t="str">
        <f t="shared" si="625"/>
        <v/>
      </c>
      <c r="X1808" s="14" t="str">
        <f t="shared" si="626"/>
        <v/>
      </c>
    </row>
    <row r="1809" spans="20:24" x14ac:dyDescent="0.3">
      <c r="T1809" s="13" t="str">
        <f t="shared" si="622"/>
        <v/>
      </c>
      <c r="U1809" s="14" t="str">
        <f t="shared" si="623"/>
        <v/>
      </c>
      <c r="V1809" s="13" t="str">
        <f t="shared" si="624"/>
        <v/>
      </c>
      <c r="W1809" s="13" t="str">
        <f t="shared" si="625"/>
        <v/>
      </c>
      <c r="X1809" s="14" t="str">
        <f t="shared" si="626"/>
        <v/>
      </c>
    </row>
    <row r="1810" spans="20:24" x14ac:dyDescent="0.3">
      <c r="T1810" s="13" t="str">
        <f t="shared" si="622"/>
        <v/>
      </c>
      <c r="U1810" s="14" t="str">
        <f t="shared" si="623"/>
        <v/>
      </c>
      <c r="V1810" s="13" t="str">
        <f t="shared" si="624"/>
        <v/>
      </c>
      <c r="W1810" s="13" t="str">
        <f t="shared" si="625"/>
        <v/>
      </c>
      <c r="X1810" s="14" t="str">
        <f t="shared" si="626"/>
        <v/>
      </c>
    </row>
    <row r="1811" spans="20:24" x14ac:dyDescent="0.3">
      <c r="T1811" s="13" t="str">
        <f t="shared" ref="T1811:T1874" si="627">IF(A1811="",IF(A1810="","",$T$1),IF(O1811=1,"#",IF(B1811=0,"*",DEC2HEX(R1811))))</f>
        <v/>
      </c>
      <c r="U1811" s="14" t="str">
        <f t="shared" ref="U1811:U1874" si="628">IF(A1811="",IF(A1810="","",$U$1),  IF(B1811=0,Q1811,I1811)  )</f>
        <v/>
      </c>
      <c r="V1811" s="13" t="str">
        <f t="shared" ref="V1811:V1874" si="629">IF(U1811=$U$1,"",IF(A1811="",IF(A1810="","",1),  IF(B1811=0,1,D1811)  ))</f>
        <v/>
      </c>
      <c r="W1811" s="13" t="str">
        <f t="shared" ref="W1811:W1874" si="630">IF(U1811=$U$1,"",IF(A1811="",IF(A1810="","",0),  IF(C1811=0,0,0)  ))</f>
        <v/>
      </c>
      <c r="X1811" s="14" t="str">
        <f t="shared" ref="X1811:X1874" si="631">IF(U1811=$U$1,"",IF(U1811="","",IF(B1811&gt;0,IF(Q1811&lt;&gt;"",Q1811,"No description"),"-")))</f>
        <v/>
      </c>
    </row>
    <row r="1812" spans="20:24" x14ac:dyDescent="0.3">
      <c r="T1812" s="13" t="str">
        <f t="shared" si="627"/>
        <v/>
      </c>
      <c r="U1812" s="14" t="str">
        <f t="shared" si="628"/>
        <v/>
      </c>
      <c r="V1812" s="13" t="str">
        <f t="shared" si="629"/>
        <v/>
      </c>
      <c r="W1812" s="13" t="str">
        <f t="shared" si="630"/>
        <v/>
      </c>
      <c r="X1812" s="14" t="str">
        <f t="shared" si="631"/>
        <v/>
      </c>
    </row>
    <row r="1813" spans="20:24" x14ac:dyDescent="0.3">
      <c r="T1813" s="13" t="str">
        <f t="shared" si="627"/>
        <v/>
      </c>
      <c r="U1813" s="14" t="str">
        <f t="shared" si="628"/>
        <v/>
      </c>
      <c r="V1813" s="13" t="str">
        <f t="shared" si="629"/>
        <v/>
      </c>
      <c r="W1813" s="13" t="str">
        <f t="shared" si="630"/>
        <v/>
      </c>
      <c r="X1813" s="14" t="str">
        <f t="shared" si="631"/>
        <v/>
      </c>
    </row>
    <row r="1814" spans="20:24" x14ac:dyDescent="0.3">
      <c r="T1814" s="13" t="str">
        <f t="shared" si="627"/>
        <v/>
      </c>
      <c r="U1814" s="14" t="str">
        <f t="shared" si="628"/>
        <v/>
      </c>
      <c r="V1814" s="13" t="str">
        <f t="shared" si="629"/>
        <v/>
      </c>
      <c r="W1814" s="13" t="str">
        <f t="shared" si="630"/>
        <v/>
      </c>
      <c r="X1814" s="14" t="str">
        <f t="shared" si="631"/>
        <v/>
      </c>
    </row>
    <row r="1815" spans="20:24" x14ac:dyDescent="0.3">
      <c r="T1815" s="13" t="str">
        <f t="shared" si="627"/>
        <v/>
      </c>
      <c r="U1815" s="14" t="str">
        <f t="shared" si="628"/>
        <v/>
      </c>
      <c r="V1815" s="13" t="str">
        <f t="shared" si="629"/>
        <v/>
      </c>
      <c r="W1815" s="13" t="str">
        <f t="shared" si="630"/>
        <v/>
      </c>
      <c r="X1815" s="14" t="str">
        <f t="shared" si="631"/>
        <v/>
      </c>
    </row>
    <row r="1816" spans="20:24" x14ac:dyDescent="0.3">
      <c r="T1816" s="13" t="str">
        <f t="shared" si="627"/>
        <v/>
      </c>
      <c r="U1816" s="14" t="str">
        <f t="shared" si="628"/>
        <v/>
      </c>
      <c r="V1816" s="13" t="str">
        <f t="shared" si="629"/>
        <v/>
      </c>
      <c r="W1816" s="13" t="str">
        <f t="shared" si="630"/>
        <v/>
      </c>
      <c r="X1816" s="14" t="str">
        <f t="shared" si="631"/>
        <v/>
      </c>
    </row>
    <row r="1817" spans="20:24" x14ac:dyDescent="0.3">
      <c r="T1817" s="13" t="str">
        <f t="shared" si="627"/>
        <v/>
      </c>
      <c r="U1817" s="14" t="str">
        <f t="shared" si="628"/>
        <v/>
      </c>
      <c r="V1817" s="13" t="str">
        <f t="shared" si="629"/>
        <v/>
      </c>
      <c r="W1817" s="13" t="str">
        <f t="shared" si="630"/>
        <v/>
      </c>
      <c r="X1817" s="14" t="str">
        <f t="shared" si="631"/>
        <v/>
      </c>
    </row>
    <row r="1818" spans="20:24" x14ac:dyDescent="0.3">
      <c r="T1818" s="13" t="str">
        <f t="shared" si="627"/>
        <v/>
      </c>
      <c r="U1818" s="14" t="str">
        <f t="shared" si="628"/>
        <v/>
      </c>
      <c r="V1818" s="13" t="str">
        <f t="shared" si="629"/>
        <v/>
      </c>
      <c r="W1818" s="13" t="str">
        <f t="shared" si="630"/>
        <v/>
      </c>
      <c r="X1818" s="14" t="str">
        <f t="shared" si="631"/>
        <v/>
      </c>
    </row>
    <row r="1819" spans="20:24" x14ac:dyDescent="0.3">
      <c r="T1819" s="13" t="str">
        <f t="shared" si="627"/>
        <v/>
      </c>
      <c r="U1819" s="14" t="str">
        <f t="shared" si="628"/>
        <v/>
      </c>
      <c r="V1819" s="13" t="str">
        <f t="shared" si="629"/>
        <v/>
      </c>
      <c r="W1819" s="13" t="str">
        <f t="shared" si="630"/>
        <v/>
      </c>
      <c r="X1819" s="14" t="str">
        <f t="shared" si="631"/>
        <v/>
      </c>
    </row>
    <row r="1820" spans="20:24" x14ac:dyDescent="0.3">
      <c r="T1820" s="13" t="str">
        <f t="shared" si="627"/>
        <v/>
      </c>
      <c r="U1820" s="14" t="str">
        <f t="shared" si="628"/>
        <v/>
      </c>
      <c r="V1820" s="13" t="str">
        <f t="shared" si="629"/>
        <v/>
      </c>
      <c r="W1820" s="13" t="str">
        <f t="shared" si="630"/>
        <v/>
      </c>
      <c r="X1820" s="14" t="str">
        <f t="shared" si="631"/>
        <v/>
      </c>
    </row>
    <row r="1821" spans="20:24" x14ac:dyDescent="0.3">
      <c r="T1821" s="13" t="str">
        <f t="shared" si="627"/>
        <v/>
      </c>
      <c r="U1821" s="14" t="str">
        <f t="shared" si="628"/>
        <v/>
      </c>
      <c r="V1821" s="13" t="str">
        <f t="shared" si="629"/>
        <v/>
      </c>
      <c r="W1821" s="13" t="str">
        <f t="shared" si="630"/>
        <v/>
      </c>
      <c r="X1821" s="14" t="str">
        <f t="shared" si="631"/>
        <v/>
      </c>
    </row>
    <row r="1822" spans="20:24" x14ac:dyDescent="0.3">
      <c r="T1822" s="13" t="str">
        <f t="shared" si="627"/>
        <v/>
      </c>
      <c r="U1822" s="14" t="str">
        <f t="shared" si="628"/>
        <v/>
      </c>
      <c r="V1822" s="13" t="str">
        <f t="shared" si="629"/>
        <v/>
      </c>
      <c r="W1822" s="13" t="str">
        <f t="shared" si="630"/>
        <v/>
      </c>
      <c r="X1822" s="14" t="str">
        <f t="shared" si="631"/>
        <v/>
      </c>
    </row>
    <row r="1823" spans="20:24" x14ac:dyDescent="0.3">
      <c r="T1823" s="13" t="str">
        <f t="shared" si="627"/>
        <v/>
      </c>
      <c r="U1823" s="14" t="str">
        <f t="shared" si="628"/>
        <v/>
      </c>
      <c r="V1823" s="13" t="str">
        <f t="shared" si="629"/>
        <v/>
      </c>
      <c r="W1823" s="13" t="str">
        <f t="shared" si="630"/>
        <v/>
      </c>
      <c r="X1823" s="14" t="str">
        <f t="shared" si="631"/>
        <v/>
      </c>
    </row>
    <row r="1824" spans="20:24" x14ac:dyDescent="0.3">
      <c r="T1824" s="13" t="str">
        <f t="shared" si="627"/>
        <v/>
      </c>
      <c r="U1824" s="14" t="str">
        <f t="shared" si="628"/>
        <v/>
      </c>
      <c r="V1824" s="13" t="str">
        <f t="shared" si="629"/>
        <v/>
      </c>
      <c r="W1824" s="13" t="str">
        <f t="shared" si="630"/>
        <v/>
      </c>
      <c r="X1824" s="14" t="str">
        <f t="shared" si="631"/>
        <v/>
      </c>
    </row>
    <row r="1825" spans="20:24" x14ac:dyDescent="0.3">
      <c r="T1825" s="13" t="str">
        <f t="shared" si="627"/>
        <v/>
      </c>
      <c r="U1825" s="14" t="str">
        <f t="shared" si="628"/>
        <v/>
      </c>
      <c r="V1825" s="13" t="str">
        <f t="shared" si="629"/>
        <v/>
      </c>
      <c r="W1825" s="13" t="str">
        <f t="shared" si="630"/>
        <v/>
      </c>
      <c r="X1825" s="14" t="str">
        <f t="shared" si="631"/>
        <v/>
      </c>
    </row>
    <row r="1826" spans="20:24" x14ac:dyDescent="0.3">
      <c r="T1826" s="13" t="str">
        <f t="shared" si="627"/>
        <v/>
      </c>
      <c r="U1826" s="14" t="str">
        <f t="shared" si="628"/>
        <v/>
      </c>
      <c r="V1826" s="13" t="str">
        <f t="shared" si="629"/>
        <v/>
      </c>
      <c r="W1826" s="13" t="str">
        <f t="shared" si="630"/>
        <v/>
      </c>
      <c r="X1826" s="14" t="str">
        <f t="shared" si="631"/>
        <v/>
      </c>
    </row>
    <row r="1827" spans="20:24" x14ac:dyDescent="0.3">
      <c r="T1827" s="13" t="str">
        <f t="shared" si="627"/>
        <v/>
      </c>
      <c r="U1827" s="14" t="str">
        <f t="shared" si="628"/>
        <v/>
      </c>
      <c r="V1827" s="13" t="str">
        <f t="shared" si="629"/>
        <v/>
      </c>
      <c r="W1827" s="13" t="str">
        <f t="shared" si="630"/>
        <v/>
      </c>
      <c r="X1827" s="14" t="str">
        <f t="shared" si="631"/>
        <v/>
      </c>
    </row>
    <row r="1828" spans="20:24" x14ac:dyDescent="0.3">
      <c r="T1828" s="13" t="str">
        <f t="shared" si="627"/>
        <v/>
      </c>
      <c r="U1828" s="14" t="str">
        <f t="shared" si="628"/>
        <v/>
      </c>
      <c r="V1828" s="13" t="str">
        <f t="shared" si="629"/>
        <v/>
      </c>
      <c r="W1828" s="13" t="str">
        <f t="shared" si="630"/>
        <v/>
      </c>
      <c r="X1828" s="14" t="str">
        <f t="shared" si="631"/>
        <v/>
      </c>
    </row>
    <row r="1829" spans="20:24" x14ac:dyDescent="0.3">
      <c r="T1829" s="13" t="str">
        <f t="shared" si="627"/>
        <v/>
      </c>
      <c r="U1829" s="14" t="str">
        <f t="shared" si="628"/>
        <v/>
      </c>
      <c r="V1829" s="13" t="str">
        <f t="shared" si="629"/>
        <v/>
      </c>
      <c r="W1829" s="13" t="str">
        <f t="shared" si="630"/>
        <v/>
      </c>
      <c r="X1829" s="14" t="str">
        <f t="shared" si="631"/>
        <v/>
      </c>
    </row>
    <row r="1830" spans="20:24" x14ac:dyDescent="0.3">
      <c r="T1830" s="13" t="str">
        <f t="shared" si="627"/>
        <v/>
      </c>
      <c r="U1830" s="14" t="str">
        <f t="shared" si="628"/>
        <v/>
      </c>
      <c r="V1830" s="13" t="str">
        <f t="shared" si="629"/>
        <v/>
      </c>
      <c r="W1830" s="13" t="str">
        <f t="shared" si="630"/>
        <v/>
      </c>
      <c r="X1830" s="14" t="str">
        <f t="shared" si="631"/>
        <v/>
      </c>
    </row>
    <row r="1831" spans="20:24" x14ac:dyDescent="0.3">
      <c r="T1831" s="13" t="str">
        <f t="shared" si="627"/>
        <v/>
      </c>
      <c r="U1831" s="14" t="str">
        <f t="shared" si="628"/>
        <v/>
      </c>
      <c r="V1831" s="13" t="str">
        <f t="shared" si="629"/>
        <v/>
      </c>
      <c r="W1831" s="13" t="str">
        <f t="shared" si="630"/>
        <v/>
      </c>
      <c r="X1831" s="14" t="str">
        <f t="shared" si="631"/>
        <v/>
      </c>
    </row>
    <row r="1832" spans="20:24" x14ac:dyDescent="0.3">
      <c r="T1832" s="13" t="str">
        <f t="shared" si="627"/>
        <v/>
      </c>
      <c r="U1832" s="14" t="str">
        <f t="shared" si="628"/>
        <v/>
      </c>
      <c r="V1832" s="13" t="str">
        <f t="shared" si="629"/>
        <v/>
      </c>
      <c r="W1832" s="13" t="str">
        <f t="shared" si="630"/>
        <v/>
      </c>
      <c r="X1832" s="14" t="str">
        <f t="shared" si="631"/>
        <v/>
      </c>
    </row>
    <row r="1833" spans="20:24" x14ac:dyDescent="0.3">
      <c r="T1833" s="13" t="str">
        <f t="shared" si="627"/>
        <v/>
      </c>
      <c r="U1833" s="14" t="str">
        <f t="shared" si="628"/>
        <v/>
      </c>
      <c r="V1833" s="13" t="str">
        <f t="shared" si="629"/>
        <v/>
      </c>
      <c r="W1833" s="13" t="str">
        <f t="shared" si="630"/>
        <v/>
      </c>
      <c r="X1833" s="14" t="str">
        <f t="shared" si="631"/>
        <v/>
      </c>
    </row>
    <row r="1834" spans="20:24" x14ac:dyDescent="0.3">
      <c r="T1834" s="13" t="str">
        <f t="shared" si="627"/>
        <v/>
      </c>
      <c r="U1834" s="14" t="str">
        <f t="shared" si="628"/>
        <v/>
      </c>
      <c r="V1834" s="13" t="str">
        <f t="shared" si="629"/>
        <v/>
      </c>
      <c r="W1834" s="13" t="str">
        <f t="shared" si="630"/>
        <v/>
      </c>
      <c r="X1834" s="14" t="str">
        <f t="shared" si="631"/>
        <v/>
      </c>
    </row>
    <row r="1835" spans="20:24" x14ac:dyDescent="0.3">
      <c r="T1835" s="13" t="str">
        <f t="shared" si="627"/>
        <v/>
      </c>
      <c r="U1835" s="14" t="str">
        <f t="shared" si="628"/>
        <v/>
      </c>
      <c r="V1835" s="13" t="str">
        <f t="shared" si="629"/>
        <v/>
      </c>
      <c r="W1835" s="13" t="str">
        <f t="shared" si="630"/>
        <v/>
      </c>
      <c r="X1835" s="14" t="str">
        <f t="shared" si="631"/>
        <v/>
      </c>
    </row>
    <row r="1836" spans="20:24" x14ac:dyDescent="0.3">
      <c r="T1836" s="13" t="str">
        <f t="shared" si="627"/>
        <v/>
      </c>
      <c r="U1836" s="14" t="str">
        <f t="shared" si="628"/>
        <v/>
      </c>
      <c r="V1836" s="13" t="str">
        <f t="shared" si="629"/>
        <v/>
      </c>
      <c r="W1836" s="13" t="str">
        <f t="shared" si="630"/>
        <v/>
      </c>
      <c r="X1836" s="14" t="str">
        <f t="shared" si="631"/>
        <v/>
      </c>
    </row>
    <row r="1837" spans="20:24" x14ac:dyDescent="0.3">
      <c r="T1837" s="13" t="str">
        <f t="shared" si="627"/>
        <v/>
      </c>
      <c r="U1837" s="14" t="str">
        <f t="shared" si="628"/>
        <v/>
      </c>
      <c r="V1837" s="13" t="str">
        <f t="shared" si="629"/>
        <v/>
      </c>
      <c r="W1837" s="13" t="str">
        <f t="shared" si="630"/>
        <v/>
      </c>
      <c r="X1837" s="14" t="str">
        <f t="shared" si="631"/>
        <v/>
      </c>
    </row>
    <row r="1838" spans="20:24" x14ac:dyDescent="0.3">
      <c r="T1838" s="13" t="str">
        <f t="shared" si="627"/>
        <v/>
      </c>
      <c r="U1838" s="14" t="str">
        <f t="shared" si="628"/>
        <v/>
      </c>
      <c r="V1838" s="13" t="str">
        <f t="shared" si="629"/>
        <v/>
      </c>
      <c r="W1838" s="13" t="str">
        <f t="shared" si="630"/>
        <v/>
      </c>
      <c r="X1838" s="14" t="str">
        <f t="shared" si="631"/>
        <v/>
      </c>
    </row>
    <row r="1839" spans="20:24" x14ac:dyDescent="0.3">
      <c r="T1839" s="13" t="str">
        <f t="shared" si="627"/>
        <v/>
      </c>
      <c r="U1839" s="14" t="str">
        <f t="shared" si="628"/>
        <v/>
      </c>
      <c r="V1839" s="13" t="str">
        <f t="shared" si="629"/>
        <v/>
      </c>
      <c r="W1839" s="13" t="str">
        <f t="shared" si="630"/>
        <v/>
      </c>
      <c r="X1839" s="14" t="str">
        <f t="shared" si="631"/>
        <v/>
      </c>
    </row>
    <row r="1840" spans="20:24" x14ac:dyDescent="0.3">
      <c r="T1840" s="13" t="str">
        <f t="shared" si="627"/>
        <v/>
      </c>
      <c r="U1840" s="14" t="str">
        <f t="shared" si="628"/>
        <v/>
      </c>
      <c r="V1840" s="13" t="str">
        <f t="shared" si="629"/>
        <v/>
      </c>
      <c r="W1840" s="13" t="str">
        <f t="shared" si="630"/>
        <v/>
      </c>
      <c r="X1840" s="14" t="str">
        <f t="shared" si="631"/>
        <v/>
      </c>
    </row>
    <row r="1841" spans="20:24" x14ac:dyDescent="0.3">
      <c r="T1841" s="13" t="str">
        <f t="shared" si="627"/>
        <v/>
      </c>
      <c r="U1841" s="14" t="str">
        <f t="shared" si="628"/>
        <v/>
      </c>
      <c r="V1841" s="13" t="str">
        <f t="shared" si="629"/>
        <v/>
      </c>
      <c r="W1841" s="13" t="str">
        <f t="shared" si="630"/>
        <v/>
      </c>
      <c r="X1841" s="14" t="str">
        <f t="shared" si="631"/>
        <v/>
      </c>
    </row>
    <row r="1842" spans="20:24" x14ac:dyDescent="0.3">
      <c r="T1842" s="13" t="str">
        <f t="shared" si="627"/>
        <v/>
      </c>
      <c r="U1842" s="14" t="str">
        <f t="shared" si="628"/>
        <v/>
      </c>
      <c r="V1842" s="13" t="str">
        <f t="shared" si="629"/>
        <v/>
      </c>
      <c r="W1842" s="13" t="str">
        <f t="shared" si="630"/>
        <v/>
      </c>
      <c r="X1842" s="14" t="str">
        <f t="shared" si="631"/>
        <v/>
      </c>
    </row>
    <row r="1843" spans="20:24" x14ac:dyDescent="0.3">
      <c r="T1843" s="13" t="str">
        <f t="shared" si="627"/>
        <v/>
      </c>
      <c r="U1843" s="14" t="str">
        <f t="shared" si="628"/>
        <v/>
      </c>
      <c r="V1843" s="13" t="str">
        <f t="shared" si="629"/>
        <v/>
      </c>
      <c r="W1843" s="13" t="str">
        <f t="shared" si="630"/>
        <v/>
      </c>
      <c r="X1843" s="14" t="str">
        <f t="shared" si="631"/>
        <v/>
      </c>
    </row>
    <row r="1844" spans="20:24" x14ac:dyDescent="0.3">
      <c r="T1844" s="13" t="str">
        <f t="shared" si="627"/>
        <v/>
      </c>
      <c r="U1844" s="14" t="str">
        <f t="shared" si="628"/>
        <v/>
      </c>
      <c r="V1844" s="13" t="str">
        <f t="shared" si="629"/>
        <v/>
      </c>
      <c r="W1844" s="13" t="str">
        <f t="shared" si="630"/>
        <v/>
      </c>
      <c r="X1844" s="14" t="str">
        <f t="shared" si="631"/>
        <v/>
      </c>
    </row>
    <row r="1845" spans="20:24" x14ac:dyDescent="0.3">
      <c r="T1845" s="13" t="str">
        <f t="shared" si="627"/>
        <v/>
      </c>
      <c r="U1845" s="14" t="str">
        <f t="shared" si="628"/>
        <v/>
      </c>
      <c r="V1845" s="13" t="str">
        <f t="shared" si="629"/>
        <v/>
      </c>
      <c r="W1845" s="13" t="str">
        <f t="shared" si="630"/>
        <v/>
      </c>
      <c r="X1845" s="14" t="str">
        <f t="shared" si="631"/>
        <v/>
      </c>
    </row>
    <row r="1846" spans="20:24" x14ac:dyDescent="0.3">
      <c r="T1846" s="13" t="str">
        <f t="shared" si="627"/>
        <v/>
      </c>
      <c r="U1846" s="14" t="str">
        <f t="shared" si="628"/>
        <v/>
      </c>
      <c r="V1846" s="13" t="str">
        <f t="shared" si="629"/>
        <v/>
      </c>
      <c r="W1846" s="13" t="str">
        <f t="shared" si="630"/>
        <v/>
      </c>
      <c r="X1846" s="14" t="str">
        <f t="shared" si="631"/>
        <v/>
      </c>
    </row>
    <row r="1847" spans="20:24" x14ac:dyDescent="0.3">
      <c r="T1847" s="13" t="str">
        <f t="shared" si="627"/>
        <v/>
      </c>
      <c r="U1847" s="14" t="str">
        <f t="shared" si="628"/>
        <v/>
      </c>
      <c r="V1847" s="13" t="str">
        <f t="shared" si="629"/>
        <v/>
      </c>
      <c r="W1847" s="13" t="str">
        <f t="shared" si="630"/>
        <v/>
      </c>
      <c r="X1847" s="14" t="str">
        <f t="shared" si="631"/>
        <v/>
      </c>
    </row>
    <row r="1848" spans="20:24" x14ac:dyDescent="0.3">
      <c r="T1848" s="13" t="str">
        <f t="shared" si="627"/>
        <v/>
      </c>
      <c r="U1848" s="14" t="str">
        <f t="shared" si="628"/>
        <v/>
      </c>
      <c r="V1848" s="13" t="str">
        <f t="shared" si="629"/>
        <v/>
      </c>
      <c r="W1848" s="13" t="str">
        <f t="shared" si="630"/>
        <v/>
      </c>
      <c r="X1848" s="14" t="str">
        <f t="shared" si="631"/>
        <v/>
      </c>
    </row>
    <row r="1849" spans="20:24" x14ac:dyDescent="0.3">
      <c r="T1849" s="13" t="str">
        <f t="shared" si="627"/>
        <v/>
      </c>
      <c r="U1849" s="14" t="str">
        <f t="shared" si="628"/>
        <v/>
      </c>
      <c r="V1849" s="13" t="str">
        <f t="shared" si="629"/>
        <v/>
      </c>
      <c r="W1849" s="13" t="str">
        <f t="shared" si="630"/>
        <v/>
      </c>
      <c r="X1849" s="14" t="str">
        <f t="shared" si="631"/>
        <v/>
      </c>
    </row>
    <row r="1850" spans="20:24" x14ac:dyDescent="0.3">
      <c r="T1850" s="13" t="str">
        <f t="shared" si="627"/>
        <v/>
      </c>
      <c r="U1850" s="14" t="str">
        <f t="shared" si="628"/>
        <v/>
      </c>
      <c r="V1850" s="13" t="str">
        <f t="shared" si="629"/>
        <v/>
      </c>
      <c r="W1850" s="13" t="str">
        <f t="shared" si="630"/>
        <v/>
      </c>
      <c r="X1850" s="14" t="str">
        <f t="shared" si="631"/>
        <v/>
      </c>
    </row>
    <row r="1851" spans="20:24" x14ac:dyDescent="0.3">
      <c r="T1851" s="13" t="str">
        <f t="shared" si="627"/>
        <v/>
      </c>
      <c r="U1851" s="14" t="str">
        <f t="shared" si="628"/>
        <v/>
      </c>
      <c r="V1851" s="13" t="str">
        <f t="shared" si="629"/>
        <v/>
      </c>
      <c r="W1851" s="13" t="str">
        <f t="shared" si="630"/>
        <v/>
      </c>
      <c r="X1851" s="14" t="str">
        <f t="shared" si="631"/>
        <v/>
      </c>
    </row>
    <row r="1852" spans="20:24" x14ac:dyDescent="0.3">
      <c r="T1852" s="13" t="str">
        <f t="shared" si="627"/>
        <v/>
      </c>
      <c r="U1852" s="14" t="str">
        <f t="shared" si="628"/>
        <v/>
      </c>
      <c r="V1852" s="13" t="str">
        <f t="shared" si="629"/>
        <v/>
      </c>
      <c r="W1852" s="13" t="str">
        <f t="shared" si="630"/>
        <v/>
      </c>
      <c r="X1852" s="14" t="str">
        <f t="shared" si="631"/>
        <v/>
      </c>
    </row>
    <row r="1853" spans="20:24" x14ac:dyDescent="0.3">
      <c r="T1853" s="13" t="str">
        <f t="shared" si="627"/>
        <v/>
      </c>
      <c r="U1853" s="14" t="str">
        <f t="shared" si="628"/>
        <v/>
      </c>
      <c r="V1853" s="13" t="str">
        <f t="shared" si="629"/>
        <v/>
      </c>
      <c r="W1853" s="13" t="str">
        <f t="shared" si="630"/>
        <v/>
      </c>
      <c r="X1853" s="14" t="str">
        <f t="shared" si="631"/>
        <v/>
      </c>
    </row>
    <row r="1854" spans="20:24" x14ac:dyDescent="0.3">
      <c r="T1854" s="13" t="str">
        <f t="shared" si="627"/>
        <v/>
      </c>
      <c r="U1854" s="14" t="str">
        <f t="shared" si="628"/>
        <v/>
      </c>
      <c r="V1854" s="13" t="str">
        <f t="shared" si="629"/>
        <v/>
      </c>
      <c r="W1854" s="13" t="str">
        <f t="shared" si="630"/>
        <v/>
      </c>
      <c r="X1854" s="14" t="str">
        <f t="shared" si="631"/>
        <v/>
      </c>
    </row>
    <row r="1855" spans="20:24" x14ac:dyDescent="0.3">
      <c r="T1855" s="13" t="str">
        <f t="shared" si="627"/>
        <v/>
      </c>
      <c r="U1855" s="14" t="str">
        <f t="shared" si="628"/>
        <v/>
      </c>
      <c r="V1855" s="13" t="str">
        <f t="shared" si="629"/>
        <v/>
      </c>
      <c r="W1855" s="13" t="str">
        <f t="shared" si="630"/>
        <v/>
      </c>
      <c r="X1855" s="14" t="str">
        <f t="shared" si="631"/>
        <v/>
      </c>
    </row>
    <row r="1856" spans="20:24" x14ac:dyDescent="0.3">
      <c r="T1856" s="13" t="str">
        <f t="shared" si="627"/>
        <v/>
      </c>
      <c r="U1856" s="14" t="str">
        <f t="shared" si="628"/>
        <v/>
      </c>
      <c r="V1856" s="13" t="str">
        <f t="shared" si="629"/>
        <v/>
      </c>
      <c r="W1856" s="13" t="str">
        <f t="shared" si="630"/>
        <v/>
      </c>
      <c r="X1856" s="14" t="str">
        <f t="shared" si="631"/>
        <v/>
      </c>
    </row>
    <row r="1857" spans="20:24" x14ac:dyDescent="0.3">
      <c r="T1857" s="13" t="str">
        <f t="shared" si="627"/>
        <v/>
      </c>
      <c r="U1857" s="14" t="str">
        <f t="shared" si="628"/>
        <v/>
      </c>
      <c r="V1857" s="13" t="str">
        <f t="shared" si="629"/>
        <v/>
      </c>
      <c r="W1857" s="13" t="str">
        <f t="shared" si="630"/>
        <v/>
      </c>
      <c r="X1857" s="14" t="str">
        <f t="shared" si="631"/>
        <v/>
      </c>
    </row>
    <row r="1858" spans="20:24" x14ac:dyDescent="0.3">
      <c r="T1858" s="13" t="str">
        <f t="shared" si="627"/>
        <v/>
      </c>
      <c r="U1858" s="14" t="str">
        <f t="shared" si="628"/>
        <v/>
      </c>
      <c r="V1858" s="13" t="str">
        <f t="shared" si="629"/>
        <v/>
      </c>
      <c r="W1858" s="13" t="str">
        <f t="shared" si="630"/>
        <v/>
      </c>
      <c r="X1858" s="14" t="str">
        <f t="shared" si="631"/>
        <v/>
      </c>
    </row>
    <row r="1859" spans="20:24" x14ac:dyDescent="0.3">
      <c r="T1859" s="13" t="str">
        <f t="shared" si="627"/>
        <v/>
      </c>
      <c r="U1859" s="14" t="str">
        <f t="shared" si="628"/>
        <v/>
      </c>
      <c r="V1859" s="13" t="str">
        <f t="shared" si="629"/>
        <v/>
      </c>
      <c r="W1859" s="13" t="str">
        <f t="shared" si="630"/>
        <v/>
      </c>
      <c r="X1859" s="14" t="str">
        <f t="shared" si="631"/>
        <v/>
      </c>
    </row>
    <row r="1860" spans="20:24" x14ac:dyDescent="0.3">
      <c r="T1860" s="13" t="str">
        <f t="shared" si="627"/>
        <v/>
      </c>
      <c r="U1860" s="14" t="str">
        <f t="shared" si="628"/>
        <v/>
      </c>
      <c r="V1860" s="13" t="str">
        <f t="shared" si="629"/>
        <v/>
      </c>
      <c r="W1860" s="13" t="str">
        <f t="shared" si="630"/>
        <v/>
      </c>
      <c r="X1860" s="14" t="str">
        <f t="shared" si="631"/>
        <v/>
      </c>
    </row>
    <row r="1861" spans="20:24" x14ac:dyDescent="0.3">
      <c r="T1861" s="13" t="str">
        <f t="shared" si="627"/>
        <v/>
      </c>
      <c r="U1861" s="14" t="str">
        <f t="shared" si="628"/>
        <v/>
      </c>
      <c r="V1861" s="13" t="str">
        <f t="shared" si="629"/>
        <v/>
      </c>
      <c r="W1861" s="13" t="str">
        <f t="shared" si="630"/>
        <v/>
      </c>
      <c r="X1861" s="14" t="str">
        <f t="shared" si="631"/>
        <v/>
      </c>
    </row>
    <row r="1862" spans="20:24" x14ac:dyDescent="0.3">
      <c r="T1862" s="13" t="str">
        <f t="shared" si="627"/>
        <v/>
      </c>
      <c r="U1862" s="14" t="str">
        <f t="shared" si="628"/>
        <v/>
      </c>
      <c r="V1862" s="13" t="str">
        <f t="shared" si="629"/>
        <v/>
      </c>
      <c r="W1862" s="13" t="str">
        <f t="shared" si="630"/>
        <v/>
      </c>
      <c r="X1862" s="14" t="str">
        <f t="shared" si="631"/>
        <v/>
      </c>
    </row>
    <row r="1863" spans="20:24" x14ac:dyDescent="0.3">
      <c r="T1863" s="13" t="str">
        <f t="shared" si="627"/>
        <v/>
      </c>
      <c r="U1863" s="14" t="str">
        <f t="shared" si="628"/>
        <v/>
      </c>
      <c r="V1863" s="13" t="str">
        <f t="shared" si="629"/>
        <v/>
      </c>
      <c r="W1863" s="13" t="str">
        <f t="shared" si="630"/>
        <v/>
      </c>
      <c r="X1863" s="14" t="str">
        <f t="shared" si="631"/>
        <v/>
      </c>
    </row>
    <row r="1864" spans="20:24" x14ac:dyDescent="0.3">
      <c r="T1864" s="13" t="str">
        <f t="shared" si="627"/>
        <v/>
      </c>
      <c r="U1864" s="14" t="str">
        <f t="shared" si="628"/>
        <v/>
      </c>
      <c r="V1864" s="13" t="str">
        <f t="shared" si="629"/>
        <v/>
      </c>
      <c r="W1864" s="13" t="str">
        <f t="shared" si="630"/>
        <v/>
      </c>
      <c r="X1864" s="14" t="str">
        <f t="shared" si="631"/>
        <v/>
      </c>
    </row>
    <row r="1865" spans="20:24" x14ac:dyDescent="0.3">
      <c r="T1865" s="13" t="str">
        <f t="shared" si="627"/>
        <v/>
      </c>
      <c r="U1865" s="14" t="str">
        <f t="shared" si="628"/>
        <v/>
      </c>
      <c r="V1865" s="13" t="str">
        <f t="shared" si="629"/>
        <v/>
      </c>
      <c r="W1865" s="13" t="str">
        <f t="shared" si="630"/>
        <v/>
      </c>
      <c r="X1865" s="14" t="str">
        <f t="shared" si="631"/>
        <v/>
      </c>
    </row>
    <row r="1866" spans="20:24" x14ac:dyDescent="0.3">
      <c r="T1866" s="13" t="str">
        <f t="shared" si="627"/>
        <v/>
      </c>
      <c r="U1866" s="14" t="str">
        <f t="shared" si="628"/>
        <v/>
      </c>
      <c r="V1866" s="13" t="str">
        <f t="shared" si="629"/>
        <v/>
      </c>
      <c r="W1866" s="13" t="str">
        <f t="shared" si="630"/>
        <v/>
      </c>
      <c r="X1866" s="14" t="str">
        <f t="shared" si="631"/>
        <v/>
      </c>
    </row>
    <row r="1867" spans="20:24" x14ac:dyDescent="0.3">
      <c r="T1867" s="13" t="str">
        <f t="shared" si="627"/>
        <v/>
      </c>
      <c r="U1867" s="14" t="str">
        <f t="shared" si="628"/>
        <v/>
      </c>
      <c r="V1867" s="13" t="str">
        <f t="shared" si="629"/>
        <v/>
      </c>
      <c r="W1867" s="13" t="str">
        <f t="shared" si="630"/>
        <v/>
      </c>
      <c r="X1867" s="14" t="str">
        <f t="shared" si="631"/>
        <v/>
      </c>
    </row>
    <row r="1868" spans="20:24" x14ac:dyDescent="0.3">
      <c r="T1868" s="13" t="str">
        <f t="shared" si="627"/>
        <v/>
      </c>
      <c r="U1868" s="14" t="str">
        <f t="shared" si="628"/>
        <v/>
      </c>
      <c r="V1868" s="13" t="str">
        <f t="shared" si="629"/>
        <v/>
      </c>
      <c r="W1868" s="13" t="str">
        <f t="shared" si="630"/>
        <v/>
      </c>
      <c r="X1868" s="14" t="str">
        <f t="shared" si="631"/>
        <v/>
      </c>
    </row>
    <row r="1869" spans="20:24" x14ac:dyDescent="0.3">
      <c r="T1869" s="13" t="str">
        <f t="shared" si="627"/>
        <v/>
      </c>
      <c r="U1869" s="14" t="str">
        <f t="shared" si="628"/>
        <v/>
      </c>
      <c r="V1869" s="13" t="str">
        <f t="shared" si="629"/>
        <v/>
      </c>
      <c r="W1869" s="13" t="str">
        <f t="shared" si="630"/>
        <v/>
      </c>
      <c r="X1869" s="14" t="str">
        <f t="shared" si="631"/>
        <v/>
      </c>
    </row>
    <row r="1870" spans="20:24" x14ac:dyDescent="0.3">
      <c r="T1870" s="13" t="str">
        <f t="shared" si="627"/>
        <v/>
      </c>
      <c r="U1870" s="14" t="str">
        <f t="shared" si="628"/>
        <v/>
      </c>
      <c r="V1870" s="13" t="str">
        <f t="shared" si="629"/>
        <v/>
      </c>
      <c r="W1870" s="13" t="str">
        <f t="shared" si="630"/>
        <v/>
      </c>
      <c r="X1870" s="14" t="str">
        <f t="shared" si="631"/>
        <v/>
      </c>
    </row>
    <row r="1871" spans="20:24" x14ac:dyDescent="0.3">
      <c r="T1871" s="13" t="str">
        <f t="shared" si="627"/>
        <v/>
      </c>
      <c r="U1871" s="14" t="str">
        <f t="shared" si="628"/>
        <v/>
      </c>
      <c r="V1871" s="13" t="str">
        <f t="shared" si="629"/>
        <v/>
      </c>
      <c r="W1871" s="13" t="str">
        <f t="shared" si="630"/>
        <v/>
      </c>
      <c r="X1871" s="14" t="str">
        <f t="shared" si="631"/>
        <v/>
      </c>
    </row>
    <row r="1872" spans="20:24" x14ac:dyDescent="0.3">
      <c r="T1872" s="13" t="str">
        <f t="shared" si="627"/>
        <v/>
      </c>
      <c r="U1872" s="14" t="str">
        <f t="shared" si="628"/>
        <v/>
      </c>
      <c r="V1872" s="13" t="str">
        <f t="shared" si="629"/>
        <v/>
      </c>
      <c r="W1872" s="13" t="str">
        <f t="shared" si="630"/>
        <v/>
      </c>
      <c r="X1872" s="14" t="str">
        <f t="shared" si="631"/>
        <v/>
      </c>
    </row>
    <row r="1873" spans="20:24" x14ac:dyDescent="0.3">
      <c r="T1873" s="13" t="str">
        <f t="shared" si="627"/>
        <v/>
      </c>
      <c r="U1873" s="14" t="str">
        <f t="shared" si="628"/>
        <v/>
      </c>
      <c r="V1873" s="13" t="str">
        <f t="shared" si="629"/>
        <v/>
      </c>
      <c r="W1873" s="13" t="str">
        <f t="shared" si="630"/>
        <v/>
      </c>
      <c r="X1873" s="14" t="str">
        <f t="shared" si="631"/>
        <v/>
      </c>
    </row>
    <row r="1874" spans="20:24" x14ac:dyDescent="0.3">
      <c r="T1874" s="13" t="str">
        <f t="shared" si="627"/>
        <v/>
      </c>
      <c r="U1874" s="14" t="str">
        <f t="shared" si="628"/>
        <v/>
      </c>
      <c r="V1874" s="13" t="str">
        <f t="shared" si="629"/>
        <v/>
      </c>
      <c r="W1874" s="13" t="str">
        <f t="shared" si="630"/>
        <v/>
      </c>
      <c r="X1874" s="14" t="str">
        <f t="shared" si="631"/>
        <v/>
      </c>
    </row>
    <row r="1875" spans="20:24" x14ac:dyDescent="0.3">
      <c r="T1875" s="13" t="str">
        <f t="shared" ref="T1875:T1938" si="632">IF(A1875="",IF(A1874="","",$T$1),IF(O1875=1,"#",IF(B1875=0,"*",DEC2HEX(R1875))))</f>
        <v/>
      </c>
      <c r="U1875" s="14" t="str">
        <f t="shared" ref="U1875:U1938" si="633">IF(A1875="",IF(A1874="","",$U$1),  IF(B1875=0,Q1875,I1875)  )</f>
        <v/>
      </c>
      <c r="V1875" s="13" t="str">
        <f t="shared" ref="V1875:V1938" si="634">IF(U1875=$U$1,"",IF(A1875="",IF(A1874="","",1),  IF(B1875=0,1,D1875)  ))</f>
        <v/>
      </c>
      <c r="W1875" s="13" t="str">
        <f t="shared" ref="W1875:W1938" si="635">IF(U1875=$U$1,"",IF(A1875="",IF(A1874="","",0),  IF(C1875=0,0,0)  ))</f>
        <v/>
      </c>
      <c r="X1875" s="14" t="str">
        <f t="shared" ref="X1875:X1938" si="636">IF(U1875=$U$1,"",IF(U1875="","",IF(B1875&gt;0,IF(Q1875&lt;&gt;"",Q1875,"No description"),"-")))</f>
        <v/>
      </c>
    </row>
    <row r="1876" spans="20:24" x14ac:dyDescent="0.3">
      <c r="T1876" s="13" t="str">
        <f t="shared" si="632"/>
        <v/>
      </c>
      <c r="U1876" s="14" t="str">
        <f t="shared" si="633"/>
        <v/>
      </c>
      <c r="V1876" s="13" t="str">
        <f t="shared" si="634"/>
        <v/>
      </c>
      <c r="W1876" s="13" t="str">
        <f t="shared" si="635"/>
        <v/>
      </c>
      <c r="X1876" s="14" t="str">
        <f t="shared" si="636"/>
        <v/>
      </c>
    </row>
    <row r="1877" spans="20:24" x14ac:dyDescent="0.3">
      <c r="T1877" s="13" t="str">
        <f t="shared" si="632"/>
        <v/>
      </c>
      <c r="U1877" s="14" t="str">
        <f t="shared" si="633"/>
        <v/>
      </c>
      <c r="V1877" s="13" t="str">
        <f t="shared" si="634"/>
        <v/>
      </c>
      <c r="W1877" s="13" t="str">
        <f t="shared" si="635"/>
        <v/>
      </c>
      <c r="X1877" s="14" t="str">
        <f t="shared" si="636"/>
        <v/>
      </c>
    </row>
    <row r="1878" spans="20:24" x14ac:dyDescent="0.3">
      <c r="T1878" s="13" t="str">
        <f t="shared" si="632"/>
        <v/>
      </c>
      <c r="U1878" s="14" t="str">
        <f t="shared" si="633"/>
        <v/>
      </c>
      <c r="V1878" s="13" t="str">
        <f t="shared" si="634"/>
        <v/>
      </c>
      <c r="W1878" s="13" t="str">
        <f t="shared" si="635"/>
        <v/>
      </c>
      <c r="X1878" s="14" t="str">
        <f t="shared" si="636"/>
        <v/>
      </c>
    </row>
    <row r="1879" spans="20:24" x14ac:dyDescent="0.3">
      <c r="T1879" s="13" t="str">
        <f t="shared" si="632"/>
        <v/>
      </c>
      <c r="U1879" s="14" t="str">
        <f t="shared" si="633"/>
        <v/>
      </c>
      <c r="V1879" s="13" t="str">
        <f t="shared" si="634"/>
        <v/>
      </c>
      <c r="W1879" s="13" t="str">
        <f t="shared" si="635"/>
        <v/>
      </c>
      <c r="X1879" s="14" t="str">
        <f t="shared" si="636"/>
        <v/>
      </c>
    </row>
    <row r="1880" spans="20:24" x14ac:dyDescent="0.3">
      <c r="T1880" s="13" t="str">
        <f t="shared" si="632"/>
        <v/>
      </c>
      <c r="U1880" s="14" t="str">
        <f t="shared" si="633"/>
        <v/>
      </c>
      <c r="V1880" s="13" t="str">
        <f t="shared" si="634"/>
        <v/>
      </c>
      <c r="W1880" s="13" t="str">
        <f t="shared" si="635"/>
        <v/>
      </c>
      <c r="X1880" s="14" t="str">
        <f t="shared" si="636"/>
        <v/>
      </c>
    </row>
    <row r="1881" spans="20:24" x14ac:dyDescent="0.3">
      <c r="T1881" s="13" t="str">
        <f t="shared" si="632"/>
        <v/>
      </c>
      <c r="U1881" s="14" t="str">
        <f t="shared" si="633"/>
        <v/>
      </c>
      <c r="V1881" s="13" t="str">
        <f t="shared" si="634"/>
        <v/>
      </c>
      <c r="W1881" s="13" t="str">
        <f t="shared" si="635"/>
        <v/>
      </c>
      <c r="X1881" s="14" t="str">
        <f t="shared" si="636"/>
        <v/>
      </c>
    </row>
    <row r="1882" spans="20:24" x14ac:dyDescent="0.3">
      <c r="T1882" s="13" t="str">
        <f t="shared" si="632"/>
        <v/>
      </c>
      <c r="U1882" s="14" t="str">
        <f t="shared" si="633"/>
        <v/>
      </c>
      <c r="V1882" s="13" t="str">
        <f t="shared" si="634"/>
        <v/>
      </c>
      <c r="W1882" s="13" t="str">
        <f t="shared" si="635"/>
        <v/>
      </c>
      <c r="X1882" s="14" t="str">
        <f t="shared" si="636"/>
        <v/>
      </c>
    </row>
    <row r="1883" spans="20:24" x14ac:dyDescent="0.3">
      <c r="T1883" s="13" t="str">
        <f t="shared" si="632"/>
        <v/>
      </c>
      <c r="U1883" s="14" t="str">
        <f t="shared" si="633"/>
        <v/>
      </c>
      <c r="V1883" s="13" t="str">
        <f t="shared" si="634"/>
        <v/>
      </c>
      <c r="W1883" s="13" t="str">
        <f t="shared" si="635"/>
        <v/>
      </c>
      <c r="X1883" s="14" t="str">
        <f t="shared" si="636"/>
        <v/>
      </c>
    </row>
    <row r="1884" spans="20:24" x14ac:dyDescent="0.3">
      <c r="T1884" s="13" t="str">
        <f t="shared" si="632"/>
        <v/>
      </c>
      <c r="U1884" s="14" t="str">
        <f t="shared" si="633"/>
        <v/>
      </c>
      <c r="V1884" s="13" t="str">
        <f t="shared" si="634"/>
        <v/>
      </c>
      <c r="W1884" s="13" t="str">
        <f t="shared" si="635"/>
        <v/>
      </c>
      <c r="X1884" s="14" t="str">
        <f t="shared" si="636"/>
        <v/>
      </c>
    </row>
    <row r="1885" spans="20:24" x14ac:dyDescent="0.3">
      <c r="T1885" s="13" t="str">
        <f t="shared" si="632"/>
        <v/>
      </c>
      <c r="U1885" s="14" t="str">
        <f t="shared" si="633"/>
        <v/>
      </c>
      <c r="V1885" s="13" t="str">
        <f t="shared" si="634"/>
        <v/>
      </c>
      <c r="W1885" s="13" t="str">
        <f t="shared" si="635"/>
        <v/>
      </c>
      <c r="X1885" s="14" t="str">
        <f t="shared" si="636"/>
        <v/>
      </c>
    </row>
    <row r="1886" spans="20:24" x14ac:dyDescent="0.3">
      <c r="T1886" s="13" t="str">
        <f t="shared" si="632"/>
        <v/>
      </c>
      <c r="U1886" s="14" t="str">
        <f t="shared" si="633"/>
        <v/>
      </c>
      <c r="V1886" s="13" t="str">
        <f t="shared" si="634"/>
        <v/>
      </c>
      <c r="W1886" s="13" t="str">
        <f t="shared" si="635"/>
        <v/>
      </c>
      <c r="X1886" s="14" t="str">
        <f t="shared" si="636"/>
        <v/>
      </c>
    </row>
    <row r="1887" spans="20:24" x14ac:dyDescent="0.3">
      <c r="T1887" s="13" t="str">
        <f t="shared" si="632"/>
        <v/>
      </c>
      <c r="U1887" s="14" t="str">
        <f t="shared" si="633"/>
        <v/>
      </c>
      <c r="V1887" s="13" t="str">
        <f t="shared" si="634"/>
        <v/>
      </c>
      <c r="W1887" s="13" t="str">
        <f t="shared" si="635"/>
        <v/>
      </c>
      <c r="X1887" s="14" t="str">
        <f t="shared" si="636"/>
        <v/>
      </c>
    </row>
    <row r="1888" spans="20:24" x14ac:dyDescent="0.3">
      <c r="T1888" s="13" t="str">
        <f t="shared" si="632"/>
        <v/>
      </c>
      <c r="U1888" s="14" t="str">
        <f t="shared" si="633"/>
        <v/>
      </c>
      <c r="V1888" s="13" t="str">
        <f t="shared" si="634"/>
        <v/>
      </c>
      <c r="W1888" s="13" t="str">
        <f t="shared" si="635"/>
        <v/>
      </c>
      <c r="X1888" s="14" t="str">
        <f t="shared" si="636"/>
        <v/>
      </c>
    </row>
    <row r="1889" spans="20:24" x14ac:dyDescent="0.3">
      <c r="T1889" s="13" t="str">
        <f t="shared" si="632"/>
        <v/>
      </c>
      <c r="U1889" s="14" t="str">
        <f t="shared" si="633"/>
        <v/>
      </c>
      <c r="V1889" s="13" t="str">
        <f t="shared" si="634"/>
        <v/>
      </c>
      <c r="W1889" s="13" t="str">
        <f t="shared" si="635"/>
        <v/>
      </c>
      <c r="X1889" s="14" t="str">
        <f t="shared" si="636"/>
        <v/>
      </c>
    </row>
    <row r="1890" spans="20:24" x14ac:dyDescent="0.3">
      <c r="T1890" s="13" t="str">
        <f t="shared" si="632"/>
        <v/>
      </c>
      <c r="U1890" s="14" t="str">
        <f t="shared" si="633"/>
        <v/>
      </c>
      <c r="V1890" s="13" t="str">
        <f t="shared" si="634"/>
        <v/>
      </c>
      <c r="W1890" s="13" t="str">
        <f t="shared" si="635"/>
        <v/>
      </c>
      <c r="X1890" s="14" t="str">
        <f t="shared" si="636"/>
        <v/>
      </c>
    </row>
    <row r="1891" spans="20:24" x14ac:dyDescent="0.3">
      <c r="T1891" s="13" t="str">
        <f t="shared" si="632"/>
        <v/>
      </c>
      <c r="U1891" s="14" t="str">
        <f t="shared" si="633"/>
        <v/>
      </c>
      <c r="V1891" s="13" t="str">
        <f t="shared" si="634"/>
        <v/>
      </c>
      <c r="W1891" s="13" t="str">
        <f t="shared" si="635"/>
        <v/>
      </c>
      <c r="X1891" s="14" t="str">
        <f t="shared" si="636"/>
        <v/>
      </c>
    </row>
    <row r="1892" spans="20:24" x14ac:dyDescent="0.3">
      <c r="T1892" s="13" t="str">
        <f t="shared" si="632"/>
        <v/>
      </c>
      <c r="U1892" s="14" t="str">
        <f t="shared" si="633"/>
        <v/>
      </c>
      <c r="V1892" s="13" t="str">
        <f t="shared" si="634"/>
        <v/>
      </c>
      <c r="W1892" s="13" t="str">
        <f t="shared" si="635"/>
        <v/>
      </c>
      <c r="X1892" s="14" t="str">
        <f t="shared" si="636"/>
        <v/>
      </c>
    </row>
    <row r="1893" spans="20:24" x14ac:dyDescent="0.3">
      <c r="T1893" s="13" t="str">
        <f t="shared" si="632"/>
        <v/>
      </c>
      <c r="U1893" s="14" t="str">
        <f t="shared" si="633"/>
        <v/>
      </c>
      <c r="V1893" s="13" t="str">
        <f t="shared" si="634"/>
        <v/>
      </c>
      <c r="W1893" s="13" t="str">
        <f t="shared" si="635"/>
        <v/>
      </c>
      <c r="X1893" s="14" t="str">
        <f t="shared" si="636"/>
        <v/>
      </c>
    </row>
    <row r="1894" spans="20:24" x14ac:dyDescent="0.3">
      <c r="T1894" s="13" t="str">
        <f t="shared" si="632"/>
        <v/>
      </c>
      <c r="U1894" s="14" t="str">
        <f t="shared" si="633"/>
        <v/>
      </c>
      <c r="V1894" s="13" t="str">
        <f t="shared" si="634"/>
        <v/>
      </c>
      <c r="W1894" s="13" t="str">
        <f t="shared" si="635"/>
        <v/>
      </c>
      <c r="X1894" s="14" t="str">
        <f t="shared" si="636"/>
        <v/>
      </c>
    </row>
    <row r="1895" spans="20:24" x14ac:dyDescent="0.3">
      <c r="T1895" s="13" t="str">
        <f t="shared" si="632"/>
        <v/>
      </c>
      <c r="U1895" s="14" t="str">
        <f t="shared" si="633"/>
        <v/>
      </c>
      <c r="V1895" s="13" t="str">
        <f t="shared" si="634"/>
        <v/>
      </c>
      <c r="W1895" s="13" t="str">
        <f t="shared" si="635"/>
        <v/>
      </c>
      <c r="X1895" s="14" t="str">
        <f t="shared" si="636"/>
        <v/>
      </c>
    </row>
    <row r="1896" spans="20:24" x14ac:dyDescent="0.3">
      <c r="T1896" s="13" t="str">
        <f t="shared" si="632"/>
        <v/>
      </c>
      <c r="U1896" s="14" t="str">
        <f t="shared" si="633"/>
        <v/>
      </c>
      <c r="V1896" s="13" t="str">
        <f t="shared" si="634"/>
        <v/>
      </c>
      <c r="W1896" s="13" t="str">
        <f t="shared" si="635"/>
        <v/>
      </c>
      <c r="X1896" s="14" t="str">
        <f t="shared" si="636"/>
        <v/>
      </c>
    </row>
    <row r="1897" spans="20:24" x14ac:dyDescent="0.3">
      <c r="T1897" s="13" t="str">
        <f t="shared" si="632"/>
        <v/>
      </c>
      <c r="U1897" s="14" t="str">
        <f t="shared" si="633"/>
        <v/>
      </c>
      <c r="V1897" s="13" t="str">
        <f t="shared" si="634"/>
        <v/>
      </c>
      <c r="W1897" s="13" t="str">
        <f t="shared" si="635"/>
        <v/>
      </c>
      <c r="X1897" s="14" t="str">
        <f t="shared" si="636"/>
        <v/>
      </c>
    </row>
    <row r="1898" spans="20:24" x14ac:dyDescent="0.3">
      <c r="T1898" s="13" t="str">
        <f t="shared" si="632"/>
        <v/>
      </c>
      <c r="U1898" s="14" t="str">
        <f t="shared" si="633"/>
        <v/>
      </c>
      <c r="V1898" s="13" t="str">
        <f t="shared" si="634"/>
        <v/>
      </c>
      <c r="W1898" s="13" t="str">
        <f t="shared" si="635"/>
        <v/>
      </c>
      <c r="X1898" s="14" t="str">
        <f t="shared" si="636"/>
        <v/>
      </c>
    </row>
    <row r="1899" spans="20:24" x14ac:dyDescent="0.3">
      <c r="T1899" s="13" t="str">
        <f t="shared" si="632"/>
        <v/>
      </c>
      <c r="U1899" s="14" t="str">
        <f t="shared" si="633"/>
        <v/>
      </c>
      <c r="V1899" s="13" t="str">
        <f t="shared" si="634"/>
        <v/>
      </c>
      <c r="W1899" s="13" t="str">
        <f t="shared" si="635"/>
        <v/>
      </c>
      <c r="X1899" s="14" t="str">
        <f t="shared" si="636"/>
        <v/>
      </c>
    </row>
    <row r="1900" spans="20:24" x14ac:dyDescent="0.3">
      <c r="T1900" s="13" t="str">
        <f t="shared" si="632"/>
        <v/>
      </c>
      <c r="U1900" s="14" t="str">
        <f t="shared" si="633"/>
        <v/>
      </c>
      <c r="V1900" s="13" t="str">
        <f t="shared" si="634"/>
        <v/>
      </c>
      <c r="W1900" s="13" t="str">
        <f t="shared" si="635"/>
        <v/>
      </c>
      <c r="X1900" s="14" t="str">
        <f t="shared" si="636"/>
        <v/>
      </c>
    </row>
    <row r="1901" spans="20:24" x14ac:dyDescent="0.3">
      <c r="T1901" s="13" t="str">
        <f t="shared" si="632"/>
        <v/>
      </c>
      <c r="U1901" s="14" t="str">
        <f t="shared" si="633"/>
        <v/>
      </c>
      <c r="V1901" s="13" t="str">
        <f t="shared" si="634"/>
        <v/>
      </c>
      <c r="W1901" s="13" t="str">
        <f t="shared" si="635"/>
        <v/>
      </c>
      <c r="X1901" s="14" t="str">
        <f t="shared" si="636"/>
        <v/>
      </c>
    </row>
    <row r="1902" spans="20:24" x14ac:dyDescent="0.3">
      <c r="T1902" s="13" t="str">
        <f t="shared" si="632"/>
        <v/>
      </c>
      <c r="U1902" s="14" t="str">
        <f t="shared" si="633"/>
        <v/>
      </c>
      <c r="V1902" s="13" t="str">
        <f t="shared" si="634"/>
        <v/>
      </c>
      <c r="W1902" s="13" t="str">
        <f t="shared" si="635"/>
        <v/>
      </c>
      <c r="X1902" s="14" t="str">
        <f t="shared" si="636"/>
        <v/>
      </c>
    </row>
    <row r="1903" spans="20:24" x14ac:dyDescent="0.3">
      <c r="T1903" s="13" t="str">
        <f t="shared" si="632"/>
        <v/>
      </c>
      <c r="U1903" s="14" t="str">
        <f t="shared" si="633"/>
        <v/>
      </c>
      <c r="V1903" s="13" t="str">
        <f t="shared" si="634"/>
        <v/>
      </c>
      <c r="W1903" s="13" t="str">
        <f t="shared" si="635"/>
        <v/>
      </c>
      <c r="X1903" s="14" t="str">
        <f t="shared" si="636"/>
        <v/>
      </c>
    </row>
    <row r="1904" spans="20:24" x14ac:dyDescent="0.3">
      <c r="T1904" s="13" t="str">
        <f t="shared" si="632"/>
        <v/>
      </c>
      <c r="U1904" s="14" t="str">
        <f t="shared" si="633"/>
        <v/>
      </c>
      <c r="V1904" s="13" t="str">
        <f t="shared" si="634"/>
        <v/>
      </c>
      <c r="W1904" s="13" t="str">
        <f t="shared" si="635"/>
        <v/>
      </c>
      <c r="X1904" s="14" t="str">
        <f t="shared" si="636"/>
        <v/>
      </c>
    </row>
    <row r="1905" spans="20:24" x14ac:dyDescent="0.3">
      <c r="T1905" s="13" t="str">
        <f t="shared" si="632"/>
        <v/>
      </c>
      <c r="U1905" s="14" t="str">
        <f t="shared" si="633"/>
        <v/>
      </c>
      <c r="V1905" s="13" t="str">
        <f t="shared" si="634"/>
        <v/>
      </c>
      <c r="W1905" s="13" t="str">
        <f t="shared" si="635"/>
        <v/>
      </c>
      <c r="X1905" s="14" t="str">
        <f t="shared" si="636"/>
        <v/>
      </c>
    </row>
    <row r="1906" spans="20:24" x14ac:dyDescent="0.3">
      <c r="T1906" s="13" t="str">
        <f t="shared" si="632"/>
        <v/>
      </c>
      <c r="U1906" s="14" t="str">
        <f t="shared" si="633"/>
        <v/>
      </c>
      <c r="V1906" s="13" t="str">
        <f t="shared" si="634"/>
        <v/>
      </c>
      <c r="W1906" s="13" t="str">
        <f t="shared" si="635"/>
        <v/>
      </c>
      <c r="X1906" s="14" t="str">
        <f t="shared" si="636"/>
        <v/>
      </c>
    </row>
    <row r="1907" spans="20:24" x14ac:dyDescent="0.3">
      <c r="T1907" s="13" t="str">
        <f t="shared" si="632"/>
        <v/>
      </c>
      <c r="U1907" s="14" t="str">
        <f t="shared" si="633"/>
        <v/>
      </c>
      <c r="V1907" s="13" t="str">
        <f t="shared" si="634"/>
        <v/>
      </c>
      <c r="W1907" s="13" t="str">
        <f t="shared" si="635"/>
        <v/>
      </c>
      <c r="X1907" s="14" t="str">
        <f t="shared" si="636"/>
        <v/>
      </c>
    </row>
    <row r="1908" spans="20:24" x14ac:dyDescent="0.3">
      <c r="T1908" s="13" t="str">
        <f t="shared" si="632"/>
        <v/>
      </c>
      <c r="U1908" s="14" t="str">
        <f t="shared" si="633"/>
        <v/>
      </c>
      <c r="V1908" s="13" t="str">
        <f t="shared" si="634"/>
        <v/>
      </c>
      <c r="W1908" s="13" t="str">
        <f t="shared" si="635"/>
        <v/>
      </c>
      <c r="X1908" s="14" t="str">
        <f t="shared" si="636"/>
        <v/>
      </c>
    </row>
    <row r="1909" spans="20:24" x14ac:dyDescent="0.3">
      <c r="T1909" s="13" t="str">
        <f t="shared" si="632"/>
        <v/>
      </c>
      <c r="U1909" s="14" t="str">
        <f t="shared" si="633"/>
        <v/>
      </c>
      <c r="V1909" s="13" t="str">
        <f t="shared" si="634"/>
        <v/>
      </c>
      <c r="W1909" s="13" t="str">
        <f t="shared" si="635"/>
        <v/>
      </c>
      <c r="X1909" s="14" t="str">
        <f t="shared" si="636"/>
        <v/>
      </c>
    </row>
    <row r="1910" spans="20:24" x14ac:dyDescent="0.3">
      <c r="T1910" s="13" t="str">
        <f t="shared" si="632"/>
        <v/>
      </c>
      <c r="U1910" s="14" t="str">
        <f t="shared" si="633"/>
        <v/>
      </c>
      <c r="V1910" s="13" t="str">
        <f t="shared" si="634"/>
        <v/>
      </c>
      <c r="W1910" s="13" t="str">
        <f t="shared" si="635"/>
        <v/>
      </c>
      <c r="X1910" s="14" t="str">
        <f t="shared" si="636"/>
        <v/>
      </c>
    </row>
    <row r="1911" spans="20:24" x14ac:dyDescent="0.3">
      <c r="T1911" s="13" t="str">
        <f t="shared" si="632"/>
        <v/>
      </c>
      <c r="U1911" s="14" t="str">
        <f t="shared" si="633"/>
        <v/>
      </c>
      <c r="V1911" s="13" t="str">
        <f t="shared" si="634"/>
        <v/>
      </c>
      <c r="W1911" s="13" t="str">
        <f t="shared" si="635"/>
        <v/>
      </c>
      <c r="X1911" s="14" t="str">
        <f t="shared" si="636"/>
        <v/>
      </c>
    </row>
    <row r="1912" spans="20:24" x14ac:dyDescent="0.3">
      <c r="T1912" s="13" t="str">
        <f t="shared" si="632"/>
        <v/>
      </c>
      <c r="U1912" s="14" t="str">
        <f t="shared" si="633"/>
        <v/>
      </c>
      <c r="V1912" s="13" t="str">
        <f t="shared" si="634"/>
        <v/>
      </c>
      <c r="W1912" s="13" t="str">
        <f t="shared" si="635"/>
        <v/>
      </c>
      <c r="X1912" s="14" t="str">
        <f t="shared" si="636"/>
        <v/>
      </c>
    </row>
    <row r="1913" spans="20:24" x14ac:dyDescent="0.3">
      <c r="T1913" s="13" t="str">
        <f t="shared" si="632"/>
        <v/>
      </c>
      <c r="U1913" s="14" t="str">
        <f t="shared" si="633"/>
        <v/>
      </c>
      <c r="V1913" s="13" t="str">
        <f t="shared" si="634"/>
        <v/>
      </c>
      <c r="W1913" s="13" t="str">
        <f t="shared" si="635"/>
        <v/>
      </c>
      <c r="X1913" s="14" t="str">
        <f t="shared" si="636"/>
        <v/>
      </c>
    </row>
    <row r="1914" spans="20:24" x14ac:dyDescent="0.3">
      <c r="T1914" s="13" t="str">
        <f t="shared" si="632"/>
        <v/>
      </c>
      <c r="U1914" s="14" t="str">
        <f t="shared" si="633"/>
        <v/>
      </c>
      <c r="V1914" s="13" t="str">
        <f t="shared" si="634"/>
        <v/>
      </c>
      <c r="W1914" s="13" t="str">
        <f t="shared" si="635"/>
        <v/>
      </c>
      <c r="X1914" s="14" t="str">
        <f t="shared" si="636"/>
        <v/>
      </c>
    </row>
    <row r="1915" spans="20:24" x14ac:dyDescent="0.3">
      <c r="T1915" s="13" t="str">
        <f t="shared" si="632"/>
        <v/>
      </c>
      <c r="U1915" s="14" t="str">
        <f t="shared" si="633"/>
        <v/>
      </c>
      <c r="V1915" s="13" t="str">
        <f t="shared" si="634"/>
        <v/>
      </c>
      <c r="W1915" s="13" t="str">
        <f t="shared" si="635"/>
        <v/>
      </c>
      <c r="X1915" s="14" t="str">
        <f t="shared" si="636"/>
        <v/>
      </c>
    </row>
    <row r="1916" spans="20:24" x14ac:dyDescent="0.3">
      <c r="T1916" s="13" t="str">
        <f t="shared" si="632"/>
        <v/>
      </c>
      <c r="U1916" s="14" t="str">
        <f t="shared" si="633"/>
        <v/>
      </c>
      <c r="V1916" s="13" t="str">
        <f t="shared" si="634"/>
        <v/>
      </c>
      <c r="W1916" s="13" t="str">
        <f t="shared" si="635"/>
        <v/>
      </c>
      <c r="X1916" s="14" t="str">
        <f t="shared" si="636"/>
        <v/>
      </c>
    </row>
    <row r="1917" spans="20:24" x14ac:dyDescent="0.3">
      <c r="T1917" s="13" t="str">
        <f t="shared" si="632"/>
        <v/>
      </c>
      <c r="U1917" s="14" t="str">
        <f t="shared" si="633"/>
        <v/>
      </c>
      <c r="V1917" s="13" t="str">
        <f t="shared" si="634"/>
        <v/>
      </c>
      <c r="W1917" s="13" t="str">
        <f t="shared" si="635"/>
        <v/>
      </c>
      <c r="X1917" s="14" t="str">
        <f t="shared" si="636"/>
        <v/>
      </c>
    </row>
    <row r="1918" spans="20:24" x14ac:dyDescent="0.3">
      <c r="T1918" s="13" t="str">
        <f t="shared" si="632"/>
        <v/>
      </c>
      <c r="U1918" s="14" t="str">
        <f t="shared" si="633"/>
        <v/>
      </c>
      <c r="V1918" s="13" t="str">
        <f t="shared" si="634"/>
        <v/>
      </c>
      <c r="W1918" s="13" t="str">
        <f t="shared" si="635"/>
        <v/>
      </c>
      <c r="X1918" s="14" t="str">
        <f t="shared" si="636"/>
        <v/>
      </c>
    </row>
    <row r="1919" spans="20:24" x14ac:dyDescent="0.3">
      <c r="T1919" s="13" t="str">
        <f t="shared" si="632"/>
        <v/>
      </c>
      <c r="U1919" s="14" t="str">
        <f t="shared" si="633"/>
        <v/>
      </c>
      <c r="V1919" s="13" t="str">
        <f t="shared" si="634"/>
        <v/>
      </c>
      <c r="W1919" s="13" t="str">
        <f t="shared" si="635"/>
        <v/>
      </c>
      <c r="X1919" s="14" t="str">
        <f t="shared" si="636"/>
        <v/>
      </c>
    </row>
    <row r="1920" spans="20:24" x14ac:dyDescent="0.3">
      <c r="T1920" s="13" t="str">
        <f t="shared" si="632"/>
        <v/>
      </c>
      <c r="U1920" s="14" t="str">
        <f t="shared" si="633"/>
        <v/>
      </c>
      <c r="V1920" s="13" t="str">
        <f t="shared" si="634"/>
        <v/>
      </c>
      <c r="W1920" s="13" t="str">
        <f t="shared" si="635"/>
        <v/>
      </c>
      <c r="X1920" s="14" t="str">
        <f t="shared" si="636"/>
        <v/>
      </c>
    </row>
    <row r="1921" spans="20:24" x14ac:dyDescent="0.3">
      <c r="T1921" s="13" t="str">
        <f t="shared" si="632"/>
        <v/>
      </c>
      <c r="U1921" s="14" t="str">
        <f t="shared" si="633"/>
        <v/>
      </c>
      <c r="V1921" s="13" t="str">
        <f t="shared" si="634"/>
        <v/>
      </c>
      <c r="W1921" s="13" t="str">
        <f t="shared" si="635"/>
        <v/>
      </c>
      <c r="X1921" s="14" t="str">
        <f t="shared" si="636"/>
        <v/>
      </c>
    </row>
    <row r="1922" spans="20:24" x14ac:dyDescent="0.3">
      <c r="T1922" s="13" t="str">
        <f t="shared" si="632"/>
        <v/>
      </c>
      <c r="U1922" s="14" t="str">
        <f t="shared" si="633"/>
        <v/>
      </c>
      <c r="V1922" s="13" t="str">
        <f t="shared" si="634"/>
        <v/>
      </c>
      <c r="W1922" s="13" t="str">
        <f t="shared" si="635"/>
        <v/>
      </c>
      <c r="X1922" s="14" t="str">
        <f t="shared" si="636"/>
        <v/>
      </c>
    </row>
    <row r="1923" spans="20:24" x14ac:dyDescent="0.3">
      <c r="T1923" s="13" t="str">
        <f t="shared" si="632"/>
        <v/>
      </c>
      <c r="U1923" s="14" t="str">
        <f t="shared" si="633"/>
        <v/>
      </c>
      <c r="V1923" s="13" t="str">
        <f t="shared" si="634"/>
        <v/>
      </c>
      <c r="W1923" s="13" t="str">
        <f t="shared" si="635"/>
        <v/>
      </c>
      <c r="X1923" s="14" t="str">
        <f t="shared" si="636"/>
        <v/>
      </c>
    </row>
    <row r="1924" spans="20:24" x14ac:dyDescent="0.3">
      <c r="T1924" s="13" t="str">
        <f t="shared" si="632"/>
        <v/>
      </c>
      <c r="U1924" s="14" t="str">
        <f t="shared" si="633"/>
        <v/>
      </c>
      <c r="V1924" s="13" t="str">
        <f t="shared" si="634"/>
        <v/>
      </c>
      <c r="W1924" s="13" t="str">
        <f t="shared" si="635"/>
        <v/>
      </c>
      <c r="X1924" s="14" t="str">
        <f t="shared" si="636"/>
        <v/>
      </c>
    </row>
    <row r="1925" spans="20:24" x14ac:dyDescent="0.3">
      <c r="T1925" s="13" t="str">
        <f t="shared" si="632"/>
        <v/>
      </c>
      <c r="U1925" s="14" t="str">
        <f t="shared" si="633"/>
        <v/>
      </c>
      <c r="V1925" s="13" t="str">
        <f t="shared" si="634"/>
        <v/>
      </c>
      <c r="W1925" s="13" t="str">
        <f t="shared" si="635"/>
        <v/>
      </c>
      <c r="X1925" s="14" t="str">
        <f t="shared" si="636"/>
        <v/>
      </c>
    </row>
    <row r="1926" spans="20:24" x14ac:dyDescent="0.3">
      <c r="T1926" s="13" t="str">
        <f t="shared" si="632"/>
        <v/>
      </c>
      <c r="U1926" s="14" t="str">
        <f t="shared" si="633"/>
        <v/>
      </c>
      <c r="V1926" s="13" t="str">
        <f t="shared" si="634"/>
        <v/>
      </c>
      <c r="W1926" s="13" t="str">
        <f t="shared" si="635"/>
        <v/>
      </c>
      <c r="X1926" s="14" t="str">
        <f t="shared" si="636"/>
        <v/>
      </c>
    </row>
    <row r="1927" spans="20:24" x14ac:dyDescent="0.3">
      <c r="T1927" s="13" t="str">
        <f t="shared" si="632"/>
        <v/>
      </c>
      <c r="U1927" s="14" t="str">
        <f t="shared" si="633"/>
        <v/>
      </c>
      <c r="V1927" s="13" t="str">
        <f t="shared" si="634"/>
        <v/>
      </c>
      <c r="W1927" s="13" t="str">
        <f t="shared" si="635"/>
        <v/>
      </c>
      <c r="X1927" s="14" t="str">
        <f t="shared" si="636"/>
        <v/>
      </c>
    </row>
    <row r="1928" spans="20:24" x14ac:dyDescent="0.3">
      <c r="T1928" s="13" t="str">
        <f t="shared" si="632"/>
        <v/>
      </c>
      <c r="U1928" s="14" t="str">
        <f t="shared" si="633"/>
        <v/>
      </c>
      <c r="V1928" s="13" t="str">
        <f t="shared" si="634"/>
        <v/>
      </c>
      <c r="W1928" s="13" t="str">
        <f t="shared" si="635"/>
        <v/>
      </c>
      <c r="X1928" s="14" t="str">
        <f t="shared" si="636"/>
        <v/>
      </c>
    </row>
    <row r="1929" spans="20:24" x14ac:dyDescent="0.3">
      <c r="T1929" s="13" t="str">
        <f t="shared" si="632"/>
        <v/>
      </c>
      <c r="U1929" s="14" t="str">
        <f t="shared" si="633"/>
        <v/>
      </c>
      <c r="V1929" s="13" t="str">
        <f t="shared" si="634"/>
        <v/>
      </c>
      <c r="W1929" s="13" t="str">
        <f t="shared" si="635"/>
        <v/>
      </c>
      <c r="X1929" s="14" t="str">
        <f t="shared" si="636"/>
        <v/>
      </c>
    </row>
    <row r="1930" spans="20:24" x14ac:dyDescent="0.3">
      <c r="T1930" s="13" t="str">
        <f t="shared" si="632"/>
        <v/>
      </c>
      <c r="U1930" s="14" t="str">
        <f t="shared" si="633"/>
        <v/>
      </c>
      <c r="V1930" s="13" t="str">
        <f t="shared" si="634"/>
        <v/>
      </c>
      <c r="W1930" s="13" t="str">
        <f t="shared" si="635"/>
        <v/>
      </c>
      <c r="X1930" s="14" t="str">
        <f t="shared" si="636"/>
        <v/>
      </c>
    </row>
    <row r="1931" spans="20:24" x14ac:dyDescent="0.3">
      <c r="T1931" s="13" t="str">
        <f t="shared" si="632"/>
        <v/>
      </c>
      <c r="U1931" s="14" t="str">
        <f t="shared" si="633"/>
        <v/>
      </c>
      <c r="V1931" s="13" t="str">
        <f t="shared" si="634"/>
        <v/>
      </c>
      <c r="W1931" s="13" t="str">
        <f t="shared" si="635"/>
        <v/>
      </c>
      <c r="X1931" s="14" t="str">
        <f t="shared" si="636"/>
        <v/>
      </c>
    </row>
    <row r="1932" spans="20:24" x14ac:dyDescent="0.3">
      <c r="T1932" s="13" t="str">
        <f t="shared" si="632"/>
        <v/>
      </c>
      <c r="U1932" s="14" t="str">
        <f t="shared" si="633"/>
        <v/>
      </c>
      <c r="V1932" s="13" t="str">
        <f t="shared" si="634"/>
        <v/>
      </c>
      <c r="W1932" s="13" t="str">
        <f t="shared" si="635"/>
        <v/>
      </c>
      <c r="X1932" s="14" t="str">
        <f t="shared" si="636"/>
        <v/>
      </c>
    </row>
    <row r="1933" spans="20:24" x14ac:dyDescent="0.3">
      <c r="T1933" s="13" t="str">
        <f t="shared" si="632"/>
        <v/>
      </c>
      <c r="U1933" s="14" t="str">
        <f t="shared" si="633"/>
        <v/>
      </c>
      <c r="V1933" s="13" t="str">
        <f t="shared" si="634"/>
        <v/>
      </c>
      <c r="W1933" s="13" t="str">
        <f t="shared" si="635"/>
        <v/>
      </c>
      <c r="X1933" s="14" t="str">
        <f t="shared" si="636"/>
        <v/>
      </c>
    </row>
    <row r="1934" spans="20:24" x14ac:dyDescent="0.3">
      <c r="T1934" s="13" t="str">
        <f t="shared" si="632"/>
        <v/>
      </c>
      <c r="U1934" s="14" t="str">
        <f t="shared" si="633"/>
        <v/>
      </c>
      <c r="V1934" s="13" t="str">
        <f t="shared" si="634"/>
        <v/>
      </c>
      <c r="W1934" s="13" t="str">
        <f t="shared" si="635"/>
        <v/>
      </c>
      <c r="X1934" s="14" t="str">
        <f t="shared" si="636"/>
        <v/>
      </c>
    </row>
    <row r="1935" spans="20:24" x14ac:dyDescent="0.3">
      <c r="T1935" s="13" t="str">
        <f t="shared" si="632"/>
        <v/>
      </c>
      <c r="U1935" s="14" t="str">
        <f t="shared" si="633"/>
        <v/>
      </c>
      <c r="V1935" s="13" t="str">
        <f t="shared" si="634"/>
        <v/>
      </c>
      <c r="W1935" s="13" t="str">
        <f t="shared" si="635"/>
        <v/>
      </c>
      <c r="X1935" s="14" t="str">
        <f t="shared" si="636"/>
        <v/>
      </c>
    </row>
    <row r="1936" spans="20:24" x14ac:dyDescent="0.3">
      <c r="T1936" s="13" t="str">
        <f t="shared" si="632"/>
        <v/>
      </c>
      <c r="U1936" s="14" t="str">
        <f t="shared" si="633"/>
        <v/>
      </c>
      <c r="V1936" s="13" t="str">
        <f t="shared" si="634"/>
        <v/>
      </c>
      <c r="W1936" s="13" t="str">
        <f t="shared" si="635"/>
        <v/>
      </c>
      <c r="X1936" s="14" t="str">
        <f t="shared" si="636"/>
        <v/>
      </c>
    </row>
    <row r="1937" spans="20:24" x14ac:dyDescent="0.3">
      <c r="T1937" s="13" t="str">
        <f t="shared" si="632"/>
        <v/>
      </c>
      <c r="U1937" s="14" t="str">
        <f t="shared" si="633"/>
        <v/>
      </c>
      <c r="V1937" s="13" t="str">
        <f t="shared" si="634"/>
        <v/>
      </c>
      <c r="W1937" s="13" t="str">
        <f t="shared" si="635"/>
        <v/>
      </c>
      <c r="X1937" s="14" t="str">
        <f t="shared" si="636"/>
        <v/>
      </c>
    </row>
    <row r="1938" spans="20:24" x14ac:dyDescent="0.3">
      <c r="T1938" s="13" t="str">
        <f t="shared" si="632"/>
        <v/>
      </c>
      <c r="U1938" s="14" t="str">
        <f t="shared" si="633"/>
        <v/>
      </c>
      <c r="V1938" s="13" t="str">
        <f t="shared" si="634"/>
        <v/>
      </c>
      <c r="W1938" s="13" t="str">
        <f t="shared" si="635"/>
        <v/>
      </c>
      <c r="X1938" s="14" t="str">
        <f t="shared" si="636"/>
        <v/>
      </c>
    </row>
    <row r="1939" spans="20:24" x14ac:dyDescent="0.3">
      <c r="T1939" s="13" t="str">
        <f t="shared" ref="T1939:T2002" si="637">IF(A1939="",IF(A1938="","",$T$1),IF(O1939=1,"#",IF(B1939=0,"*",DEC2HEX(R1939))))</f>
        <v/>
      </c>
      <c r="U1939" s="14" t="str">
        <f t="shared" ref="U1939:U2002" si="638">IF(A1939="",IF(A1938="","",$U$1),  IF(B1939=0,Q1939,I1939)  )</f>
        <v/>
      </c>
      <c r="V1939" s="13" t="str">
        <f t="shared" ref="V1939:V2002" si="639">IF(U1939=$U$1,"",IF(A1939="",IF(A1938="","",1),  IF(B1939=0,1,D1939)  ))</f>
        <v/>
      </c>
      <c r="W1939" s="13" t="str">
        <f t="shared" ref="W1939:W2002" si="640">IF(U1939=$U$1,"",IF(A1939="",IF(A1938="","",0),  IF(C1939=0,0,0)  ))</f>
        <v/>
      </c>
      <c r="X1939" s="14" t="str">
        <f t="shared" ref="X1939:X2002" si="641">IF(U1939=$U$1,"",IF(U1939="","",IF(B1939&gt;0,IF(Q1939&lt;&gt;"",Q1939,"No description"),"-")))</f>
        <v/>
      </c>
    </row>
    <row r="1940" spans="20:24" x14ac:dyDescent="0.3">
      <c r="T1940" s="13" t="str">
        <f t="shared" si="637"/>
        <v/>
      </c>
      <c r="U1940" s="14" t="str">
        <f t="shared" si="638"/>
        <v/>
      </c>
      <c r="V1940" s="13" t="str">
        <f t="shared" si="639"/>
        <v/>
      </c>
      <c r="W1940" s="13" t="str">
        <f t="shared" si="640"/>
        <v/>
      </c>
      <c r="X1940" s="14" t="str">
        <f t="shared" si="641"/>
        <v/>
      </c>
    </row>
    <row r="1941" spans="20:24" x14ac:dyDescent="0.3">
      <c r="T1941" s="13" t="str">
        <f t="shared" si="637"/>
        <v/>
      </c>
      <c r="U1941" s="14" t="str">
        <f t="shared" si="638"/>
        <v/>
      </c>
      <c r="V1941" s="13" t="str">
        <f t="shared" si="639"/>
        <v/>
      </c>
      <c r="W1941" s="13" t="str">
        <f t="shared" si="640"/>
        <v/>
      </c>
      <c r="X1941" s="14" t="str">
        <f t="shared" si="641"/>
        <v/>
      </c>
    </row>
    <row r="1942" spans="20:24" x14ac:dyDescent="0.3">
      <c r="T1942" s="13" t="str">
        <f t="shared" si="637"/>
        <v/>
      </c>
      <c r="U1942" s="14" t="str">
        <f t="shared" si="638"/>
        <v/>
      </c>
      <c r="V1942" s="13" t="str">
        <f t="shared" si="639"/>
        <v/>
      </c>
      <c r="W1942" s="13" t="str">
        <f t="shared" si="640"/>
        <v/>
      </c>
      <c r="X1942" s="14" t="str">
        <f t="shared" si="641"/>
        <v/>
      </c>
    </row>
    <row r="1943" spans="20:24" x14ac:dyDescent="0.3">
      <c r="T1943" s="13" t="str">
        <f t="shared" si="637"/>
        <v/>
      </c>
      <c r="U1943" s="14" t="str">
        <f t="shared" si="638"/>
        <v/>
      </c>
      <c r="V1943" s="13" t="str">
        <f t="shared" si="639"/>
        <v/>
      </c>
      <c r="W1943" s="13" t="str">
        <f t="shared" si="640"/>
        <v/>
      </c>
      <c r="X1943" s="14" t="str">
        <f t="shared" si="641"/>
        <v/>
      </c>
    </row>
    <row r="1944" spans="20:24" x14ac:dyDescent="0.3">
      <c r="T1944" s="13" t="str">
        <f t="shared" si="637"/>
        <v/>
      </c>
      <c r="U1944" s="14" t="str">
        <f t="shared" si="638"/>
        <v/>
      </c>
      <c r="V1944" s="13" t="str">
        <f t="shared" si="639"/>
        <v/>
      </c>
      <c r="W1944" s="13" t="str">
        <f t="shared" si="640"/>
        <v/>
      </c>
      <c r="X1944" s="14" t="str">
        <f t="shared" si="641"/>
        <v/>
      </c>
    </row>
    <row r="1945" spans="20:24" x14ac:dyDescent="0.3">
      <c r="T1945" s="13" t="str">
        <f t="shared" si="637"/>
        <v/>
      </c>
      <c r="U1945" s="14" t="str">
        <f t="shared" si="638"/>
        <v/>
      </c>
      <c r="V1945" s="13" t="str">
        <f t="shared" si="639"/>
        <v/>
      </c>
      <c r="W1945" s="13" t="str">
        <f t="shared" si="640"/>
        <v/>
      </c>
      <c r="X1945" s="14" t="str">
        <f t="shared" si="641"/>
        <v/>
      </c>
    </row>
    <row r="1946" spans="20:24" x14ac:dyDescent="0.3">
      <c r="T1946" s="13" t="str">
        <f t="shared" si="637"/>
        <v/>
      </c>
      <c r="U1946" s="14" t="str">
        <f t="shared" si="638"/>
        <v/>
      </c>
      <c r="V1946" s="13" t="str">
        <f t="shared" si="639"/>
        <v/>
      </c>
      <c r="W1946" s="13" t="str">
        <f t="shared" si="640"/>
        <v/>
      </c>
      <c r="X1946" s="14" t="str">
        <f t="shared" si="641"/>
        <v/>
      </c>
    </row>
    <row r="1947" spans="20:24" x14ac:dyDescent="0.3">
      <c r="T1947" s="13" t="str">
        <f t="shared" si="637"/>
        <v/>
      </c>
      <c r="U1947" s="14" t="str">
        <f t="shared" si="638"/>
        <v/>
      </c>
      <c r="V1947" s="13" t="str">
        <f t="shared" si="639"/>
        <v/>
      </c>
      <c r="W1947" s="13" t="str">
        <f t="shared" si="640"/>
        <v/>
      </c>
      <c r="X1947" s="14" t="str">
        <f t="shared" si="641"/>
        <v/>
      </c>
    </row>
    <row r="1948" spans="20:24" x14ac:dyDescent="0.3">
      <c r="T1948" s="13" t="str">
        <f t="shared" si="637"/>
        <v/>
      </c>
      <c r="U1948" s="14" t="str">
        <f t="shared" si="638"/>
        <v/>
      </c>
      <c r="V1948" s="13" t="str">
        <f t="shared" si="639"/>
        <v/>
      </c>
      <c r="W1948" s="13" t="str">
        <f t="shared" si="640"/>
        <v/>
      </c>
      <c r="X1948" s="14" t="str">
        <f t="shared" si="641"/>
        <v/>
      </c>
    </row>
    <row r="1949" spans="20:24" x14ac:dyDescent="0.3">
      <c r="T1949" s="13" t="str">
        <f t="shared" si="637"/>
        <v/>
      </c>
      <c r="U1949" s="14" t="str">
        <f t="shared" si="638"/>
        <v/>
      </c>
      <c r="V1949" s="13" t="str">
        <f t="shared" si="639"/>
        <v/>
      </c>
      <c r="W1949" s="13" t="str">
        <f t="shared" si="640"/>
        <v/>
      </c>
      <c r="X1949" s="14" t="str">
        <f t="shared" si="641"/>
        <v/>
      </c>
    </row>
    <row r="1950" spans="20:24" x14ac:dyDescent="0.3">
      <c r="T1950" s="13" t="str">
        <f t="shared" si="637"/>
        <v/>
      </c>
      <c r="U1950" s="14" t="str">
        <f t="shared" si="638"/>
        <v/>
      </c>
      <c r="V1950" s="13" t="str">
        <f t="shared" si="639"/>
        <v/>
      </c>
      <c r="W1950" s="13" t="str">
        <f t="shared" si="640"/>
        <v/>
      </c>
      <c r="X1950" s="14" t="str">
        <f t="shared" si="641"/>
        <v/>
      </c>
    </row>
    <row r="1951" spans="20:24" x14ac:dyDescent="0.3">
      <c r="T1951" s="13" t="str">
        <f t="shared" si="637"/>
        <v/>
      </c>
      <c r="U1951" s="14" t="str">
        <f t="shared" si="638"/>
        <v/>
      </c>
      <c r="V1951" s="13" t="str">
        <f t="shared" si="639"/>
        <v/>
      </c>
      <c r="W1951" s="13" t="str">
        <f t="shared" si="640"/>
        <v/>
      </c>
      <c r="X1951" s="14" t="str">
        <f t="shared" si="641"/>
        <v/>
      </c>
    </row>
    <row r="1952" spans="20:24" x14ac:dyDescent="0.3">
      <c r="T1952" s="13" t="str">
        <f t="shared" si="637"/>
        <v/>
      </c>
      <c r="U1952" s="14" t="str">
        <f t="shared" si="638"/>
        <v/>
      </c>
      <c r="V1952" s="13" t="str">
        <f t="shared" si="639"/>
        <v/>
      </c>
      <c r="W1952" s="13" t="str">
        <f t="shared" si="640"/>
        <v/>
      </c>
      <c r="X1952" s="14" t="str">
        <f t="shared" si="641"/>
        <v/>
      </c>
    </row>
    <row r="1953" spans="20:24" x14ac:dyDescent="0.3">
      <c r="T1953" s="13" t="str">
        <f t="shared" si="637"/>
        <v/>
      </c>
      <c r="U1953" s="14" t="str">
        <f t="shared" si="638"/>
        <v/>
      </c>
      <c r="V1953" s="13" t="str">
        <f t="shared" si="639"/>
        <v/>
      </c>
      <c r="W1953" s="13" t="str">
        <f t="shared" si="640"/>
        <v/>
      </c>
      <c r="X1953" s="14" t="str">
        <f t="shared" si="641"/>
        <v/>
      </c>
    </row>
    <row r="1954" spans="20:24" x14ac:dyDescent="0.3">
      <c r="T1954" s="13" t="str">
        <f t="shared" si="637"/>
        <v/>
      </c>
      <c r="U1954" s="14" t="str">
        <f t="shared" si="638"/>
        <v/>
      </c>
      <c r="V1954" s="13" t="str">
        <f t="shared" si="639"/>
        <v/>
      </c>
      <c r="W1954" s="13" t="str">
        <f t="shared" si="640"/>
        <v/>
      </c>
      <c r="X1954" s="14" t="str">
        <f t="shared" si="641"/>
        <v/>
      </c>
    </row>
    <row r="1955" spans="20:24" x14ac:dyDescent="0.3">
      <c r="T1955" s="13" t="str">
        <f t="shared" si="637"/>
        <v/>
      </c>
      <c r="U1955" s="14" t="str">
        <f t="shared" si="638"/>
        <v/>
      </c>
      <c r="V1955" s="13" t="str">
        <f t="shared" si="639"/>
        <v/>
      </c>
      <c r="W1955" s="13" t="str">
        <f t="shared" si="640"/>
        <v/>
      </c>
      <c r="X1955" s="14" t="str">
        <f t="shared" si="641"/>
        <v/>
      </c>
    </row>
    <row r="1956" spans="20:24" x14ac:dyDescent="0.3">
      <c r="T1956" s="13" t="str">
        <f t="shared" si="637"/>
        <v/>
      </c>
      <c r="U1956" s="14" t="str">
        <f t="shared" si="638"/>
        <v/>
      </c>
      <c r="V1956" s="13" t="str">
        <f t="shared" si="639"/>
        <v/>
      </c>
      <c r="W1956" s="13" t="str">
        <f t="shared" si="640"/>
        <v/>
      </c>
      <c r="X1956" s="14" t="str">
        <f t="shared" si="641"/>
        <v/>
      </c>
    </row>
    <row r="1957" spans="20:24" x14ac:dyDescent="0.3">
      <c r="T1957" s="13" t="str">
        <f t="shared" si="637"/>
        <v/>
      </c>
      <c r="U1957" s="14" t="str">
        <f t="shared" si="638"/>
        <v/>
      </c>
      <c r="V1957" s="13" t="str">
        <f t="shared" si="639"/>
        <v/>
      </c>
      <c r="W1957" s="13" t="str">
        <f t="shared" si="640"/>
        <v/>
      </c>
      <c r="X1957" s="14" t="str">
        <f t="shared" si="641"/>
        <v/>
      </c>
    </row>
    <row r="1958" spans="20:24" x14ac:dyDescent="0.3">
      <c r="T1958" s="13" t="str">
        <f t="shared" si="637"/>
        <v/>
      </c>
      <c r="U1958" s="14" t="str">
        <f t="shared" si="638"/>
        <v/>
      </c>
      <c r="V1958" s="13" t="str">
        <f t="shared" si="639"/>
        <v/>
      </c>
      <c r="W1958" s="13" t="str">
        <f t="shared" si="640"/>
        <v/>
      </c>
      <c r="X1958" s="14" t="str">
        <f t="shared" si="641"/>
        <v/>
      </c>
    </row>
    <row r="1959" spans="20:24" x14ac:dyDescent="0.3">
      <c r="T1959" s="13" t="str">
        <f t="shared" si="637"/>
        <v/>
      </c>
      <c r="U1959" s="14" t="str">
        <f t="shared" si="638"/>
        <v/>
      </c>
      <c r="V1959" s="13" t="str">
        <f t="shared" si="639"/>
        <v/>
      </c>
      <c r="W1959" s="13" t="str">
        <f t="shared" si="640"/>
        <v/>
      </c>
      <c r="X1959" s="14" t="str">
        <f t="shared" si="641"/>
        <v/>
      </c>
    </row>
    <row r="1960" spans="20:24" x14ac:dyDescent="0.3">
      <c r="T1960" s="13" t="str">
        <f t="shared" si="637"/>
        <v/>
      </c>
      <c r="U1960" s="14" t="str">
        <f t="shared" si="638"/>
        <v/>
      </c>
      <c r="V1960" s="13" t="str">
        <f t="shared" si="639"/>
        <v/>
      </c>
      <c r="W1960" s="13" t="str">
        <f t="shared" si="640"/>
        <v/>
      </c>
      <c r="X1960" s="14" t="str">
        <f t="shared" si="641"/>
        <v/>
      </c>
    </row>
    <row r="1961" spans="20:24" x14ac:dyDescent="0.3">
      <c r="T1961" s="13" t="str">
        <f t="shared" si="637"/>
        <v/>
      </c>
      <c r="U1961" s="14" t="str">
        <f t="shared" si="638"/>
        <v/>
      </c>
      <c r="V1961" s="13" t="str">
        <f t="shared" si="639"/>
        <v/>
      </c>
      <c r="W1961" s="13" t="str">
        <f t="shared" si="640"/>
        <v/>
      </c>
      <c r="X1961" s="14" t="str">
        <f t="shared" si="641"/>
        <v/>
      </c>
    </row>
    <row r="1962" spans="20:24" x14ac:dyDescent="0.3">
      <c r="T1962" s="13" t="str">
        <f t="shared" si="637"/>
        <v/>
      </c>
      <c r="U1962" s="14" t="str">
        <f t="shared" si="638"/>
        <v/>
      </c>
      <c r="V1962" s="13" t="str">
        <f t="shared" si="639"/>
        <v/>
      </c>
      <c r="W1962" s="13" t="str">
        <f t="shared" si="640"/>
        <v/>
      </c>
      <c r="X1962" s="14" t="str">
        <f t="shared" si="641"/>
        <v/>
      </c>
    </row>
    <row r="1963" spans="20:24" x14ac:dyDescent="0.3">
      <c r="T1963" s="13" t="str">
        <f t="shared" si="637"/>
        <v/>
      </c>
      <c r="U1963" s="14" t="str">
        <f t="shared" si="638"/>
        <v/>
      </c>
      <c r="V1963" s="13" t="str">
        <f t="shared" si="639"/>
        <v/>
      </c>
      <c r="W1963" s="13" t="str">
        <f t="shared" si="640"/>
        <v/>
      </c>
      <c r="X1963" s="14" t="str">
        <f t="shared" si="641"/>
        <v/>
      </c>
    </row>
    <row r="1964" spans="20:24" x14ac:dyDescent="0.3">
      <c r="T1964" s="13" t="str">
        <f t="shared" si="637"/>
        <v/>
      </c>
      <c r="U1964" s="14" t="str">
        <f t="shared" si="638"/>
        <v/>
      </c>
      <c r="V1964" s="13" t="str">
        <f t="shared" si="639"/>
        <v/>
      </c>
      <c r="W1964" s="13" t="str">
        <f t="shared" si="640"/>
        <v/>
      </c>
      <c r="X1964" s="14" t="str">
        <f t="shared" si="641"/>
        <v/>
      </c>
    </row>
    <row r="1965" spans="20:24" x14ac:dyDescent="0.3">
      <c r="T1965" s="13" t="str">
        <f t="shared" si="637"/>
        <v/>
      </c>
      <c r="U1965" s="14" t="str">
        <f t="shared" si="638"/>
        <v/>
      </c>
      <c r="V1965" s="13" t="str">
        <f t="shared" si="639"/>
        <v/>
      </c>
      <c r="W1965" s="13" t="str">
        <f t="shared" si="640"/>
        <v/>
      </c>
      <c r="X1965" s="14" t="str">
        <f t="shared" si="641"/>
        <v/>
      </c>
    </row>
    <row r="1966" spans="20:24" x14ac:dyDescent="0.3">
      <c r="T1966" s="13" t="str">
        <f t="shared" si="637"/>
        <v/>
      </c>
      <c r="U1966" s="14" t="str">
        <f t="shared" si="638"/>
        <v/>
      </c>
      <c r="V1966" s="13" t="str">
        <f t="shared" si="639"/>
        <v/>
      </c>
      <c r="W1966" s="13" t="str">
        <f t="shared" si="640"/>
        <v/>
      </c>
      <c r="X1966" s="14" t="str">
        <f t="shared" si="641"/>
        <v/>
      </c>
    </row>
    <row r="1967" spans="20:24" x14ac:dyDescent="0.3">
      <c r="T1967" s="13" t="str">
        <f t="shared" si="637"/>
        <v/>
      </c>
      <c r="U1967" s="14" t="str">
        <f t="shared" si="638"/>
        <v/>
      </c>
      <c r="V1967" s="13" t="str">
        <f t="shared" si="639"/>
        <v/>
      </c>
      <c r="W1967" s="13" t="str">
        <f t="shared" si="640"/>
        <v/>
      </c>
      <c r="X1967" s="14" t="str">
        <f t="shared" si="641"/>
        <v/>
      </c>
    </row>
    <row r="1968" spans="20:24" x14ac:dyDescent="0.3">
      <c r="T1968" s="13" t="str">
        <f t="shared" si="637"/>
        <v/>
      </c>
      <c r="U1968" s="14" t="str">
        <f t="shared" si="638"/>
        <v/>
      </c>
      <c r="V1968" s="13" t="str">
        <f t="shared" si="639"/>
        <v/>
      </c>
      <c r="W1968" s="13" t="str">
        <f t="shared" si="640"/>
        <v/>
      </c>
      <c r="X1968" s="14" t="str">
        <f t="shared" si="641"/>
        <v/>
      </c>
    </row>
    <row r="1969" spans="20:24" x14ac:dyDescent="0.3">
      <c r="T1969" s="13" t="str">
        <f t="shared" si="637"/>
        <v/>
      </c>
      <c r="U1969" s="14" t="str">
        <f t="shared" si="638"/>
        <v/>
      </c>
      <c r="V1969" s="13" t="str">
        <f t="shared" si="639"/>
        <v/>
      </c>
      <c r="W1969" s="13" t="str">
        <f t="shared" si="640"/>
        <v/>
      </c>
      <c r="X1969" s="14" t="str">
        <f t="shared" si="641"/>
        <v/>
      </c>
    </row>
    <row r="1970" spans="20:24" x14ac:dyDescent="0.3">
      <c r="T1970" s="13" t="str">
        <f t="shared" si="637"/>
        <v/>
      </c>
      <c r="U1970" s="14" t="str">
        <f t="shared" si="638"/>
        <v/>
      </c>
      <c r="V1970" s="13" t="str">
        <f t="shared" si="639"/>
        <v/>
      </c>
      <c r="W1970" s="13" t="str">
        <f t="shared" si="640"/>
        <v/>
      </c>
      <c r="X1970" s="14" t="str">
        <f t="shared" si="641"/>
        <v/>
      </c>
    </row>
    <row r="1971" spans="20:24" x14ac:dyDescent="0.3">
      <c r="T1971" s="13" t="str">
        <f t="shared" si="637"/>
        <v/>
      </c>
      <c r="U1971" s="14" t="str">
        <f t="shared" si="638"/>
        <v/>
      </c>
      <c r="V1971" s="13" t="str">
        <f t="shared" si="639"/>
        <v/>
      </c>
      <c r="W1971" s="13" t="str">
        <f t="shared" si="640"/>
        <v/>
      </c>
      <c r="X1971" s="14" t="str">
        <f t="shared" si="641"/>
        <v/>
      </c>
    </row>
    <row r="1972" spans="20:24" x14ac:dyDescent="0.3">
      <c r="T1972" s="13" t="str">
        <f t="shared" si="637"/>
        <v/>
      </c>
      <c r="U1972" s="14" t="str">
        <f t="shared" si="638"/>
        <v/>
      </c>
      <c r="V1972" s="13" t="str">
        <f t="shared" si="639"/>
        <v/>
      </c>
      <c r="W1972" s="13" t="str">
        <f t="shared" si="640"/>
        <v/>
      </c>
      <c r="X1972" s="14" t="str">
        <f t="shared" si="641"/>
        <v/>
      </c>
    </row>
    <row r="1973" spans="20:24" x14ac:dyDescent="0.3">
      <c r="T1973" s="13" t="str">
        <f t="shared" si="637"/>
        <v/>
      </c>
      <c r="U1973" s="14" t="str">
        <f t="shared" si="638"/>
        <v/>
      </c>
      <c r="V1973" s="13" t="str">
        <f t="shared" si="639"/>
        <v/>
      </c>
      <c r="W1973" s="13" t="str">
        <f t="shared" si="640"/>
        <v/>
      </c>
      <c r="X1973" s="14" t="str">
        <f t="shared" si="641"/>
        <v/>
      </c>
    </row>
    <row r="1974" spans="20:24" x14ac:dyDescent="0.3">
      <c r="T1974" s="13" t="str">
        <f t="shared" si="637"/>
        <v/>
      </c>
      <c r="U1974" s="14" t="str">
        <f t="shared" si="638"/>
        <v/>
      </c>
      <c r="V1974" s="13" t="str">
        <f t="shared" si="639"/>
        <v/>
      </c>
      <c r="W1974" s="13" t="str">
        <f t="shared" si="640"/>
        <v/>
      </c>
      <c r="X1974" s="14" t="str">
        <f t="shared" si="641"/>
        <v/>
      </c>
    </row>
    <row r="1975" spans="20:24" x14ac:dyDescent="0.3">
      <c r="T1975" s="13" t="str">
        <f t="shared" si="637"/>
        <v/>
      </c>
      <c r="U1975" s="14" t="str">
        <f t="shared" si="638"/>
        <v/>
      </c>
      <c r="V1975" s="13" t="str">
        <f t="shared" si="639"/>
        <v/>
      </c>
      <c r="W1975" s="13" t="str">
        <f t="shared" si="640"/>
        <v/>
      </c>
      <c r="X1975" s="14" t="str">
        <f t="shared" si="641"/>
        <v/>
      </c>
    </row>
    <row r="1976" spans="20:24" x14ac:dyDescent="0.3">
      <c r="T1976" s="13" t="str">
        <f t="shared" si="637"/>
        <v/>
      </c>
      <c r="U1976" s="14" t="str">
        <f t="shared" si="638"/>
        <v/>
      </c>
      <c r="V1976" s="13" t="str">
        <f t="shared" si="639"/>
        <v/>
      </c>
      <c r="W1976" s="13" t="str">
        <f t="shared" si="640"/>
        <v/>
      </c>
      <c r="X1976" s="14" t="str">
        <f t="shared" si="641"/>
        <v/>
      </c>
    </row>
    <row r="1977" spans="20:24" x14ac:dyDescent="0.3">
      <c r="T1977" s="13" t="str">
        <f t="shared" si="637"/>
        <v/>
      </c>
      <c r="U1977" s="14" t="str">
        <f t="shared" si="638"/>
        <v/>
      </c>
      <c r="V1977" s="13" t="str">
        <f t="shared" si="639"/>
        <v/>
      </c>
      <c r="W1977" s="13" t="str">
        <f t="shared" si="640"/>
        <v/>
      </c>
      <c r="X1977" s="14" t="str">
        <f t="shared" si="641"/>
        <v/>
      </c>
    </row>
    <row r="1978" spans="20:24" x14ac:dyDescent="0.3">
      <c r="T1978" s="13" t="str">
        <f t="shared" si="637"/>
        <v/>
      </c>
      <c r="U1978" s="14" t="str">
        <f t="shared" si="638"/>
        <v/>
      </c>
      <c r="V1978" s="13" t="str">
        <f t="shared" si="639"/>
        <v/>
      </c>
      <c r="W1978" s="13" t="str">
        <f t="shared" si="640"/>
        <v/>
      </c>
      <c r="X1978" s="14" t="str">
        <f t="shared" si="641"/>
        <v/>
      </c>
    </row>
    <row r="1979" spans="20:24" x14ac:dyDescent="0.3">
      <c r="T1979" s="13" t="str">
        <f t="shared" si="637"/>
        <v/>
      </c>
      <c r="U1979" s="14" t="str">
        <f t="shared" si="638"/>
        <v/>
      </c>
      <c r="V1979" s="13" t="str">
        <f t="shared" si="639"/>
        <v/>
      </c>
      <c r="W1979" s="13" t="str">
        <f t="shared" si="640"/>
        <v/>
      </c>
      <c r="X1979" s="14" t="str">
        <f t="shared" si="641"/>
        <v/>
      </c>
    </row>
    <row r="1980" spans="20:24" x14ac:dyDescent="0.3">
      <c r="T1980" s="13" t="str">
        <f t="shared" si="637"/>
        <v/>
      </c>
      <c r="U1980" s="14" t="str">
        <f t="shared" si="638"/>
        <v/>
      </c>
      <c r="V1980" s="13" t="str">
        <f t="shared" si="639"/>
        <v/>
      </c>
      <c r="W1980" s="13" t="str">
        <f t="shared" si="640"/>
        <v/>
      </c>
      <c r="X1980" s="14" t="str">
        <f t="shared" si="641"/>
        <v/>
      </c>
    </row>
    <row r="1981" spans="20:24" x14ac:dyDescent="0.3">
      <c r="T1981" s="13" t="str">
        <f t="shared" si="637"/>
        <v/>
      </c>
      <c r="U1981" s="14" t="str">
        <f t="shared" si="638"/>
        <v/>
      </c>
      <c r="V1981" s="13" t="str">
        <f t="shared" si="639"/>
        <v/>
      </c>
      <c r="W1981" s="13" t="str">
        <f t="shared" si="640"/>
        <v/>
      </c>
      <c r="X1981" s="14" t="str">
        <f t="shared" si="641"/>
        <v/>
      </c>
    </row>
    <row r="1982" spans="20:24" x14ac:dyDescent="0.3">
      <c r="T1982" s="13" t="str">
        <f t="shared" si="637"/>
        <v/>
      </c>
      <c r="U1982" s="14" t="str">
        <f t="shared" si="638"/>
        <v/>
      </c>
      <c r="V1982" s="13" t="str">
        <f t="shared" si="639"/>
        <v/>
      </c>
      <c r="W1982" s="13" t="str">
        <f t="shared" si="640"/>
        <v/>
      </c>
      <c r="X1982" s="14" t="str">
        <f t="shared" si="641"/>
        <v/>
      </c>
    </row>
    <row r="1983" spans="20:24" x14ac:dyDescent="0.3">
      <c r="T1983" s="13" t="str">
        <f t="shared" si="637"/>
        <v/>
      </c>
      <c r="U1983" s="14" t="str">
        <f t="shared" si="638"/>
        <v/>
      </c>
      <c r="V1983" s="13" t="str">
        <f t="shared" si="639"/>
        <v/>
      </c>
      <c r="W1983" s="13" t="str">
        <f t="shared" si="640"/>
        <v/>
      </c>
      <c r="X1983" s="14" t="str">
        <f t="shared" si="641"/>
        <v/>
      </c>
    </row>
    <row r="1984" spans="20:24" x14ac:dyDescent="0.3">
      <c r="T1984" s="13" t="str">
        <f t="shared" si="637"/>
        <v/>
      </c>
      <c r="U1984" s="14" t="str">
        <f t="shared" si="638"/>
        <v/>
      </c>
      <c r="V1984" s="13" t="str">
        <f t="shared" si="639"/>
        <v/>
      </c>
      <c r="W1984" s="13" t="str">
        <f t="shared" si="640"/>
        <v/>
      </c>
      <c r="X1984" s="14" t="str">
        <f t="shared" si="641"/>
        <v/>
      </c>
    </row>
    <row r="1985" spans="20:24" x14ac:dyDescent="0.3">
      <c r="T1985" s="13" t="str">
        <f t="shared" si="637"/>
        <v/>
      </c>
      <c r="U1985" s="14" t="str">
        <f t="shared" si="638"/>
        <v/>
      </c>
      <c r="V1985" s="13" t="str">
        <f t="shared" si="639"/>
        <v/>
      </c>
      <c r="W1985" s="13" t="str">
        <f t="shared" si="640"/>
        <v/>
      </c>
      <c r="X1985" s="14" t="str">
        <f t="shared" si="641"/>
        <v/>
      </c>
    </row>
    <row r="1986" spans="20:24" x14ac:dyDescent="0.3">
      <c r="T1986" s="13" t="str">
        <f t="shared" si="637"/>
        <v/>
      </c>
      <c r="U1986" s="14" t="str">
        <f t="shared" si="638"/>
        <v/>
      </c>
      <c r="V1986" s="13" t="str">
        <f t="shared" si="639"/>
        <v/>
      </c>
      <c r="W1986" s="13" t="str">
        <f t="shared" si="640"/>
        <v/>
      </c>
      <c r="X1986" s="14" t="str">
        <f t="shared" si="641"/>
        <v/>
      </c>
    </row>
    <row r="1987" spans="20:24" x14ac:dyDescent="0.3">
      <c r="T1987" s="13" t="str">
        <f t="shared" si="637"/>
        <v/>
      </c>
      <c r="U1987" s="14" t="str">
        <f t="shared" si="638"/>
        <v/>
      </c>
      <c r="V1987" s="13" t="str">
        <f t="shared" si="639"/>
        <v/>
      </c>
      <c r="W1987" s="13" t="str">
        <f t="shared" si="640"/>
        <v/>
      </c>
      <c r="X1987" s="14" t="str">
        <f t="shared" si="641"/>
        <v/>
      </c>
    </row>
    <row r="1988" spans="20:24" x14ac:dyDescent="0.3">
      <c r="T1988" s="13" t="str">
        <f t="shared" si="637"/>
        <v/>
      </c>
      <c r="U1988" s="14" t="str">
        <f t="shared" si="638"/>
        <v/>
      </c>
      <c r="V1988" s="13" t="str">
        <f t="shared" si="639"/>
        <v/>
      </c>
      <c r="W1988" s="13" t="str">
        <f t="shared" si="640"/>
        <v/>
      </c>
      <c r="X1988" s="14" t="str">
        <f t="shared" si="641"/>
        <v/>
      </c>
    </row>
    <row r="1989" spans="20:24" x14ac:dyDescent="0.3">
      <c r="T1989" s="13" t="str">
        <f t="shared" si="637"/>
        <v/>
      </c>
      <c r="U1989" s="14" t="str">
        <f t="shared" si="638"/>
        <v/>
      </c>
      <c r="V1989" s="13" t="str">
        <f t="shared" si="639"/>
        <v/>
      </c>
      <c r="W1989" s="13" t="str">
        <f t="shared" si="640"/>
        <v/>
      </c>
      <c r="X1989" s="14" t="str">
        <f t="shared" si="641"/>
        <v/>
      </c>
    </row>
    <row r="1990" spans="20:24" x14ac:dyDescent="0.3">
      <c r="T1990" s="13" t="str">
        <f t="shared" si="637"/>
        <v/>
      </c>
      <c r="U1990" s="14" t="str">
        <f t="shared" si="638"/>
        <v/>
      </c>
      <c r="V1990" s="13" t="str">
        <f t="shared" si="639"/>
        <v/>
      </c>
      <c r="W1990" s="13" t="str">
        <f t="shared" si="640"/>
        <v/>
      </c>
      <c r="X1990" s="14" t="str">
        <f t="shared" si="641"/>
        <v/>
      </c>
    </row>
    <row r="1991" spans="20:24" x14ac:dyDescent="0.3">
      <c r="T1991" s="13" t="str">
        <f t="shared" si="637"/>
        <v/>
      </c>
      <c r="U1991" s="14" t="str">
        <f t="shared" si="638"/>
        <v/>
      </c>
      <c r="V1991" s="13" t="str">
        <f t="shared" si="639"/>
        <v/>
      </c>
      <c r="W1991" s="13" t="str">
        <f t="shared" si="640"/>
        <v/>
      </c>
      <c r="X1991" s="14" t="str">
        <f t="shared" si="641"/>
        <v/>
      </c>
    </row>
    <row r="1992" spans="20:24" x14ac:dyDescent="0.3">
      <c r="T1992" s="13" t="str">
        <f t="shared" si="637"/>
        <v/>
      </c>
      <c r="U1992" s="14" t="str">
        <f t="shared" si="638"/>
        <v/>
      </c>
      <c r="V1992" s="13" t="str">
        <f t="shared" si="639"/>
        <v/>
      </c>
      <c r="W1992" s="13" t="str">
        <f t="shared" si="640"/>
        <v/>
      </c>
      <c r="X1992" s="14" t="str">
        <f t="shared" si="641"/>
        <v/>
      </c>
    </row>
    <row r="1993" spans="20:24" x14ac:dyDescent="0.3">
      <c r="T1993" s="13" t="str">
        <f t="shared" si="637"/>
        <v/>
      </c>
      <c r="U1993" s="14" t="str">
        <f t="shared" si="638"/>
        <v/>
      </c>
      <c r="V1993" s="13" t="str">
        <f t="shared" si="639"/>
        <v/>
      </c>
      <c r="W1993" s="13" t="str">
        <f t="shared" si="640"/>
        <v/>
      </c>
      <c r="X1993" s="14" t="str">
        <f t="shared" si="641"/>
        <v/>
      </c>
    </row>
    <row r="1994" spans="20:24" x14ac:dyDescent="0.3">
      <c r="T1994" s="13" t="str">
        <f t="shared" si="637"/>
        <v/>
      </c>
      <c r="U1994" s="14" t="str">
        <f t="shared" si="638"/>
        <v/>
      </c>
      <c r="V1994" s="13" t="str">
        <f t="shared" si="639"/>
        <v/>
      </c>
      <c r="W1994" s="13" t="str">
        <f t="shared" si="640"/>
        <v/>
      </c>
      <c r="X1994" s="14" t="str">
        <f t="shared" si="641"/>
        <v/>
      </c>
    </row>
    <row r="1995" spans="20:24" x14ac:dyDescent="0.3">
      <c r="T1995" s="13" t="str">
        <f t="shared" si="637"/>
        <v/>
      </c>
      <c r="U1995" s="14" t="str">
        <f t="shared" si="638"/>
        <v/>
      </c>
      <c r="V1995" s="13" t="str">
        <f t="shared" si="639"/>
        <v/>
      </c>
      <c r="W1995" s="13" t="str">
        <f t="shared" si="640"/>
        <v/>
      </c>
      <c r="X1995" s="14" t="str">
        <f t="shared" si="641"/>
        <v/>
      </c>
    </row>
    <row r="1996" spans="20:24" x14ac:dyDescent="0.3">
      <c r="T1996" s="13" t="str">
        <f t="shared" si="637"/>
        <v/>
      </c>
      <c r="U1996" s="14" t="str">
        <f t="shared" si="638"/>
        <v/>
      </c>
      <c r="V1996" s="13" t="str">
        <f t="shared" si="639"/>
        <v/>
      </c>
      <c r="W1996" s="13" t="str">
        <f t="shared" si="640"/>
        <v/>
      </c>
      <c r="X1996" s="14" t="str">
        <f t="shared" si="641"/>
        <v/>
      </c>
    </row>
    <row r="1997" spans="20:24" x14ac:dyDescent="0.3">
      <c r="T1997" s="13" t="str">
        <f t="shared" si="637"/>
        <v/>
      </c>
      <c r="U1997" s="14" t="str">
        <f t="shared" si="638"/>
        <v/>
      </c>
      <c r="V1997" s="13" t="str">
        <f t="shared" si="639"/>
        <v/>
      </c>
      <c r="W1997" s="13" t="str">
        <f t="shared" si="640"/>
        <v/>
      </c>
      <c r="X1997" s="14" t="str">
        <f t="shared" si="641"/>
        <v/>
      </c>
    </row>
    <row r="1998" spans="20:24" x14ac:dyDescent="0.3">
      <c r="T1998" s="13" t="str">
        <f t="shared" si="637"/>
        <v/>
      </c>
      <c r="U1998" s="14" t="str">
        <f t="shared" si="638"/>
        <v/>
      </c>
      <c r="V1998" s="13" t="str">
        <f t="shared" si="639"/>
        <v/>
      </c>
      <c r="W1998" s="13" t="str">
        <f t="shared" si="640"/>
        <v/>
      </c>
      <c r="X1998" s="14" t="str">
        <f t="shared" si="641"/>
        <v/>
      </c>
    </row>
    <row r="1999" spans="20:24" x14ac:dyDescent="0.3">
      <c r="T1999" s="13" t="str">
        <f t="shared" si="637"/>
        <v/>
      </c>
      <c r="U1999" s="14" t="str">
        <f t="shared" si="638"/>
        <v/>
      </c>
      <c r="V1999" s="13" t="str">
        <f t="shared" si="639"/>
        <v/>
      </c>
      <c r="W1999" s="13" t="str">
        <f t="shared" si="640"/>
        <v/>
      </c>
      <c r="X1999" s="14" t="str">
        <f t="shared" si="641"/>
        <v/>
      </c>
    </row>
    <row r="2000" spans="20:24" x14ac:dyDescent="0.3">
      <c r="T2000" s="13" t="str">
        <f t="shared" si="637"/>
        <v/>
      </c>
      <c r="U2000" s="14" t="str">
        <f t="shared" si="638"/>
        <v/>
      </c>
      <c r="V2000" s="13" t="str">
        <f t="shared" si="639"/>
        <v/>
      </c>
      <c r="W2000" s="13" t="str">
        <f t="shared" si="640"/>
        <v/>
      </c>
      <c r="X2000" s="14" t="str">
        <f t="shared" si="641"/>
        <v/>
      </c>
    </row>
    <row r="2001" spans="20:24" x14ac:dyDescent="0.3">
      <c r="T2001" s="13" t="str">
        <f t="shared" si="637"/>
        <v/>
      </c>
      <c r="U2001" s="14" t="str">
        <f t="shared" si="638"/>
        <v/>
      </c>
      <c r="V2001" s="13" t="str">
        <f t="shared" si="639"/>
        <v/>
      </c>
      <c r="W2001" s="13" t="str">
        <f t="shared" si="640"/>
        <v/>
      </c>
      <c r="X2001" s="14" t="str">
        <f t="shared" si="641"/>
        <v/>
      </c>
    </row>
    <row r="2002" spans="20:24" x14ac:dyDescent="0.3">
      <c r="T2002" s="13" t="str">
        <f t="shared" si="637"/>
        <v/>
      </c>
      <c r="U2002" s="14" t="str">
        <f t="shared" si="638"/>
        <v/>
      </c>
      <c r="V2002" s="13" t="str">
        <f t="shared" si="639"/>
        <v/>
      </c>
      <c r="W2002" s="13" t="str">
        <f t="shared" si="640"/>
        <v/>
      </c>
      <c r="X2002" s="14" t="str">
        <f t="shared" si="641"/>
        <v/>
      </c>
    </row>
    <row r="2003" spans="20:24" x14ac:dyDescent="0.3">
      <c r="T2003" s="13" t="str">
        <f t="shared" ref="T2003:T2066" si="642">IF(A2003="",IF(A2002="","",$T$1),IF(O2003=1,"#",IF(B2003=0,"*",DEC2HEX(R2003))))</f>
        <v/>
      </c>
      <c r="U2003" s="14" t="str">
        <f t="shared" ref="U2003:U2066" si="643">IF(A2003="",IF(A2002="","",$U$1),  IF(B2003=0,Q2003,I2003)  )</f>
        <v/>
      </c>
      <c r="V2003" s="13" t="str">
        <f t="shared" ref="V2003:V2066" si="644">IF(U2003=$U$1,"",IF(A2003="",IF(A2002="","",1),  IF(B2003=0,1,D2003)  ))</f>
        <v/>
      </c>
      <c r="W2003" s="13" t="str">
        <f t="shared" ref="W2003:W2066" si="645">IF(U2003=$U$1,"",IF(A2003="",IF(A2002="","",0),  IF(C2003=0,0,0)  ))</f>
        <v/>
      </c>
      <c r="X2003" s="14" t="str">
        <f t="shared" ref="X2003:X2066" si="646">IF(U2003=$U$1,"",IF(U2003="","",IF(B2003&gt;0,IF(Q2003&lt;&gt;"",Q2003,"No description"),"-")))</f>
        <v/>
      </c>
    </row>
    <row r="2004" spans="20:24" x14ac:dyDescent="0.3">
      <c r="T2004" s="13" t="str">
        <f t="shared" si="642"/>
        <v/>
      </c>
      <c r="U2004" s="14" t="str">
        <f t="shared" si="643"/>
        <v/>
      </c>
      <c r="V2004" s="13" t="str">
        <f t="shared" si="644"/>
        <v/>
      </c>
      <c r="W2004" s="13" t="str">
        <f t="shared" si="645"/>
        <v/>
      </c>
      <c r="X2004" s="14" t="str">
        <f t="shared" si="646"/>
        <v/>
      </c>
    </row>
    <row r="2005" spans="20:24" x14ac:dyDescent="0.3">
      <c r="T2005" s="13" t="str">
        <f t="shared" si="642"/>
        <v/>
      </c>
      <c r="U2005" s="14" t="str">
        <f t="shared" si="643"/>
        <v/>
      </c>
      <c r="V2005" s="13" t="str">
        <f t="shared" si="644"/>
        <v/>
      </c>
      <c r="W2005" s="13" t="str">
        <f t="shared" si="645"/>
        <v/>
      </c>
      <c r="X2005" s="14" t="str">
        <f t="shared" si="646"/>
        <v/>
      </c>
    </row>
    <row r="2006" spans="20:24" x14ac:dyDescent="0.3">
      <c r="T2006" s="13" t="str">
        <f t="shared" si="642"/>
        <v/>
      </c>
      <c r="U2006" s="14" t="str">
        <f t="shared" si="643"/>
        <v/>
      </c>
      <c r="V2006" s="13" t="str">
        <f t="shared" si="644"/>
        <v/>
      </c>
      <c r="W2006" s="13" t="str">
        <f t="shared" si="645"/>
        <v/>
      </c>
      <c r="X2006" s="14" t="str">
        <f t="shared" si="646"/>
        <v/>
      </c>
    </row>
    <row r="2007" spans="20:24" x14ac:dyDescent="0.3">
      <c r="T2007" s="13" t="str">
        <f t="shared" si="642"/>
        <v/>
      </c>
      <c r="U2007" s="14" t="str">
        <f t="shared" si="643"/>
        <v/>
      </c>
      <c r="V2007" s="13" t="str">
        <f t="shared" si="644"/>
        <v/>
      </c>
      <c r="W2007" s="13" t="str">
        <f t="shared" si="645"/>
        <v/>
      </c>
      <c r="X2007" s="14" t="str">
        <f t="shared" si="646"/>
        <v/>
      </c>
    </row>
    <row r="2008" spans="20:24" x14ac:dyDescent="0.3">
      <c r="T2008" s="13" t="str">
        <f t="shared" si="642"/>
        <v/>
      </c>
      <c r="U2008" s="14" t="str">
        <f t="shared" si="643"/>
        <v/>
      </c>
      <c r="V2008" s="13" t="str">
        <f t="shared" si="644"/>
        <v/>
      </c>
      <c r="W2008" s="13" t="str">
        <f t="shared" si="645"/>
        <v/>
      </c>
      <c r="X2008" s="14" t="str">
        <f t="shared" si="646"/>
        <v/>
      </c>
    </row>
    <row r="2009" spans="20:24" x14ac:dyDescent="0.3">
      <c r="T2009" s="13" t="str">
        <f t="shared" si="642"/>
        <v/>
      </c>
      <c r="U2009" s="14" t="str">
        <f t="shared" si="643"/>
        <v/>
      </c>
      <c r="V2009" s="13" t="str">
        <f t="shared" si="644"/>
        <v/>
      </c>
      <c r="W2009" s="13" t="str">
        <f t="shared" si="645"/>
        <v/>
      </c>
      <c r="X2009" s="14" t="str">
        <f t="shared" si="646"/>
        <v/>
      </c>
    </row>
    <row r="2010" spans="20:24" x14ac:dyDescent="0.3">
      <c r="T2010" s="13" t="str">
        <f t="shared" si="642"/>
        <v/>
      </c>
      <c r="U2010" s="14" t="str">
        <f t="shared" si="643"/>
        <v/>
      </c>
      <c r="V2010" s="13" t="str">
        <f t="shared" si="644"/>
        <v/>
      </c>
      <c r="W2010" s="13" t="str">
        <f t="shared" si="645"/>
        <v/>
      </c>
      <c r="X2010" s="14" t="str">
        <f t="shared" si="646"/>
        <v/>
      </c>
    </row>
    <row r="2011" spans="20:24" x14ac:dyDescent="0.3">
      <c r="T2011" s="13" t="str">
        <f t="shared" si="642"/>
        <v/>
      </c>
      <c r="U2011" s="14" t="str">
        <f t="shared" si="643"/>
        <v/>
      </c>
      <c r="V2011" s="13" t="str">
        <f t="shared" si="644"/>
        <v/>
      </c>
      <c r="W2011" s="13" t="str">
        <f t="shared" si="645"/>
        <v/>
      </c>
      <c r="X2011" s="14" t="str">
        <f t="shared" si="646"/>
        <v/>
      </c>
    </row>
    <row r="2012" spans="20:24" x14ac:dyDescent="0.3">
      <c r="T2012" s="13" t="str">
        <f t="shared" si="642"/>
        <v/>
      </c>
      <c r="U2012" s="14" t="str">
        <f t="shared" si="643"/>
        <v/>
      </c>
      <c r="V2012" s="13" t="str">
        <f t="shared" si="644"/>
        <v/>
      </c>
      <c r="W2012" s="13" t="str">
        <f t="shared" si="645"/>
        <v/>
      </c>
      <c r="X2012" s="14" t="str">
        <f t="shared" si="646"/>
        <v/>
      </c>
    </row>
    <row r="2013" spans="20:24" x14ac:dyDescent="0.3">
      <c r="T2013" s="13" t="str">
        <f t="shared" si="642"/>
        <v/>
      </c>
      <c r="U2013" s="14" t="str">
        <f t="shared" si="643"/>
        <v/>
      </c>
      <c r="V2013" s="13" t="str">
        <f t="shared" si="644"/>
        <v/>
      </c>
      <c r="W2013" s="13" t="str">
        <f t="shared" si="645"/>
        <v/>
      </c>
      <c r="X2013" s="14" t="str">
        <f t="shared" si="646"/>
        <v/>
      </c>
    </row>
    <row r="2014" spans="20:24" x14ac:dyDescent="0.3">
      <c r="T2014" s="13" t="str">
        <f t="shared" si="642"/>
        <v/>
      </c>
      <c r="U2014" s="14" t="str">
        <f t="shared" si="643"/>
        <v/>
      </c>
      <c r="V2014" s="13" t="str">
        <f t="shared" si="644"/>
        <v/>
      </c>
      <c r="W2014" s="13" t="str">
        <f t="shared" si="645"/>
        <v/>
      </c>
      <c r="X2014" s="14" t="str">
        <f t="shared" si="646"/>
        <v/>
      </c>
    </row>
    <row r="2015" spans="20:24" x14ac:dyDescent="0.3">
      <c r="T2015" s="13" t="str">
        <f t="shared" si="642"/>
        <v/>
      </c>
      <c r="U2015" s="14" t="str">
        <f t="shared" si="643"/>
        <v/>
      </c>
      <c r="V2015" s="13" t="str">
        <f t="shared" si="644"/>
        <v/>
      </c>
      <c r="W2015" s="13" t="str">
        <f t="shared" si="645"/>
        <v/>
      </c>
      <c r="X2015" s="14" t="str">
        <f t="shared" si="646"/>
        <v/>
      </c>
    </row>
    <row r="2016" spans="20:24" x14ac:dyDescent="0.3">
      <c r="T2016" s="13" t="str">
        <f t="shared" si="642"/>
        <v/>
      </c>
      <c r="U2016" s="14" t="str">
        <f t="shared" si="643"/>
        <v/>
      </c>
      <c r="V2016" s="13" t="str">
        <f t="shared" si="644"/>
        <v/>
      </c>
      <c r="W2016" s="13" t="str">
        <f t="shared" si="645"/>
        <v/>
      </c>
      <c r="X2016" s="14" t="str">
        <f t="shared" si="646"/>
        <v/>
      </c>
    </row>
    <row r="2017" spans="20:24" x14ac:dyDescent="0.3">
      <c r="T2017" s="13" t="str">
        <f t="shared" si="642"/>
        <v/>
      </c>
      <c r="U2017" s="14" t="str">
        <f t="shared" si="643"/>
        <v/>
      </c>
      <c r="V2017" s="13" t="str">
        <f t="shared" si="644"/>
        <v/>
      </c>
      <c r="W2017" s="13" t="str">
        <f t="shared" si="645"/>
        <v/>
      </c>
      <c r="X2017" s="14" t="str">
        <f t="shared" si="646"/>
        <v/>
      </c>
    </row>
    <row r="2018" spans="20:24" x14ac:dyDescent="0.3">
      <c r="T2018" s="13" t="str">
        <f t="shared" si="642"/>
        <v/>
      </c>
      <c r="U2018" s="14" t="str">
        <f t="shared" si="643"/>
        <v/>
      </c>
      <c r="V2018" s="13" t="str">
        <f t="shared" si="644"/>
        <v/>
      </c>
      <c r="W2018" s="13" t="str">
        <f t="shared" si="645"/>
        <v/>
      </c>
      <c r="X2018" s="14" t="str">
        <f t="shared" si="646"/>
        <v/>
      </c>
    </row>
    <row r="2019" spans="20:24" x14ac:dyDescent="0.3">
      <c r="T2019" s="13" t="str">
        <f t="shared" si="642"/>
        <v/>
      </c>
      <c r="U2019" s="14" t="str">
        <f t="shared" si="643"/>
        <v/>
      </c>
      <c r="V2019" s="13" t="str">
        <f t="shared" si="644"/>
        <v/>
      </c>
      <c r="W2019" s="13" t="str">
        <f t="shared" si="645"/>
        <v/>
      </c>
      <c r="X2019" s="14" t="str">
        <f t="shared" si="646"/>
        <v/>
      </c>
    </row>
    <row r="2020" spans="20:24" x14ac:dyDescent="0.3">
      <c r="T2020" s="13" t="str">
        <f t="shared" si="642"/>
        <v/>
      </c>
      <c r="U2020" s="14" t="str">
        <f t="shared" si="643"/>
        <v/>
      </c>
      <c r="V2020" s="13" t="str">
        <f t="shared" si="644"/>
        <v/>
      </c>
      <c r="W2020" s="13" t="str">
        <f t="shared" si="645"/>
        <v/>
      </c>
      <c r="X2020" s="14" t="str">
        <f t="shared" si="646"/>
        <v/>
      </c>
    </row>
    <row r="2021" spans="20:24" x14ac:dyDescent="0.3">
      <c r="T2021" s="13" t="str">
        <f t="shared" si="642"/>
        <v/>
      </c>
      <c r="U2021" s="14" t="str">
        <f t="shared" si="643"/>
        <v/>
      </c>
      <c r="V2021" s="13" t="str">
        <f t="shared" si="644"/>
        <v/>
      </c>
      <c r="W2021" s="13" t="str">
        <f t="shared" si="645"/>
        <v/>
      </c>
      <c r="X2021" s="14" t="str">
        <f t="shared" si="646"/>
        <v/>
      </c>
    </row>
    <row r="2022" spans="20:24" x14ac:dyDescent="0.3">
      <c r="T2022" s="13" t="str">
        <f t="shared" si="642"/>
        <v/>
      </c>
      <c r="U2022" s="14" t="str">
        <f t="shared" si="643"/>
        <v/>
      </c>
      <c r="V2022" s="13" t="str">
        <f t="shared" si="644"/>
        <v/>
      </c>
      <c r="W2022" s="13" t="str">
        <f t="shared" si="645"/>
        <v/>
      </c>
      <c r="X2022" s="14" t="str">
        <f t="shared" si="646"/>
        <v/>
      </c>
    </row>
    <row r="2023" spans="20:24" x14ac:dyDescent="0.3">
      <c r="T2023" s="13" t="str">
        <f t="shared" si="642"/>
        <v/>
      </c>
      <c r="U2023" s="14" t="str">
        <f t="shared" si="643"/>
        <v/>
      </c>
      <c r="V2023" s="13" t="str">
        <f t="shared" si="644"/>
        <v/>
      </c>
      <c r="W2023" s="13" t="str">
        <f t="shared" si="645"/>
        <v/>
      </c>
      <c r="X2023" s="14" t="str">
        <f t="shared" si="646"/>
        <v/>
      </c>
    </row>
    <row r="2024" spans="20:24" x14ac:dyDescent="0.3">
      <c r="T2024" s="13" t="str">
        <f t="shared" si="642"/>
        <v/>
      </c>
      <c r="U2024" s="14" t="str">
        <f t="shared" si="643"/>
        <v/>
      </c>
      <c r="V2024" s="13" t="str">
        <f t="shared" si="644"/>
        <v/>
      </c>
      <c r="W2024" s="13" t="str">
        <f t="shared" si="645"/>
        <v/>
      </c>
      <c r="X2024" s="14" t="str">
        <f t="shared" si="646"/>
        <v/>
      </c>
    </row>
    <row r="2025" spans="20:24" x14ac:dyDescent="0.3">
      <c r="T2025" s="13" t="str">
        <f t="shared" si="642"/>
        <v/>
      </c>
      <c r="U2025" s="14" t="str">
        <f t="shared" si="643"/>
        <v/>
      </c>
      <c r="V2025" s="13" t="str">
        <f t="shared" si="644"/>
        <v/>
      </c>
      <c r="W2025" s="13" t="str">
        <f t="shared" si="645"/>
        <v/>
      </c>
      <c r="X2025" s="14" t="str">
        <f t="shared" si="646"/>
        <v/>
      </c>
    </row>
    <row r="2026" spans="20:24" x14ac:dyDescent="0.3">
      <c r="T2026" s="13" t="str">
        <f t="shared" si="642"/>
        <v/>
      </c>
      <c r="U2026" s="14" t="str">
        <f t="shared" si="643"/>
        <v/>
      </c>
      <c r="V2026" s="13" t="str">
        <f t="shared" si="644"/>
        <v/>
      </c>
      <c r="W2026" s="13" t="str">
        <f t="shared" si="645"/>
        <v/>
      </c>
      <c r="X2026" s="14" t="str">
        <f t="shared" si="646"/>
        <v/>
      </c>
    </row>
    <row r="2027" spans="20:24" x14ac:dyDescent="0.3">
      <c r="T2027" s="13" t="str">
        <f t="shared" si="642"/>
        <v/>
      </c>
      <c r="U2027" s="14" t="str">
        <f t="shared" si="643"/>
        <v/>
      </c>
      <c r="V2027" s="13" t="str">
        <f t="shared" si="644"/>
        <v/>
      </c>
      <c r="W2027" s="13" t="str">
        <f t="shared" si="645"/>
        <v/>
      </c>
      <c r="X2027" s="14" t="str">
        <f t="shared" si="646"/>
        <v/>
      </c>
    </row>
    <row r="2028" spans="20:24" x14ac:dyDescent="0.3">
      <c r="T2028" s="13" t="str">
        <f t="shared" si="642"/>
        <v/>
      </c>
      <c r="U2028" s="14" t="str">
        <f t="shared" si="643"/>
        <v/>
      </c>
      <c r="V2028" s="13" t="str">
        <f t="shared" si="644"/>
        <v/>
      </c>
      <c r="W2028" s="13" t="str">
        <f t="shared" si="645"/>
        <v/>
      </c>
      <c r="X2028" s="14" t="str">
        <f t="shared" si="646"/>
        <v/>
      </c>
    </row>
    <row r="2029" spans="20:24" x14ac:dyDescent="0.3">
      <c r="T2029" s="13" t="str">
        <f t="shared" si="642"/>
        <v/>
      </c>
      <c r="U2029" s="14" t="str">
        <f t="shared" si="643"/>
        <v/>
      </c>
      <c r="V2029" s="13" t="str">
        <f t="shared" si="644"/>
        <v/>
      </c>
      <c r="W2029" s="13" t="str">
        <f t="shared" si="645"/>
        <v/>
      </c>
      <c r="X2029" s="14" t="str">
        <f t="shared" si="646"/>
        <v/>
      </c>
    </row>
    <row r="2030" spans="20:24" x14ac:dyDescent="0.3">
      <c r="T2030" s="13" t="str">
        <f t="shared" si="642"/>
        <v/>
      </c>
      <c r="U2030" s="14" t="str">
        <f t="shared" si="643"/>
        <v/>
      </c>
      <c r="V2030" s="13" t="str">
        <f t="shared" si="644"/>
        <v/>
      </c>
      <c r="W2030" s="13" t="str">
        <f t="shared" si="645"/>
        <v/>
      </c>
      <c r="X2030" s="14" t="str">
        <f t="shared" si="646"/>
        <v/>
      </c>
    </row>
    <row r="2031" spans="20:24" x14ac:dyDescent="0.3">
      <c r="T2031" s="13" t="str">
        <f t="shared" si="642"/>
        <v/>
      </c>
      <c r="U2031" s="14" t="str">
        <f t="shared" si="643"/>
        <v/>
      </c>
      <c r="V2031" s="13" t="str">
        <f t="shared" si="644"/>
        <v/>
      </c>
      <c r="W2031" s="13" t="str">
        <f t="shared" si="645"/>
        <v/>
      </c>
      <c r="X2031" s="14" t="str">
        <f t="shared" si="646"/>
        <v/>
      </c>
    </row>
    <row r="2032" spans="20:24" x14ac:dyDescent="0.3">
      <c r="T2032" s="13" t="str">
        <f t="shared" si="642"/>
        <v/>
      </c>
      <c r="U2032" s="14" t="str">
        <f t="shared" si="643"/>
        <v/>
      </c>
      <c r="V2032" s="13" t="str">
        <f t="shared" si="644"/>
        <v/>
      </c>
      <c r="W2032" s="13" t="str">
        <f t="shared" si="645"/>
        <v/>
      </c>
      <c r="X2032" s="14" t="str">
        <f t="shared" si="646"/>
        <v/>
      </c>
    </row>
    <row r="2033" spans="20:24" x14ac:dyDescent="0.3">
      <c r="T2033" s="13" t="str">
        <f t="shared" si="642"/>
        <v/>
      </c>
      <c r="U2033" s="14" t="str">
        <f t="shared" si="643"/>
        <v/>
      </c>
      <c r="V2033" s="13" t="str">
        <f t="shared" si="644"/>
        <v/>
      </c>
      <c r="W2033" s="13" t="str">
        <f t="shared" si="645"/>
        <v/>
      </c>
      <c r="X2033" s="14" t="str">
        <f t="shared" si="646"/>
        <v/>
      </c>
    </row>
    <row r="2034" spans="20:24" x14ac:dyDescent="0.3">
      <c r="T2034" s="13" t="str">
        <f t="shared" si="642"/>
        <v/>
      </c>
      <c r="U2034" s="14" t="str">
        <f t="shared" si="643"/>
        <v/>
      </c>
      <c r="V2034" s="13" t="str">
        <f t="shared" si="644"/>
        <v/>
      </c>
      <c r="W2034" s="13" t="str">
        <f t="shared" si="645"/>
        <v/>
      </c>
      <c r="X2034" s="14" t="str">
        <f t="shared" si="646"/>
        <v/>
      </c>
    </row>
    <row r="2035" spans="20:24" x14ac:dyDescent="0.3">
      <c r="T2035" s="13" t="str">
        <f t="shared" si="642"/>
        <v/>
      </c>
      <c r="U2035" s="14" t="str">
        <f t="shared" si="643"/>
        <v/>
      </c>
      <c r="V2035" s="13" t="str">
        <f t="shared" si="644"/>
        <v/>
      </c>
      <c r="W2035" s="13" t="str">
        <f t="shared" si="645"/>
        <v/>
      </c>
      <c r="X2035" s="14" t="str">
        <f t="shared" si="646"/>
        <v/>
      </c>
    </row>
    <row r="2036" spans="20:24" x14ac:dyDescent="0.3">
      <c r="T2036" s="13" t="str">
        <f t="shared" si="642"/>
        <v/>
      </c>
      <c r="U2036" s="14" t="str">
        <f t="shared" si="643"/>
        <v/>
      </c>
      <c r="V2036" s="13" t="str">
        <f t="shared" si="644"/>
        <v/>
      </c>
      <c r="W2036" s="13" t="str">
        <f t="shared" si="645"/>
        <v/>
      </c>
      <c r="X2036" s="14" t="str">
        <f t="shared" si="646"/>
        <v/>
      </c>
    </row>
    <row r="2037" spans="20:24" x14ac:dyDescent="0.3">
      <c r="T2037" s="13" t="str">
        <f t="shared" si="642"/>
        <v/>
      </c>
      <c r="U2037" s="14" t="str">
        <f t="shared" si="643"/>
        <v/>
      </c>
      <c r="V2037" s="13" t="str">
        <f t="shared" si="644"/>
        <v/>
      </c>
      <c r="W2037" s="13" t="str">
        <f t="shared" si="645"/>
        <v/>
      </c>
      <c r="X2037" s="14" t="str">
        <f t="shared" si="646"/>
        <v/>
      </c>
    </row>
    <row r="2038" spans="20:24" x14ac:dyDescent="0.3">
      <c r="T2038" s="13" t="str">
        <f t="shared" si="642"/>
        <v/>
      </c>
      <c r="U2038" s="14" t="str">
        <f t="shared" si="643"/>
        <v/>
      </c>
      <c r="V2038" s="13" t="str">
        <f t="shared" si="644"/>
        <v/>
      </c>
      <c r="W2038" s="13" t="str">
        <f t="shared" si="645"/>
        <v/>
      </c>
      <c r="X2038" s="14" t="str">
        <f t="shared" si="646"/>
        <v/>
      </c>
    </row>
    <row r="2039" spans="20:24" x14ac:dyDescent="0.3">
      <c r="T2039" s="13" t="str">
        <f t="shared" si="642"/>
        <v/>
      </c>
      <c r="U2039" s="14" t="str">
        <f t="shared" si="643"/>
        <v/>
      </c>
      <c r="V2039" s="13" t="str">
        <f t="shared" si="644"/>
        <v/>
      </c>
      <c r="W2039" s="13" t="str">
        <f t="shared" si="645"/>
        <v/>
      </c>
      <c r="X2039" s="14" t="str">
        <f t="shared" si="646"/>
        <v/>
      </c>
    </row>
    <row r="2040" spans="20:24" x14ac:dyDescent="0.3">
      <c r="T2040" s="13" t="str">
        <f t="shared" si="642"/>
        <v/>
      </c>
      <c r="U2040" s="14" t="str">
        <f t="shared" si="643"/>
        <v/>
      </c>
      <c r="V2040" s="13" t="str">
        <f t="shared" si="644"/>
        <v/>
      </c>
      <c r="W2040" s="13" t="str">
        <f t="shared" si="645"/>
        <v/>
      </c>
      <c r="X2040" s="14" t="str">
        <f t="shared" si="646"/>
        <v/>
      </c>
    </row>
    <row r="2041" spans="20:24" x14ac:dyDescent="0.3">
      <c r="T2041" s="13" t="str">
        <f t="shared" si="642"/>
        <v/>
      </c>
      <c r="U2041" s="14" t="str">
        <f t="shared" si="643"/>
        <v/>
      </c>
      <c r="V2041" s="13" t="str">
        <f t="shared" si="644"/>
        <v/>
      </c>
      <c r="W2041" s="13" t="str">
        <f t="shared" si="645"/>
        <v/>
      </c>
      <c r="X2041" s="14" t="str">
        <f t="shared" si="646"/>
        <v/>
      </c>
    </row>
    <row r="2042" spans="20:24" x14ac:dyDescent="0.3">
      <c r="T2042" s="13" t="str">
        <f t="shared" si="642"/>
        <v/>
      </c>
      <c r="U2042" s="14" t="str">
        <f t="shared" si="643"/>
        <v/>
      </c>
      <c r="V2042" s="13" t="str">
        <f t="shared" si="644"/>
        <v/>
      </c>
      <c r="W2042" s="13" t="str">
        <f t="shared" si="645"/>
        <v/>
      </c>
      <c r="X2042" s="14" t="str">
        <f t="shared" si="646"/>
        <v/>
      </c>
    </row>
    <row r="2043" spans="20:24" x14ac:dyDescent="0.3">
      <c r="T2043" s="13" t="str">
        <f t="shared" si="642"/>
        <v/>
      </c>
      <c r="U2043" s="14" t="str">
        <f t="shared" si="643"/>
        <v/>
      </c>
      <c r="V2043" s="13" t="str">
        <f t="shared" si="644"/>
        <v/>
      </c>
      <c r="W2043" s="13" t="str">
        <f t="shared" si="645"/>
        <v/>
      </c>
      <c r="X2043" s="14" t="str">
        <f t="shared" si="646"/>
        <v/>
      </c>
    </row>
    <row r="2044" spans="20:24" x14ac:dyDescent="0.3">
      <c r="T2044" s="13" t="str">
        <f t="shared" si="642"/>
        <v/>
      </c>
      <c r="U2044" s="14" t="str">
        <f t="shared" si="643"/>
        <v/>
      </c>
      <c r="V2044" s="13" t="str">
        <f t="shared" si="644"/>
        <v/>
      </c>
      <c r="W2044" s="13" t="str">
        <f t="shared" si="645"/>
        <v/>
      </c>
      <c r="X2044" s="14" t="str">
        <f t="shared" si="646"/>
        <v/>
      </c>
    </row>
    <row r="2045" spans="20:24" x14ac:dyDescent="0.3">
      <c r="T2045" s="13" t="str">
        <f t="shared" si="642"/>
        <v/>
      </c>
      <c r="U2045" s="14" t="str">
        <f t="shared" si="643"/>
        <v/>
      </c>
      <c r="V2045" s="13" t="str">
        <f t="shared" si="644"/>
        <v/>
      </c>
      <c r="W2045" s="13" t="str">
        <f t="shared" si="645"/>
        <v/>
      </c>
      <c r="X2045" s="14" t="str">
        <f t="shared" si="646"/>
        <v/>
      </c>
    </row>
    <row r="2046" spans="20:24" x14ac:dyDescent="0.3">
      <c r="T2046" s="13" t="str">
        <f t="shared" si="642"/>
        <v/>
      </c>
      <c r="U2046" s="14" t="str">
        <f t="shared" si="643"/>
        <v/>
      </c>
      <c r="V2046" s="13" t="str">
        <f t="shared" si="644"/>
        <v/>
      </c>
      <c r="W2046" s="13" t="str">
        <f t="shared" si="645"/>
        <v/>
      </c>
      <c r="X2046" s="14" t="str">
        <f t="shared" si="646"/>
        <v/>
      </c>
    </row>
    <row r="2047" spans="20:24" x14ac:dyDescent="0.3">
      <c r="T2047" s="13" t="str">
        <f t="shared" si="642"/>
        <v/>
      </c>
      <c r="U2047" s="14" t="str">
        <f t="shared" si="643"/>
        <v/>
      </c>
      <c r="V2047" s="13" t="str">
        <f t="shared" si="644"/>
        <v/>
      </c>
      <c r="W2047" s="13" t="str">
        <f t="shared" si="645"/>
        <v/>
      </c>
      <c r="X2047" s="14" t="str">
        <f t="shared" si="646"/>
        <v/>
      </c>
    </row>
    <row r="2048" spans="20:24" x14ac:dyDescent="0.3">
      <c r="T2048" s="13" t="str">
        <f t="shared" si="642"/>
        <v/>
      </c>
      <c r="U2048" s="14" t="str">
        <f t="shared" si="643"/>
        <v/>
      </c>
      <c r="V2048" s="13" t="str">
        <f t="shared" si="644"/>
        <v/>
      </c>
      <c r="W2048" s="13" t="str">
        <f t="shared" si="645"/>
        <v/>
      </c>
      <c r="X2048" s="14" t="str">
        <f t="shared" si="646"/>
        <v/>
      </c>
    </row>
    <row r="2049" spans="20:24" x14ac:dyDescent="0.3">
      <c r="T2049" s="13" t="str">
        <f t="shared" si="642"/>
        <v/>
      </c>
      <c r="U2049" s="14" t="str">
        <f t="shared" si="643"/>
        <v/>
      </c>
      <c r="V2049" s="13" t="str">
        <f t="shared" si="644"/>
        <v/>
      </c>
      <c r="W2049" s="13" t="str">
        <f t="shared" si="645"/>
        <v/>
      </c>
      <c r="X2049" s="14" t="str">
        <f t="shared" si="646"/>
        <v/>
      </c>
    </row>
    <row r="2050" spans="20:24" x14ac:dyDescent="0.3">
      <c r="T2050" s="13" t="str">
        <f t="shared" si="642"/>
        <v/>
      </c>
      <c r="U2050" s="14" t="str">
        <f t="shared" si="643"/>
        <v/>
      </c>
      <c r="V2050" s="13" t="str">
        <f t="shared" si="644"/>
        <v/>
      </c>
      <c r="W2050" s="13" t="str">
        <f t="shared" si="645"/>
        <v/>
      </c>
      <c r="X2050" s="14" t="str">
        <f t="shared" si="646"/>
        <v/>
      </c>
    </row>
    <row r="2051" spans="20:24" x14ac:dyDescent="0.3">
      <c r="T2051" s="13" t="str">
        <f t="shared" si="642"/>
        <v/>
      </c>
      <c r="U2051" s="14" t="str">
        <f t="shared" si="643"/>
        <v/>
      </c>
      <c r="V2051" s="13" t="str">
        <f t="shared" si="644"/>
        <v/>
      </c>
      <c r="W2051" s="13" t="str">
        <f t="shared" si="645"/>
        <v/>
      </c>
      <c r="X2051" s="14" t="str">
        <f t="shared" si="646"/>
        <v/>
      </c>
    </row>
    <row r="2052" spans="20:24" x14ac:dyDescent="0.3">
      <c r="T2052" s="13" t="str">
        <f t="shared" si="642"/>
        <v/>
      </c>
      <c r="U2052" s="14" t="str">
        <f t="shared" si="643"/>
        <v/>
      </c>
      <c r="V2052" s="13" t="str">
        <f t="shared" si="644"/>
        <v/>
      </c>
      <c r="W2052" s="13" t="str">
        <f t="shared" si="645"/>
        <v/>
      </c>
      <c r="X2052" s="14" t="str">
        <f t="shared" si="646"/>
        <v/>
      </c>
    </row>
    <row r="2053" spans="20:24" x14ac:dyDescent="0.3">
      <c r="T2053" s="13" t="str">
        <f t="shared" si="642"/>
        <v/>
      </c>
      <c r="U2053" s="14" t="str">
        <f t="shared" si="643"/>
        <v/>
      </c>
      <c r="V2053" s="13" t="str">
        <f t="shared" si="644"/>
        <v/>
      </c>
      <c r="W2053" s="13" t="str">
        <f t="shared" si="645"/>
        <v/>
      </c>
      <c r="X2053" s="14" t="str">
        <f t="shared" si="646"/>
        <v/>
      </c>
    </row>
    <row r="2054" spans="20:24" x14ac:dyDescent="0.3">
      <c r="T2054" s="13" t="str">
        <f t="shared" si="642"/>
        <v/>
      </c>
      <c r="U2054" s="14" t="str">
        <f t="shared" si="643"/>
        <v/>
      </c>
      <c r="V2054" s="13" t="str">
        <f t="shared" si="644"/>
        <v/>
      </c>
      <c r="W2054" s="13" t="str">
        <f t="shared" si="645"/>
        <v/>
      </c>
      <c r="X2054" s="14" t="str">
        <f t="shared" si="646"/>
        <v/>
      </c>
    </row>
    <row r="2055" spans="20:24" x14ac:dyDescent="0.3">
      <c r="T2055" s="13" t="str">
        <f t="shared" si="642"/>
        <v/>
      </c>
      <c r="U2055" s="14" t="str">
        <f t="shared" si="643"/>
        <v/>
      </c>
      <c r="V2055" s="13" t="str">
        <f t="shared" si="644"/>
        <v/>
      </c>
      <c r="W2055" s="13" t="str">
        <f t="shared" si="645"/>
        <v/>
      </c>
      <c r="X2055" s="14" t="str">
        <f t="shared" si="646"/>
        <v/>
      </c>
    </row>
    <row r="2056" spans="20:24" x14ac:dyDescent="0.3">
      <c r="T2056" s="13" t="str">
        <f t="shared" si="642"/>
        <v/>
      </c>
      <c r="U2056" s="14" t="str">
        <f t="shared" si="643"/>
        <v/>
      </c>
      <c r="V2056" s="13" t="str">
        <f t="shared" si="644"/>
        <v/>
      </c>
      <c r="W2056" s="13" t="str">
        <f t="shared" si="645"/>
        <v/>
      </c>
      <c r="X2056" s="14" t="str">
        <f t="shared" si="646"/>
        <v/>
      </c>
    </row>
    <row r="2057" spans="20:24" x14ac:dyDescent="0.3">
      <c r="T2057" s="13" t="str">
        <f t="shared" si="642"/>
        <v/>
      </c>
      <c r="U2057" s="14" t="str">
        <f t="shared" si="643"/>
        <v/>
      </c>
      <c r="V2057" s="13" t="str">
        <f t="shared" si="644"/>
        <v/>
      </c>
      <c r="W2057" s="13" t="str">
        <f t="shared" si="645"/>
        <v/>
      </c>
      <c r="X2057" s="14" t="str">
        <f t="shared" si="646"/>
        <v/>
      </c>
    </row>
    <row r="2058" spans="20:24" x14ac:dyDescent="0.3">
      <c r="T2058" s="13" t="str">
        <f t="shared" si="642"/>
        <v/>
      </c>
      <c r="U2058" s="14" t="str">
        <f t="shared" si="643"/>
        <v/>
      </c>
      <c r="V2058" s="13" t="str">
        <f t="shared" si="644"/>
        <v/>
      </c>
      <c r="W2058" s="13" t="str">
        <f t="shared" si="645"/>
        <v/>
      </c>
      <c r="X2058" s="14" t="str">
        <f t="shared" si="646"/>
        <v/>
      </c>
    </row>
    <row r="2059" spans="20:24" x14ac:dyDescent="0.3">
      <c r="T2059" s="13" t="str">
        <f t="shared" si="642"/>
        <v/>
      </c>
      <c r="U2059" s="14" t="str">
        <f t="shared" si="643"/>
        <v/>
      </c>
      <c r="V2059" s="13" t="str">
        <f t="shared" si="644"/>
        <v/>
      </c>
      <c r="W2059" s="13" t="str">
        <f t="shared" si="645"/>
        <v/>
      </c>
      <c r="X2059" s="14" t="str">
        <f t="shared" si="646"/>
        <v/>
      </c>
    </row>
    <row r="2060" spans="20:24" x14ac:dyDescent="0.3">
      <c r="T2060" s="13" t="str">
        <f t="shared" si="642"/>
        <v/>
      </c>
      <c r="U2060" s="14" t="str">
        <f t="shared" si="643"/>
        <v/>
      </c>
      <c r="V2060" s="13" t="str">
        <f t="shared" si="644"/>
        <v/>
      </c>
      <c r="W2060" s="13" t="str">
        <f t="shared" si="645"/>
        <v/>
      </c>
      <c r="X2060" s="14" t="str">
        <f t="shared" si="646"/>
        <v/>
      </c>
    </row>
    <row r="2061" spans="20:24" x14ac:dyDescent="0.3">
      <c r="T2061" s="13" t="str">
        <f t="shared" si="642"/>
        <v/>
      </c>
      <c r="U2061" s="14" t="str">
        <f t="shared" si="643"/>
        <v/>
      </c>
      <c r="V2061" s="13" t="str">
        <f t="shared" si="644"/>
        <v/>
      </c>
      <c r="W2061" s="13" t="str">
        <f t="shared" si="645"/>
        <v/>
      </c>
      <c r="X2061" s="14" t="str">
        <f t="shared" si="646"/>
        <v/>
      </c>
    </row>
    <row r="2062" spans="20:24" x14ac:dyDescent="0.3">
      <c r="T2062" s="13" t="str">
        <f t="shared" si="642"/>
        <v/>
      </c>
      <c r="U2062" s="14" t="str">
        <f t="shared" si="643"/>
        <v/>
      </c>
      <c r="V2062" s="13" t="str">
        <f t="shared" si="644"/>
        <v/>
      </c>
      <c r="W2062" s="13" t="str">
        <f t="shared" si="645"/>
        <v/>
      </c>
      <c r="X2062" s="14" t="str">
        <f t="shared" si="646"/>
        <v/>
      </c>
    </row>
    <row r="2063" spans="20:24" x14ac:dyDescent="0.3">
      <c r="T2063" s="13" t="str">
        <f t="shared" si="642"/>
        <v/>
      </c>
      <c r="U2063" s="14" t="str">
        <f t="shared" si="643"/>
        <v/>
      </c>
      <c r="V2063" s="13" t="str">
        <f t="shared" si="644"/>
        <v/>
      </c>
      <c r="W2063" s="13" t="str">
        <f t="shared" si="645"/>
        <v/>
      </c>
      <c r="X2063" s="14" t="str">
        <f t="shared" si="646"/>
        <v/>
      </c>
    </row>
    <row r="2064" spans="20:24" x14ac:dyDescent="0.3">
      <c r="T2064" s="13" t="str">
        <f t="shared" si="642"/>
        <v/>
      </c>
      <c r="U2064" s="14" t="str">
        <f t="shared" si="643"/>
        <v/>
      </c>
      <c r="V2064" s="13" t="str">
        <f t="shared" si="644"/>
        <v/>
      </c>
      <c r="W2064" s="13" t="str">
        <f t="shared" si="645"/>
        <v/>
      </c>
      <c r="X2064" s="14" t="str">
        <f t="shared" si="646"/>
        <v/>
      </c>
    </row>
    <row r="2065" spans="20:24" x14ac:dyDescent="0.3">
      <c r="T2065" s="13" t="str">
        <f t="shared" si="642"/>
        <v/>
      </c>
      <c r="U2065" s="14" t="str">
        <f t="shared" si="643"/>
        <v/>
      </c>
      <c r="V2065" s="13" t="str">
        <f t="shared" si="644"/>
        <v/>
      </c>
      <c r="W2065" s="13" t="str">
        <f t="shared" si="645"/>
        <v/>
      </c>
      <c r="X2065" s="14" t="str">
        <f t="shared" si="646"/>
        <v/>
      </c>
    </row>
    <row r="2066" spans="20:24" x14ac:dyDescent="0.3">
      <c r="T2066" s="13" t="str">
        <f t="shared" si="642"/>
        <v/>
      </c>
      <c r="U2066" s="14" t="str">
        <f t="shared" si="643"/>
        <v/>
      </c>
      <c r="V2066" s="13" t="str">
        <f t="shared" si="644"/>
        <v/>
      </c>
      <c r="W2066" s="13" t="str">
        <f t="shared" si="645"/>
        <v/>
      </c>
      <c r="X2066" s="14" t="str">
        <f t="shared" si="646"/>
        <v/>
      </c>
    </row>
    <row r="2067" spans="20:24" x14ac:dyDescent="0.3">
      <c r="T2067" s="13" t="str">
        <f t="shared" ref="T2067:T2130" si="647">IF(A2067="",IF(A2066="","",$T$1),IF(O2067=1,"#",IF(B2067=0,"*",DEC2HEX(R2067))))</f>
        <v/>
      </c>
      <c r="U2067" s="14" t="str">
        <f t="shared" ref="U2067:U2130" si="648">IF(A2067="",IF(A2066="","",$U$1),  IF(B2067=0,Q2067,I2067)  )</f>
        <v/>
      </c>
      <c r="V2067" s="13" t="str">
        <f t="shared" ref="V2067:V2130" si="649">IF(U2067=$U$1,"",IF(A2067="",IF(A2066="","",1),  IF(B2067=0,1,D2067)  ))</f>
        <v/>
      </c>
      <c r="W2067" s="13" t="str">
        <f t="shared" ref="W2067:W2130" si="650">IF(U2067=$U$1,"",IF(A2067="",IF(A2066="","",0),  IF(C2067=0,0,0)  ))</f>
        <v/>
      </c>
      <c r="X2067" s="14" t="str">
        <f t="shared" ref="X2067:X2130" si="651">IF(U2067=$U$1,"",IF(U2067="","",IF(B2067&gt;0,IF(Q2067&lt;&gt;"",Q2067,"No description"),"-")))</f>
        <v/>
      </c>
    </row>
    <row r="2068" spans="20:24" x14ac:dyDescent="0.3">
      <c r="T2068" s="13" t="str">
        <f t="shared" si="647"/>
        <v/>
      </c>
      <c r="U2068" s="14" t="str">
        <f t="shared" si="648"/>
        <v/>
      </c>
      <c r="V2068" s="13" t="str">
        <f t="shared" si="649"/>
        <v/>
      </c>
      <c r="W2068" s="13" t="str">
        <f t="shared" si="650"/>
        <v/>
      </c>
      <c r="X2068" s="14" t="str">
        <f t="shared" si="651"/>
        <v/>
      </c>
    </row>
    <row r="2069" spans="20:24" x14ac:dyDescent="0.3">
      <c r="T2069" s="13" t="str">
        <f t="shared" si="647"/>
        <v/>
      </c>
      <c r="U2069" s="14" t="str">
        <f t="shared" si="648"/>
        <v/>
      </c>
      <c r="V2069" s="13" t="str">
        <f t="shared" si="649"/>
        <v/>
      </c>
      <c r="W2069" s="13" t="str">
        <f t="shared" si="650"/>
        <v/>
      </c>
      <c r="X2069" s="14" t="str">
        <f t="shared" si="651"/>
        <v/>
      </c>
    </row>
    <row r="2070" spans="20:24" x14ac:dyDescent="0.3">
      <c r="T2070" s="13" t="str">
        <f t="shared" si="647"/>
        <v/>
      </c>
      <c r="U2070" s="14" t="str">
        <f t="shared" si="648"/>
        <v/>
      </c>
      <c r="V2070" s="13" t="str">
        <f t="shared" si="649"/>
        <v/>
      </c>
      <c r="W2070" s="13" t="str">
        <f t="shared" si="650"/>
        <v/>
      </c>
      <c r="X2070" s="14" t="str">
        <f t="shared" si="651"/>
        <v/>
      </c>
    </row>
    <row r="2071" spans="20:24" x14ac:dyDescent="0.3">
      <c r="T2071" s="13" t="str">
        <f t="shared" si="647"/>
        <v/>
      </c>
      <c r="U2071" s="14" t="str">
        <f t="shared" si="648"/>
        <v/>
      </c>
      <c r="V2071" s="13" t="str">
        <f t="shared" si="649"/>
        <v/>
      </c>
      <c r="W2071" s="13" t="str">
        <f t="shared" si="650"/>
        <v/>
      </c>
      <c r="X2071" s="14" t="str">
        <f t="shared" si="651"/>
        <v/>
      </c>
    </row>
    <row r="2072" spans="20:24" x14ac:dyDescent="0.3">
      <c r="T2072" s="13" t="str">
        <f t="shared" si="647"/>
        <v/>
      </c>
      <c r="U2072" s="14" t="str">
        <f t="shared" si="648"/>
        <v/>
      </c>
      <c r="V2072" s="13" t="str">
        <f t="shared" si="649"/>
        <v/>
      </c>
      <c r="W2072" s="13" t="str">
        <f t="shared" si="650"/>
        <v/>
      </c>
      <c r="X2072" s="14" t="str">
        <f t="shared" si="651"/>
        <v/>
      </c>
    </row>
    <row r="2073" spans="20:24" x14ac:dyDescent="0.3">
      <c r="T2073" s="13" t="str">
        <f t="shared" si="647"/>
        <v/>
      </c>
      <c r="U2073" s="14" t="str">
        <f t="shared" si="648"/>
        <v/>
      </c>
      <c r="V2073" s="13" t="str">
        <f t="shared" si="649"/>
        <v/>
      </c>
      <c r="W2073" s="13" t="str">
        <f t="shared" si="650"/>
        <v/>
      </c>
      <c r="X2073" s="14" t="str">
        <f t="shared" si="651"/>
        <v/>
      </c>
    </row>
    <row r="2074" spans="20:24" x14ac:dyDescent="0.3">
      <c r="T2074" s="13" t="str">
        <f t="shared" si="647"/>
        <v/>
      </c>
      <c r="U2074" s="14" t="str">
        <f t="shared" si="648"/>
        <v/>
      </c>
      <c r="V2074" s="13" t="str">
        <f t="shared" si="649"/>
        <v/>
      </c>
      <c r="W2074" s="13" t="str">
        <f t="shared" si="650"/>
        <v/>
      </c>
      <c r="X2074" s="14" t="str">
        <f t="shared" si="651"/>
        <v/>
      </c>
    </row>
    <row r="2075" spans="20:24" x14ac:dyDescent="0.3">
      <c r="T2075" s="13" t="str">
        <f t="shared" si="647"/>
        <v/>
      </c>
      <c r="U2075" s="14" t="str">
        <f t="shared" si="648"/>
        <v/>
      </c>
      <c r="V2075" s="13" t="str">
        <f t="shared" si="649"/>
        <v/>
      </c>
      <c r="W2075" s="13" t="str">
        <f t="shared" si="650"/>
        <v/>
      </c>
      <c r="X2075" s="14" t="str">
        <f t="shared" si="651"/>
        <v/>
      </c>
    </row>
    <row r="2076" spans="20:24" x14ac:dyDescent="0.3">
      <c r="T2076" s="13" t="str">
        <f t="shared" si="647"/>
        <v/>
      </c>
      <c r="U2076" s="14" t="str">
        <f t="shared" si="648"/>
        <v/>
      </c>
      <c r="V2076" s="13" t="str">
        <f t="shared" si="649"/>
        <v/>
      </c>
      <c r="W2076" s="13" t="str">
        <f t="shared" si="650"/>
        <v/>
      </c>
      <c r="X2076" s="14" t="str">
        <f t="shared" si="651"/>
        <v/>
      </c>
    </row>
    <row r="2077" spans="20:24" x14ac:dyDescent="0.3">
      <c r="T2077" s="13" t="str">
        <f t="shared" si="647"/>
        <v/>
      </c>
      <c r="U2077" s="14" t="str">
        <f t="shared" si="648"/>
        <v/>
      </c>
      <c r="V2077" s="13" t="str">
        <f t="shared" si="649"/>
        <v/>
      </c>
      <c r="W2077" s="13" t="str">
        <f t="shared" si="650"/>
        <v/>
      </c>
      <c r="X2077" s="14" t="str">
        <f t="shared" si="651"/>
        <v/>
      </c>
    </row>
    <row r="2078" spans="20:24" x14ac:dyDescent="0.3">
      <c r="T2078" s="13" t="str">
        <f t="shared" si="647"/>
        <v/>
      </c>
      <c r="U2078" s="14" t="str">
        <f t="shared" si="648"/>
        <v/>
      </c>
      <c r="V2078" s="13" t="str">
        <f t="shared" si="649"/>
        <v/>
      </c>
      <c r="W2078" s="13" t="str">
        <f t="shared" si="650"/>
        <v/>
      </c>
      <c r="X2078" s="14" t="str">
        <f t="shared" si="651"/>
        <v/>
      </c>
    </row>
    <row r="2079" spans="20:24" x14ac:dyDescent="0.3">
      <c r="T2079" s="13" t="str">
        <f t="shared" si="647"/>
        <v/>
      </c>
      <c r="U2079" s="14" t="str">
        <f t="shared" si="648"/>
        <v/>
      </c>
      <c r="V2079" s="13" t="str">
        <f t="shared" si="649"/>
        <v/>
      </c>
      <c r="W2079" s="13" t="str">
        <f t="shared" si="650"/>
        <v/>
      </c>
      <c r="X2079" s="14" t="str">
        <f t="shared" si="651"/>
        <v/>
      </c>
    </row>
    <row r="2080" spans="20:24" x14ac:dyDescent="0.3">
      <c r="T2080" s="13" t="str">
        <f t="shared" si="647"/>
        <v/>
      </c>
      <c r="U2080" s="14" t="str">
        <f t="shared" si="648"/>
        <v/>
      </c>
      <c r="V2080" s="13" t="str">
        <f t="shared" si="649"/>
        <v/>
      </c>
      <c r="W2080" s="13" t="str">
        <f t="shared" si="650"/>
        <v/>
      </c>
      <c r="X2080" s="14" t="str">
        <f t="shared" si="651"/>
        <v/>
      </c>
    </row>
    <row r="2081" spans="20:24" x14ac:dyDescent="0.3">
      <c r="T2081" s="13" t="str">
        <f t="shared" si="647"/>
        <v/>
      </c>
      <c r="U2081" s="14" t="str">
        <f t="shared" si="648"/>
        <v/>
      </c>
      <c r="V2081" s="13" t="str">
        <f t="shared" si="649"/>
        <v/>
      </c>
      <c r="W2081" s="13" t="str">
        <f t="shared" si="650"/>
        <v/>
      </c>
      <c r="X2081" s="14" t="str">
        <f t="shared" si="651"/>
        <v/>
      </c>
    </row>
    <row r="2082" spans="20:24" x14ac:dyDescent="0.3">
      <c r="T2082" s="13" t="str">
        <f t="shared" si="647"/>
        <v/>
      </c>
      <c r="U2082" s="14" t="str">
        <f t="shared" si="648"/>
        <v/>
      </c>
      <c r="V2082" s="13" t="str">
        <f t="shared" si="649"/>
        <v/>
      </c>
      <c r="W2082" s="13" t="str">
        <f t="shared" si="650"/>
        <v/>
      </c>
      <c r="X2082" s="14" t="str">
        <f t="shared" si="651"/>
        <v/>
      </c>
    </row>
    <row r="2083" spans="20:24" x14ac:dyDescent="0.3">
      <c r="T2083" s="13" t="str">
        <f t="shared" si="647"/>
        <v/>
      </c>
      <c r="U2083" s="14" t="str">
        <f t="shared" si="648"/>
        <v/>
      </c>
      <c r="V2083" s="13" t="str">
        <f t="shared" si="649"/>
        <v/>
      </c>
      <c r="W2083" s="13" t="str">
        <f t="shared" si="650"/>
        <v/>
      </c>
      <c r="X2083" s="14" t="str">
        <f t="shared" si="651"/>
        <v/>
      </c>
    </row>
    <row r="2084" spans="20:24" x14ac:dyDescent="0.3">
      <c r="T2084" s="13" t="str">
        <f t="shared" si="647"/>
        <v/>
      </c>
      <c r="U2084" s="14" t="str">
        <f t="shared" si="648"/>
        <v/>
      </c>
      <c r="V2084" s="13" t="str">
        <f t="shared" si="649"/>
        <v/>
      </c>
      <c r="W2084" s="13" t="str">
        <f t="shared" si="650"/>
        <v/>
      </c>
      <c r="X2084" s="14" t="str">
        <f t="shared" si="651"/>
        <v/>
      </c>
    </row>
    <row r="2085" spans="20:24" x14ac:dyDescent="0.3">
      <c r="T2085" s="13" t="str">
        <f t="shared" si="647"/>
        <v/>
      </c>
      <c r="U2085" s="14" t="str">
        <f t="shared" si="648"/>
        <v/>
      </c>
      <c r="V2085" s="13" t="str">
        <f t="shared" si="649"/>
        <v/>
      </c>
      <c r="W2085" s="13" t="str">
        <f t="shared" si="650"/>
        <v/>
      </c>
      <c r="X2085" s="14" t="str">
        <f t="shared" si="651"/>
        <v/>
      </c>
    </row>
    <row r="2086" spans="20:24" x14ac:dyDescent="0.3">
      <c r="T2086" s="13" t="str">
        <f t="shared" si="647"/>
        <v/>
      </c>
      <c r="U2086" s="14" t="str">
        <f t="shared" si="648"/>
        <v/>
      </c>
      <c r="V2086" s="13" t="str">
        <f t="shared" si="649"/>
        <v/>
      </c>
      <c r="W2086" s="13" t="str">
        <f t="shared" si="650"/>
        <v/>
      </c>
      <c r="X2086" s="14" t="str">
        <f t="shared" si="651"/>
        <v/>
      </c>
    </row>
    <row r="2087" spans="20:24" x14ac:dyDescent="0.3">
      <c r="T2087" s="13" t="str">
        <f t="shared" si="647"/>
        <v/>
      </c>
      <c r="U2087" s="14" t="str">
        <f t="shared" si="648"/>
        <v/>
      </c>
      <c r="V2087" s="13" t="str">
        <f t="shared" si="649"/>
        <v/>
      </c>
      <c r="W2087" s="13" t="str">
        <f t="shared" si="650"/>
        <v/>
      </c>
      <c r="X2087" s="14" t="str">
        <f t="shared" si="651"/>
        <v/>
      </c>
    </row>
    <row r="2088" spans="20:24" x14ac:dyDescent="0.3">
      <c r="T2088" s="13" t="str">
        <f t="shared" si="647"/>
        <v/>
      </c>
      <c r="U2088" s="14" t="str">
        <f t="shared" si="648"/>
        <v/>
      </c>
      <c r="V2088" s="13" t="str">
        <f t="shared" si="649"/>
        <v/>
      </c>
      <c r="W2088" s="13" t="str">
        <f t="shared" si="650"/>
        <v/>
      </c>
      <c r="X2088" s="14" t="str">
        <f t="shared" si="651"/>
        <v/>
      </c>
    </row>
    <row r="2089" spans="20:24" x14ac:dyDescent="0.3">
      <c r="T2089" s="13" t="str">
        <f t="shared" si="647"/>
        <v/>
      </c>
      <c r="U2089" s="14" t="str">
        <f t="shared" si="648"/>
        <v/>
      </c>
      <c r="V2089" s="13" t="str">
        <f t="shared" si="649"/>
        <v/>
      </c>
      <c r="W2089" s="13" t="str">
        <f t="shared" si="650"/>
        <v/>
      </c>
      <c r="X2089" s="14" t="str">
        <f t="shared" si="651"/>
        <v/>
      </c>
    </row>
    <row r="2090" spans="20:24" x14ac:dyDescent="0.3">
      <c r="T2090" s="13" t="str">
        <f t="shared" si="647"/>
        <v/>
      </c>
      <c r="U2090" s="14" t="str">
        <f t="shared" si="648"/>
        <v/>
      </c>
      <c r="V2090" s="13" t="str">
        <f t="shared" si="649"/>
        <v/>
      </c>
      <c r="W2090" s="13" t="str">
        <f t="shared" si="650"/>
        <v/>
      </c>
      <c r="X2090" s="14" t="str">
        <f t="shared" si="651"/>
        <v/>
      </c>
    </row>
    <row r="2091" spans="20:24" x14ac:dyDescent="0.3">
      <c r="T2091" s="13" t="str">
        <f t="shared" si="647"/>
        <v/>
      </c>
      <c r="U2091" s="14" t="str">
        <f t="shared" si="648"/>
        <v/>
      </c>
      <c r="V2091" s="13" t="str">
        <f t="shared" si="649"/>
        <v/>
      </c>
      <c r="W2091" s="13" t="str">
        <f t="shared" si="650"/>
        <v/>
      </c>
      <c r="X2091" s="14" t="str">
        <f t="shared" si="651"/>
        <v/>
      </c>
    </row>
    <row r="2092" spans="20:24" x14ac:dyDescent="0.3">
      <c r="T2092" s="13" t="str">
        <f t="shared" si="647"/>
        <v/>
      </c>
      <c r="U2092" s="14" t="str">
        <f t="shared" si="648"/>
        <v/>
      </c>
      <c r="V2092" s="13" t="str">
        <f t="shared" si="649"/>
        <v/>
      </c>
      <c r="W2092" s="13" t="str">
        <f t="shared" si="650"/>
        <v/>
      </c>
      <c r="X2092" s="14" t="str">
        <f t="shared" si="651"/>
        <v/>
      </c>
    </row>
    <row r="2093" spans="20:24" x14ac:dyDescent="0.3">
      <c r="T2093" s="13" t="str">
        <f t="shared" si="647"/>
        <v/>
      </c>
      <c r="U2093" s="14" t="str">
        <f t="shared" si="648"/>
        <v/>
      </c>
      <c r="V2093" s="13" t="str">
        <f t="shared" si="649"/>
        <v/>
      </c>
      <c r="W2093" s="13" t="str">
        <f t="shared" si="650"/>
        <v/>
      </c>
      <c r="X2093" s="14" t="str">
        <f t="shared" si="651"/>
        <v/>
      </c>
    </row>
    <row r="2094" spans="20:24" x14ac:dyDescent="0.3">
      <c r="T2094" s="13" t="str">
        <f t="shared" si="647"/>
        <v/>
      </c>
      <c r="U2094" s="14" t="str">
        <f t="shared" si="648"/>
        <v/>
      </c>
      <c r="V2094" s="13" t="str">
        <f t="shared" si="649"/>
        <v/>
      </c>
      <c r="W2094" s="13" t="str">
        <f t="shared" si="650"/>
        <v/>
      </c>
      <c r="X2094" s="14" t="str">
        <f t="shared" si="651"/>
        <v/>
      </c>
    </row>
    <row r="2095" spans="20:24" x14ac:dyDescent="0.3">
      <c r="T2095" s="13" t="str">
        <f t="shared" si="647"/>
        <v/>
      </c>
      <c r="U2095" s="14" t="str">
        <f t="shared" si="648"/>
        <v/>
      </c>
      <c r="V2095" s="13" t="str">
        <f t="shared" si="649"/>
        <v/>
      </c>
      <c r="W2095" s="13" t="str">
        <f t="shared" si="650"/>
        <v/>
      </c>
      <c r="X2095" s="14" t="str">
        <f t="shared" si="651"/>
        <v/>
      </c>
    </row>
    <row r="2096" spans="20:24" x14ac:dyDescent="0.3">
      <c r="T2096" s="13" t="str">
        <f t="shared" si="647"/>
        <v/>
      </c>
      <c r="U2096" s="14" t="str">
        <f t="shared" si="648"/>
        <v/>
      </c>
      <c r="V2096" s="13" t="str">
        <f t="shared" si="649"/>
        <v/>
      </c>
      <c r="W2096" s="13" t="str">
        <f t="shared" si="650"/>
        <v/>
      </c>
      <c r="X2096" s="14" t="str">
        <f t="shared" si="651"/>
        <v/>
      </c>
    </row>
    <row r="2097" spans="20:24" x14ac:dyDescent="0.3">
      <c r="T2097" s="13" t="str">
        <f t="shared" si="647"/>
        <v/>
      </c>
      <c r="U2097" s="14" t="str">
        <f t="shared" si="648"/>
        <v/>
      </c>
      <c r="V2097" s="13" t="str">
        <f t="shared" si="649"/>
        <v/>
      </c>
      <c r="W2097" s="13" t="str">
        <f t="shared" si="650"/>
        <v/>
      </c>
      <c r="X2097" s="14" t="str">
        <f t="shared" si="651"/>
        <v/>
      </c>
    </row>
    <row r="2098" spans="20:24" x14ac:dyDescent="0.3">
      <c r="T2098" s="13" t="str">
        <f t="shared" si="647"/>
        <v/>
      </c>
      <c r="U2098" s="14" t="str">
        <f t="shared" si="648"/>
        <v/>
      </c>
      <c r="V2098" s="13" t="str">
        <f t="shared" si="649"/>
        <v/>
      </c>
      <c r="W2098" s="13" t="str">
        <f t="shared" si="650"/>
        <v/>
      </c>
      <c r="X2098" s="14" t="str">
        <f t="shared" si="651"/>
        <v/>
      </c>
    </row>
    <row r="2099" spans="20:24" x14ac:dyDescent="0.3">
      <c r="T2099" s="13" t="str">
        <f t="shared" si="647"/>
        <v/>
      </c>
      <c r="U2099" s="14" t="str">
        <f t="shared" si="648"/>
        <v/>
      </c>
      <c r="V2099" s="13" t="str">
        <f t="shared" si="649"/>
        <v/>
      </c>
      <c r="W2099" s="13" t="str">
        <f t="shared" si="650"/>
        <v/>
      </c>
      <c r="X2099" s="14" t="str">
        <f t="shared" si="651"/>
        <v/>
      </c>
    </row>
    <row r="2100" spans="20:24" x14ac:dyDescent="0.3">
      <c r="T2100" s="13" t="str">
        <f t="shared" si="647"/>
        <v/>
      </c>
      <c r="U2100" s="14" t="str">
        <f t="shared" si="648"/>
        <v/>
      </c>
      <c r="V2100" s="13" t="str">
        <f t="shared" si="649"/>
        <v/>
      </c>
      <c r="W2100" s="13" t="str">
        <f t="shared" si="650"/>
        <v/>
      </c>
      <c r="X2100" s="14" t="str">
        <f t="shared" si="651"/>
        <v/>
      </c>
    </row>
    <row r="2101" spans="20:24" x14ac:dyDescent="0.3">
      <c r="T2101" s="13" t="str">
        <f t="shared" si="647"/>
        <v/>
      </c>
      <c r="U2101" s="14" t="str">
        <f t="shared" si="648"/>
        <v/>
      </c>
      <c r="V2101" s="13" t="str">
        <f t="shared" si="649"/>
        <v/>
      </c>
      <c r="W2101" s="13" t="str">
        <f t="shared" si="650"/>
        <v/>
      </c>
      <c r="X2101" s="14" t="str">
        <f t="shared" si="651"/>
        <v/>
      </c>
    </row>
    <row r="2102" spans="20:24" x14ac:dyDescent="0.3">
      <c r="T2102" s="13" t="str">
        <f t="shared" si="647"/>
        <v/>
      </c>
      <c r="U2102" s="14" t="str">
        <f t="shared" si="648"/>
        <v/>
      </c>
      <c r="V2102" s="13" t="str">
        <f t="shared" si="649"/>
        <v/>
      </c>
      <c r="W2102" s="13" t="str">
        <f t="shared" si="650"/>
        <v/>
      </c>
      <c r="X2102" s="14" t="str">
        <f t="shared" si="651"/>
        <v/>
      </c>
    </row>
    <row r="2103" spans="20:24" x14ac:dyDescent="0.3">
      <c r="T2103" s="13" t="str">
        <f t="shared" si="647"/>
        <v/>
      </c>
      <c r="U2103" s="14" t="str">
        <f t="shared" si="648"/>
        <v/>
      </c>
      <c r="V2103" s="13" t="str">
        <f t="shared" si="649"/>
        <v/>
      </c>
      <c r="W2103" s="13" t="str">
        <f t="shared" si="650"/>
        <v/>
      </c>
      <c r="X2103" s="14" t="str">
        <f t="shared" si="651"/>
        <v/>
      </c>
    </row>
    <row r="2104" spans="20:24" x14ac:dyDescent="0.3">
      <c r="T2104" s="13" t="str">
        <f t="shared" si="647"/>
        <v/>
      </c>
      <c r="U2104" s="14" t="str">
        <f t="shared" si="648"/>
        <v/>
      </c>
      <c r="V2104" s="13" t="str">
        <f t="shared" si="649"/>
        <v/>
      </c>
      <c r="W2104" s="13" t="str">
        <f t="shared" si="650"/>
        <v/>
      </c>
      <c r="X2104" s="14" t="str">
        <f t="shared" si="651"/>
        <v/>
      </c>
    </row>
    <row r="2105" spans="20:24" x14ac:dyDescent="0.3">
      <c r="T2105" s="13" t="str">
        <f t="shared" si="647"/>
        <v/>
      </c>
      <c r="U2105" s="14" t="str">
        <f t="shared" si="648"/>
        <v/>
      </c>
      <c r="V2105" s="13" t="str">
        <f t="shared" si="649"/>
        <v/>
      </c>
      <c r="W2105" s="13" t="str">
        <f t="shared" si="650"/>
        <v/>
      </c>
      <c r="X2105" s="14" t="str">
        <f t="shared" si="651"/>
        <v/>
      </c>
    </row>
    <row r="2106" spans="20:24" x14ac:dyDescent="0.3">
      <c r="T2106" s="13" t="str">
        <f t="shared" si="647"/>
        <v/>
      </c>
      <c r="U2106" s="14" t="str">
        <f t="shared" si="648"/>
        <v/>
      </c>
      <c r="V2106" s="13" t="str">
        <f t="shared" si="649"/>
        <v/>
      </c>
      <c r="W2106" s="13" t="str">
        <f t="shared" si="650"/>
        <v/>
      </c>
      <c r="X2106" s="14" t="str">
        <f t="shared" si="651"/>
        <v/>
      </c>
    </row>
    <row r="2107" spans="20:24" x14ac:dyDescent="0.3">
      <c r="T2107" s="13" t="str">
        <f t="shared" si="647"/>
        <v/>
      </c>
      <c r="U2107" s="14" t="str">
        <f t="shared" si="648"/>
        <v/>
      </c>
      <c r="V2107" s="13" t="str">
        <f t="shared" si="649"/>
        <v/>
      </c>
      <c r="W2107" s="13" t="str">
        <f t="shared" si="650"/>
        <v/>
      </c>
      <c r="X2107" s="14" t="str">
        <f t="shared" si="651"/>
        <v/>
      </c>
    </row>
    <row r="2108" spans="20:24" x14ac:dyDescent="0.3">
      <c r="T2108" s="13" t="str">
        <f t="shared" si="647"/>
        <v/>
      </c>
      <c r="U2108" s="14" t="str">
        <f t="shared" si="648"/>
        <v/>
      </c>
      <c r="V2108" s="13" t="str">
        <f t="shared" si="649"/>
        <v/>
      </c>
      <c r="W2108" s="13" t="str">
        <f t="shared" si="650"/>
        <v/>
      </c>
      <c r="X2108" s="14" t="str">
        <f t="shared" si="651"/>
        <v/>
      </c>
    </row>
    <row r="2109" spans="20:24" x14ac:dyDescent="0.3">
      <c r="T2109" s="13" t="str">
        <f t="shared" si="647"/>
        <v/>
      </c>
      <c r="U2109" s="14" t="str">
        <f t="shared" si="648"/>
        <v/>
      </c>
      <c r="V2109" s="13" t="str">
        <f t="shared" si="649"/>
        <v/>
      </c>
      <c r="W2109" s="13" t="str">
        <f t="shared" si="650"/>
        <v/>
      </c>
      <c r="X2109" s="14" t="str">
        <f t="shared" si="651"/>
        <v/>
      </c>
    </row>
    <row r="2110" spans="20:24" x14ac:dyDescent="0.3">
      <c r="T2110" s="13" t="str">
        <f t="shared" si="647"/>
        <v/>
      </c>
      <c r="U2110" s="14" t="str">
        <f t="shared" si="648"/>
        <v/>
      </c>
      <c r="V2110" s="13" t="str">
        <f t="shared" si="649"/>
        <v/>
      </c>
      <c r="W2110" s="13" t="str">
        <f t="shared" si="650"/>
        <v/>
      </c>
      <c r="X2110" s="14" t="str">
        <f t="shared" si="651"/>
        <v/>
      </c>
    </row>
    <row r="2111" spans="20:24" x14ac:dyDescent="0.3">
      <c r="T2111" s="13" t="str">
        <f t="shared" si="647"/>
        <v/>
      </c>
      <c r="U2111" s="14" t="str">
        <f t="shared" si="648"/>
        <v/>
      </c>
      <c r="V2111" s="13" t="str">
        <f t="shared" si="649"/>
        <v/>
      </c>
      <c r="W2111" s="13" t="str">
        <f t="shared" si="650"/>
        <v/>
      </c>
      <c r="X2111" s="14" t="str">
        <f t="shared" si="651"/>
        <v/>
      </c>
    </row>
    <row r="2112" spans="20:24" x14ac:dyDescent="0.3">
      <c r="T2112" s="13" t="str">
        <f t="shared" si="647"/>
        <v/>
      </c>
      <c r="U2112" s="14" t="str">
        <f t="shared" si="648"/>
        <v/>
      </c>
      <c r="V2112" s="13" t="str">
        <f t="shared" si="649"/>
        <v/>
      </c>
      <c r="W2112" s="13" t="str">
        <f t="shared" si="650"/>
        <v/>
      </c>
      <c r="X2112" s="14" t="str">
        <f t="shared" si="651"/>
        <v/>
      </c>
    </row>
    <row r="2113" spans="20:24" x14ac:dyDescent="0.3">
      <c r="T2113" s="13" t="str">
        <f t="shared" si="647"/>
        <v/>
      </c>
      <c r="U2113" s="14" t="str">
        <f t="shared" si="648"/>
        <v/>
      </c>
      <c r="V2113" s="13" t="str">
        <f t="shared" si="649"/>
        <v/>
      </c>
      <c r="W2113" s="13" t="str">
        <f t="shared" si="650"/>
        <v/>
      </c>
      <c r="X2113" s="14" t="str">
        <f t="shared" si="651"/>
        <v/>
      </c>
    </row>
    <row r="2114" spans="20:24" x14ac:dyDescent="0.3">
      <c r="T2114" s="13" t="str">
        <f t="shared" si="647"/>
        <v/>
      </c>
      <c r="U2114" s="14" t="str">
        <f t="shared" si="648"/>
        <v/>
      </c>
      <c r="V2114" s="13" t="str">
        <f t="shared" si="649"/>
        <v/>
      </c>
      <c r="W2114" s="13" t="str">
        <f t="shared" si="650"/>
        <v/>
      </c>
      <c r="X2114" s="14" t="str">
        <f t="shared" si="651"/>
        <v/>
      </c>
    </row>
    <row r="2115" spans="20:24" x14ac:dyDescent="0.3">
      <c r="T2115" s="13" t="str">
        <f t="shared" si="647"/>
        <v/>
      </c>
      <c r="U2115" s="14" t="str">
        <f t="shared" si="648"/>
        <v/>
      </c>
      <c r="V2115" s="13" t="str">
        <f t="shared" si="649"/>
        <v/>
      </c>
      <c r="W2115" s="13" t="str">
        <f t="shared" si="650"/>
        <v/>
      </c>
      <c r="X2115" s="14" t="str">
        <f t="shared" si="651"/>
        <v/>
      </c>
    </row>
    <row r="2116" spans="20:24" x14ac:dyDescent="0.3">
      <c r="T2116" s="13" t="str">
        <f t="shared" si="647"/>
        <v/>
      </c>
      <c r="U2116" s="14" t="str">
        <f t="shared" si="648"/>
        <v/>
      </c>
      <c r="V2116" s="13" t="str">
        <f t="shared" si="649"/>
        <v/>
      </c>
      <c r="W2116" s="13" t="str">
        <f t="shared" si="650"/>
        <v/>
      </c>
      <c r="X2116" s="14" t="str">
        <f t="shared" si="651"/>
        <v/>
      </c>
    </row>
    <row r="2117" spans="20:24" x14ac:dyDescent="0.3">
      <c r="T2117" s="13" t="str">
        <f t="shared" si="647"/>
        <v/>
      </c>
      <c r="U2117" s="14" t="str">
        <f t="shared" si="648"/>
        <v/>
      </c>
      <c r="V2117" s="13" t="str">
        <f t="shared" si="649"/>
        <v/>
      </c>
      <c r="W2117" s="13" t="str">
        <f t="shared" si="650"/>
        <v/>
      </c>
      <c r="X2117" s="14" t="str">
        <f t="shared" si="651"/>
        <v/>
      </c>
    </row>
    <row r="2118" spans="20:24" x14ac:dyDescent="0.3">
      <c r="T2118" s="13" t="str">
        <f t="shared" si="647"/>
        <v/>
      </c>
      <c r="U2118" s="14" t="str">
        <f t="shared" si="648"/>
        <v/>
      </c>
      <c r="V2118" s="13" t="str">
        <f t="shared" si="649"/>
        <v/>
      </c>
      <c r="W2118" s="13" t="str">
        <f t="shared" si="650"/>
        <v/>
      </c>
      <c r="X2118" s="14" t="str">
        <f t="shared" si="651"/>
        <v/>
      </c>
    </row>
    <row r="2119" spans="20:24" x14ac:dyDescent="0.3">
      <c r="T2119" s="13" t="str">
        <f t="shared" si="647"/>
        <v/>
      </c>
      <c r="U2119" s="14" t="str">
        <f t="shared" si="648"/>
        <v/>
      </c>
      <c r="V2119" s="13" t="str">
        <f t="shared" si="649"/>
        <v/>
      </c>
      <c r="W2119" s="13" t="str">
        <f t="shared" si="650"/>
        <v/>
      </c>
      <c r="X2119" s="14" t="str">
        <f t="shared" si="651"/>
        <v/>
      </c>
    </row>
    <row r="2120" spans="20:24" x14ac:dyDescent="0.3">
      <c r="T2120" s="13" t="str">
        <f t="shared" si="647"/>
        <v/>
      </c>
      <c r="U2120" s="14" t="str">
        <f t="shared" si="648"/>
        <v/>
      </c>
      <c r="V2120" s="13" t="str">
        <f t="shared" si="649"/>
        <v/>
      </c>
      <c r="W2120" s="13" t="str">
        <f t="shared" si="650"/>
        <v/>
      </c>
      <c r="X2120" s="14" t="str">
        <f t="shared" si="651"/>
        <v/>
      </c>
    </row>
    <row r="2121" spans="20:24" x14ac:dyDescent="0.3">
      <c r="T2121" s="13" t="str">
        <f t="shared" si="647"/>
        <v/>
      </c>
      <c r="U2121" s="14" t="str">
        <f t="shared" si="648"/>
        <v/>
      </c>
      <c r="V2121" s="13" t="str">
        <f t="shared" si="649"/>
        <v/>
      </c>
      <c r="W2121" s="13" t="str">
        <f t="shared" si="650"/>
        <v/>
      </c>
      <c r="X2121" s="14" t="str">
        <f t="shared" si="651"/>
        <v/>
      </c>
    </row>
    <row r="2122" spans="20:24" x14ac:dyDescent="0.3">
      <c r="T2122" s="13" t="str">
        <f t="shared" si="647"/>
        <v/>
      </c>
      <c r="U2122" s="14" t="str">
        <f t="shared" si="648"/>
        <v/>
      </c>
      <c r="V2122" s="13" t="str">
        <f t="shared" si="649"/>
        <v/>
      </c>
      <c r="W2122" s="13" t="str">
        <f t="shared" si="650"/>
        <v/>
      </c>
      <c r="X2122" s="14" t="str">
        <f t="shared" si="651"/>
        <v/>
      </c>
    </row>
    <row r="2123" spans="20:24" x14ac:dyDescent="0.3">
      <c r="T2123" s="13" t="str">
        <f t="shared" si="647"/>
        <v/>
      </c>
      <c r="U2123" s="14" t="str">
        <f t="shared" si="648"/>
        <v/>
      </c>
      <c r="V2123" s="13" t="str">
        <f t="shared" si="649"/>
        <v/>
      </c>
      <c r="W2123" s="13" t="str">
        <f t="shared" si="650"/>
        <v/>
      </c>
      <c r="X2123" s="14" t="str">
        <f t="shared" si="651"/>
        <v/>
      </c>
    </row>
    <row r="2124" spans="20:24" x14ac:dyDescent="0.3">
      <c r="T2124" s="13" t="str">
        <f t="shared" si="647"/>
        <v/>
      </c>
      <c r="U2124" s="14" t="str">
        <f t="shared" si="648"/>
        <v/>
      </c>
      <c r="V2124" s="13" t="str">
        <f t="shared" si="649"/>
        <v/>
      </c>
      <c r="W2124" s="13" t="str">
        <f t="shared" si="650"/>
        <v/>
      </c>
      <c r="X2124" s="14" t="str">
        <f t="shared" si="651"/>
        <v/>
      </c>
    </row>
    <row r="2125" spans="20:24" x14ac:dyDescent="0.3">
      <c r="T2125" s="13" t="str">
        <f t="shared" si="647"/>
        <v/>
      </c>
      <c r="U2125" s="14" t="str">
        <f t="shared" si="648"/>
        <v/>
      </c>
      <c r="V2125" s="13" t="str">
        <f t="shared" si="649"/>
        <v/>
      </c>
      <c r="W2125" s="13" t="str">
        <f t="shared" si="650"/>
        <v/>
      </c>
      <c r="X2125" s="14" t="str">
        <f t="shared" si="651"/>
        <v/>
      </c>
    </row>
    <row r="2126" spans="20:24" x14ac:dyDescent="0.3">
      <c r="T2126" s="13" t="str">
        <f t="shared" si="647"/>
        <v/>
      </c>
      <c r="U2126" s="14" t="str">
        <f t="shared" si="648"/>
        <v/>
      </c>
      <c r="V2126" s="13" t="str">
        <f t="shared" si="649"/>
        <v/>
      </c>
      <c r="W2126" s="13" t="str">
        <f t="shared" si="650"/>
        <v/>
      </c>
      <c r="X2126" s="14" t="str">
        <f t="shared" si="651"/>
        <v/>
      </c>
    </row>
    <row r="2127" spans="20:24" x14ac:dyDescent="0.3">
      <c r="T2127" s="13" t="str">
        <f t="shared" si="647"/>
        <v/>
      </c>
      <c r="U2127" s="14" t="str">
        <f t="shared" si="648"/>
        <v/>
      </c>
      <c r="V2127" s="13" t="str">
        <f t="shared" si="649"/>
        <v/>
      </c>
      <c r="W2127" s="13" t="str">
        <f t="shared" si="650"/>
        <v/>
      </c>
      <c r="X2127" s="14" t="str">
        <f t="shared" si="651"/>
        <v/>
      </c>
    </row>
    <row r="2128" spans="20:24" x14ac:dyDescent="0.3">
      <c r="T2128" s="13" t="str">
        <f t="shared" si="647"/>
        <v/>
      </c>
      <c r="U2128" s="14" t="str">
        <f t="shared" si="648"/>
        <v/>
      </c>
      <c r="V2128" s="13" t="str">
        <f t="shared" si="649"/>
        <v/>
      </c>
      <c r="W2128" s="13" t="str">
        <f t="shared" si="650"/>
        <v/>
      </c>
      <c r="X2128" s="14" t="str">
        <f t="shared" si="651"/>
        <v/>
      </c>
    </row>
    <row r="2129" spans="20:24" x14ac:dyDescent="0.3">
      <c r="T2129" s="13" t="str">
        <f t="shared" si="647"/>
        <v/>
      </c>
      <c r="U2129" s="14" t="str">
        <f t="shared" si="648"/>
        <v/>
      </c>
      <c r="V2129" s="13" t="str">
        <f t="shared" si="649"/>
        <v/>
      </c>
      <c r="W2129" s="13" t="str">
        <f t="shared" si="650"/>
        <v/>
      </c>
      <c r="X2129" s="14" t="str">
        <f t="shared" si="651"/>
        <v/>
      </c>
    </row>
    <row r="2130" spans="20:24" x14ac:dyDescent="0.3">
      <c r="T2130" s="13" t="str">
        <f t="shared" si="647"/>
        <v/>
      </c>
      <c r="U2130" s="14" t="str">
        <f t="shared" si="648"/>
        <v/>
      </c>
      <c r="V2130" s="13" t="str">
        <f t="shared" si="649"/>
        <v/>
      </c>
      <c r="W2130" s="13" t="str">
        <f t="shared" si="650"/>
        <v/>
      </c>
      <c r="X2130" s="14" t="str">
        <f t="shared" si="651"/>
        <v/>
      </c>
    </row>
    <row r="2131" spans="20:24" x14ac:dyDescent="0.3">
      <c r="T2131" s="13" t="str">
        <f t="shared" ref="T2131:T2194" si="652">IF(A2131="",IF(A2130="","",$T$1),IF(O2131=1,"#",IF(B2131=0,"*",DEC2HEX(R2131))))</f>
        <v/>
      </c>
      <c r="U2131" s="14" t="str">
        <f t="shared" ref="U2131:U2194" si="653">IF(A2131="",IF(A2130="","",$U$1),  IF(B2131=0,Q2131,I2131)  )</f>
        <v/>
      </c>
      <c r="V2131" s="13" t="str">
        <f t="shared" ref="V2131:V2194" si="654">IF(U2131=$U$1,"",IF(A2131="",IF(A2130="","",1),  IF(B2131=0,1,D2131)  ))</f>
        <v/>
      </c>
      <c r="W2131" s="13" t="str">
        <f t="shared" ref="W2131:W2194" si="655">IF(U2131=$U$1,"",IF(A2131="",IF(A2130="","",0),  IF(C2131=0,0,0)  ))</f>
        <v/>
      </c>
      <c r="X2131" s="14" t="str">
        <f t="shared" ref="X2131:X2194" si="656">IF(U2131=$U$1,"",IF(U2131="","",IF(B2131&gt;0,IF(Q2131&lt;&gt;"",Q2131,"No description"),"-")))</f>
        <v/>
      </c>
    </row>
    <row r="2132" spans="20:24" x14ac:dyDescent="0.3">
      <c r="T2132" s="13" t="str">
        <f t="shared" si="652"/>
        <v/>
      </c>
      <c r="U2132" s="14" t="str">
        <f t="shared" si="653"/>
        <v/>
      </c>
      <c r="V2132" s="13" t="str">
        <f t="shared" si="654"/>
        <v/>
      </c>
      <c r="W2132" s="13" t="str">
        <f t="shared" si="655"/>
        <v/>
      </c>
      <c r="X2132" s="14" t="str">
        <f t="shared" si="656"/>
        <v/>
      </c>
    </row>
    <row r="2133" spans="20:24" x14ac:dyDescent="0.3">
      <c r="T2133" s="13" t="str">
        <f t="shared" si="652"/>
        <v/>
      </c>
      <c r="U2133" s="14" t="str">
        <f t="shared" si="653"/>
        <v/>
      </c>
      <c r="V2133" s="13" t="str">
        <f t="shared" si="654"/>
        <v/>
      </c>
      <c r="W2133" s="13" t="str">
        <f t="shared" si="655"/>
        <v/>
      </c>
      <c r="X2133" s="14" t="str">
        <f t="shared" si="656"/>
        <v/>
      </c>
    </row>
    <row r="2134" spans="20:24" x14ac:dyDescent="0.3">
      <c r="T2134" s="13" t="str">
        <f t="shared" si="652"/>
        <v/>
      </c>
      <c r="U2134" s="14" t="str">
        <f t="shared" si="653"/>
        <v/>
      </c>
      <c r="V2134" s="13" t="str">
        <f t="shared" si="654"/>
        <v/>
      </c>
      <c r="W2134" s="13" t="str">
        <f t="shared" si="655"/>
        <v/>
      </c>
      <c r="X2134" s="14" t="str">
        <f t="shared" si="656"/>
        <v/>
      </c>
    </row>
    <row r="2135" spans="20:24" x14ac:dyDescent="0.3">
      <c r="T2135" s="13" t="str">
        <f t="shared" si="652"/>
        <v/>
      </c>
      <c r="U2135" s="14" t="str">
        <f t="shared" si="653"/>
        <v/>
      </c>
      <c r="V2135" s="13" t="str">
        <f t="shared" si="654"/>
        <v/>
      </c>
      <c r="W2135" s="13" t="str">
        <f t="shared" si="655"/>
        <v/>
      </c>
      <c r="X2135" s="14" t="str">
        <f t="shared" si="656"/>
        <v/>
      </c>
    </row>
    <row r="2136" spans="20:24" x14ac:dyDescent="0.3">
      <c r="T2136" s="13" t="str">
        <f t="shared" si="652"/>
        <v/>
      </c>
      <c r="U2136" s="14" t="str">
        <f t="shared" si="653"/>
        <v/>
      </c>
      <c r="V2136" s="13" t="str">
        <f t="shared" si="654"/>
        <v/>
      </c>
      <c r="W2136" s="13" t="str">
        <f t="shared" si="655"/>
        <v/>
      </c>
      <c r="X2136" s="14" t="str">
        <f t="shared" si="656"/>
        <v/>
      </c>
    </row>
    <row r="2137" spans="20:24" x14ac:dyDescent="0.3">
      <c r="T2137" s="13" t="str">
        <f t="shared" si="652"/>
        <v/>
      </c>
      <c r="U2137" s="14" t="str">
        <f t="shared" si="653"/>
        <v/>
      </c>
      <c r="V2137" s="13" t="str">
        <f t="shared" si="654"/>
        <v/>
      </c>
      <c r="W2137" s="13" t="str">
        <f t="shared" si="655"/>
        <v/>
      </c>
      <c r="X2137" s="14" t="str">
        <f t="shared" si="656"/>
        <v/>
      </c>
    </row>
    <row r="2138" spans="20:24" x14ac:dyDescent="0.3">
      <c r="T2138" s="13" t="str">
        <f t="shared" si="652"/>
        <v/>
      </c>
      <c r="U2138" s="14" t="str">
        <f t="shared" si="653"/>
        <v/>
      </c>
      <c r="V2138" s="13" t="str">
        <f t="shared" si="654"/>
        <v/>
      </c>
      <c r="W2138" s="13" t="str">
        <f t="shared" si="655"/>
        <v/>
      </c>
      <c r="X2138" s="14" t="str">
        <f t="shared" si="656"/>
        <v/>
      </c>
    </row>
    <row r="2139" spans="20:24" x14ac:dyDescent="0.3">
      <c r="T2139" s="13" t="str">
        <f t="shared" si="652"/>
        <v/>
      </c>
      <c r="U2139" s="14" t="str">
        <f t="shared" si="653"/>
        <v/>
      </c>
      <c r="V2139" s="13" t="str">
        <f t="shared" si="654"/>
        <v/>
      </c>
      <c r="W2139" s="13" t="str">
        <f t="shared" si="655"/>
        <v/>
      </c>
      <c r="X2139" s="14" t="str">
        <f t="shared" si="656"/>
        <v/>
      </c>
    </row>
    <row r="2140" spans="20:24" x14ac:dyDescent="0.3">
      <c r="T2140" s="13" t="str">
        <f t="shared" si="652"/>
        <v/>
      </c>
      <c r="U2140" s="14" t="str">
        <f t="shared" si="653"/>
        <v/>
      </c>
      <c r="V2140" s="13" t="str">
        <f t="shared" si="654"/>
        <v/>
      </c>
      <c r="W2140" s="13" t="str">
        <f t="shared" si="655"/>
        <v/>
      </c>
      <c r="X2140" s="14" t="str">
        <f t="shared" si="656"/>
        <v/>
      </c>
    </row>
    <row r="2141" spans="20:24" x14ac:dyDescent="0.3">
      <c r="T2141" s="13" t="str">
        <f t="shared" si="652"/>
        <v/>
      </c>
      <c r="U2141" s="14" t="str">
        <f t="shared" si="653"/>
        <v/>
      </c>
      <c r="V2141" s="13" t="str">
        <f t="shared" si="654"/>
        <v/>
      </c>
      <c r="W2141" s="13" t="str">
        <f t="shared" si="655"/>
        <v/>
      </c>
      <c r="X2141" s="14" t="str">
        <f t="shared" si="656"/>
        <v/>
      </c>
    </row>
    <row r="2142" spans="20:24" x14ac:dyDescent="0.3">
      <c r="T2142" s="13" t="str">
        <f t="shared" si="652"/>
        <v/>
      </c>
      <c r="U2142" s="14" t="str">
        <f t="shared" si="653"/>
        <v/>
      </c>
      <c r="V2142" s="13" t="str">
        <f t="shared" si="654"/>
        <v/>
      </c>
      <c r="W2142" s="13" t="str">
        <f t="shared" si="655"/>
        <v/>
      </c>
      <c r="X2142" s="14" t="str">
        <f t="shared" si="656"/>
        <v/>
      </c>
    </row>
    <row r="2143" spans="20:24" x14ac:dyDescent="0.3">
      <c r="T2143" s="13" t="str">
        <f t="shared" si="652"/>
        <v/>
      </c>
      <c r="U2143" s="14" t="str">
        <f t="shared" si="653"/>
        <v/>
      </c>
      <c r="V2143" s="13" t="str">
        <f t="shared" si="654"/>
        <v/>
      </c>
      <c r="W2143" s="13" t="str">
        <f t="shared" si="655"/>
        <v/>
      </c>
      <c r="X2143" s="14" t="str">
        <f t="shared" si="656"/>
        <v/>
      </c>
    </row>
    <row r="2144" spans="20:24" x14ac:dyDescent="0.3">
      <c r="T2144" s="13" t="str">
        <f t="shared" si="652"/>
        <v/>
      </c>
      <c r="U2144" s="14" t="str">
        <f t="shared" si="653"/>
        <v/>
      </c>
      <c r="V2144" s="13" t="str">
        <f t="shared" si="654"/>
        <v/>
      </c>
      <c r="W2144" s="13" t="str">
        <f t="shared" si="655"/>
        <v/>
      </c>
      <c r="X2144" s="14" t="str">
        <f t="shared" si="656"/>
        <v/>
      </c>
    </row>
    <row r="2145" spans="20:24" x14ac:dyDescent="0.3">
      <c r="T2145" s="13" t="str">
        <f t="shared" si="652"/>
        <v/>
      </c>
      <c r="U2145" s="14" t="str">
        <f t="shared" si="653"/>
        <v/>
      </c>
      <c r="V2145" s="13" t="str">
        <f t="shared" si="654"/>
        <v/>
      </c>
      <c r="W2145" s="13" t="str">
        <f t="shared" si="655"/>
        <v/>
      </c>
      <c r="X2145" s="14" t="str">
        <f t="shared" si="656"/>
        <v/>
      </c>
    </row>
    <row r="2146" spans="20:24" x14ac:dyDescent="0.3">
      <c r="T2146" s="13" t="str">
        <f t="shared" si="652"/>
        <v/>
      </c>
      <c r="U2146" s="14" t="str">
        <f t="shared" si="653"/>
        <v/>
      </c>
      <c r="V2146" s="13" t="str">
        <f t="shared" si="654"/>
        <v/>
      </c>
      <c r="W2146" s="13" t="str">
        <f t="shared" si="655"/>
        <v/>
      </c>
      <c r="X2146" s="14" t="str">
        <f t="shared" si="656"/>
        <v/>
      </c>
    </row>
    <row r="2147" spans="20:24" x14ac:dyDescent="0.3">
      <c r="T2147" s="13" t="str">
        <f t="shared" si="652"/>
        <v/>
      </c>
      <c r="U2147" s="14" t="str">
        <f t="shared" si="653"/>
        <v/>
      </c>
      <c r="V2147" s="13" t="str">
        <f t="shared" si="654"/>
        <v/>
      </c>
      <c r="W2147" s="13" t="str">
        <f t="shared" si="655"/>
        <v/>
      </c>
      <c r="X2147" s="14" t="str">
        <f t="shared" si="656"/>
        <v/>
      </c>
    </row>
    <row r="2148" spans="20:24" x14ac:dyDescent="0.3">
      <c r="T2148" s="13" t="str">
        <f t="shared" si="652"/>
        <v/>
      </c>
      <c r="U2148" s="14" t="str">
        <f t="shared" si="653"/>
        <v/>
      </c>
      <c r="V2148" s="13" t="str">
        <f t="shared" si="654"/>
        <v/>
      </c>
      <c r="W2148" s="13" t="str">
        <f t="shared" si="655"/>
        <v/>
      </c>
      <c r="X2148" s="14" t="str">
        <f t="shared" si="656"/>
        <v/>
      </c>
    </row>
    <row r="2149" spans="20:24" x14ac:dyDescent="0.3">
      <c r="T2149" s="13" t="str">
        <f t="shared" si="652"/>
        <v/>
      </c>
      <c r="U2149" s="14" t="str">
        <f t="shared" si="653"/>
        <v/>
      </c>
      <c r="V2149" s="13" t="str">
        <f t="shared" si="654"/>
        <v/>
      </c>
      <c r="W2149" s="13" t="str">
        <f t="shared" si="655"/>
        <v/>
      </c>
      <c r="X2149" s="14" t="str">
        <f t="shared" si="656"/>
        <v/>
      </c>
    </row>
    <row r="2150" spans="20:24" x14ac:dyDescent="0.3">
      <c r="T2150" s="13" t="str">
        <f t="shared" si="652"/>
        <v/>
      </c>
      <c r="U2150" s="14" t="str">
        <f t="shared" si="653"/>
        <v/>
      </c>
      <c r="V2150" s="13" t="str">
        <f t="shared" si="654"/>
        <v/>
      </c>
      <c r="W2150" s="13" t="str">
        <f t="shared" si="655"/>
        <v/>
      </c>
      <c r="X2150" s="14" t="str">
        <f t="shared" si="656"/>
        <v/>
      </c>
    </row>
    <row r="2151" spans="20:24" x14ac:dyDescent="0.3">
      <c r="T2151" s="13" t="str">
        <f t="shared" si="652"/>
        <v/>
      </c>
      <c r="U2151" s="14" t="str">
        <f t="shared" si="653"/>
        <v/>
      </c>
      <c r="V2151" s="13" t="str">
        <f t="shared" si="654"/>
        <v/>
      </c>
      <c r="W2151" s="13" t="str">
        <f t="shared" si="655"/>
        <v/>
      </c>
      <c r="X2151" s="14" t="str">
        <f t="shared" si="656"/>
        <v/>
      </c>
    </row>
    <row r="2152" spans="20:24" x14ac:dyDescent="0.3">
      <c r="T2152" s="13" t="str">
        <f t="shared" si="652"/>
        <v/>
      </c>
      <c r="U2152" s="14" t="str">
        <f t="shared" si="653"/>
        <v/>
      </c>
      <c r="V2152" s="13" t="str">
        <f t="shared" si="654"/>
        <v/>
      </c>
      <c r="W2152" s="13" t="str">
        <f t="shared" si="655"/>
        <v/>
      </c>
      <c r="X2152" s="14" t="str">
        <f t="shared" si="656"/>
        <v/>
      </c>
    </row>
    <row r="2153" spans="20:24" x14ac:dyDescent="0.3">
      <c r="T2153" s="13" t="str">
        <f t="shared" si="652"/>
        <v/>
      </c>
      <c r="U2153" s="14" t="str">
        <f t="shared" si="653"/>
        <v/>
      </c>
      <c r="V2153" s="13" t="str">
        <f t="shared" si="654"/>
        <v/>
      </c>
      <c r="W2153" s="13" t="str">
        <f t="shared" si="655"/>
        <v/>
      </c>
      <c r="X2153" s="14" t="str">
        <f t="shared" si="656"/>
        <v/>
      </c>
    </row>
    <row r="2154" spans="20:24" x14ac:dyDescent="0.3">
      <c r="T2154" s="13" t="str">
        <f t="shared" si="652"/>
        <v/>
      </c>
      <c r="U2154" s="14" t="str">
        <f t="shared" si="653"/>
        <v/>
      </c>
      <c r="V2154" s="13" t="str">
        <f t="shared" si="654"/>
        <v/>
      </c>
      <c r="W2154" s="13" t="str">
        <f t="shared" si="655"/>
        <v/>
      </c>
      <c r="X2154" s="14" t="str">
        <f t="shared" si="656"/>
        <v/>
      </c>
    </row>
    <row r="2155" spans="20:24" x14ac:dyDescent="0.3">
      <c r="T2155" s="13" t="str">
        <f t="shared" si="652"/>
        <v/>
      </c>
      <c r="U2155" s="14" t="str">
        <f t="shared" si="653"/>
        <v/>
      </c>
      <c r="V2155" s="13" t="str">
        <f t="shared" si="654"/>
        <v/>
      </c>
      <c r="W2155" s="13" t="str">
        <f t="shared" si="655"/>
        <v/>
      </c>
      <c r="X2155" s="14" t="str">
        <f t="shared" si="656"/>
        <v/>
      </c>
    </row>
    <row r="2156" spans="20:24" x14ac:dyDescent="0.3">
      <c r="T2156" s="13" t="str">
        <f t="shared" si="652"/>
        <v/>
      </c>
      <c r="U2156" s="14" t="str">
        <f t="shared" si="653"/>
        <v/>
      </c>
      <c r="V2156" s="13" t="str">
        <f t="shared" si="654"/>
        <v/>
      </c>
      <c r="W2156" s="13" t="str">
        <f t="shared" si="655"/>
        <v/>
      </c>
      <c r="X2156" s="14" t="str">
        <f t="shared" si="656"/>
        <v/>
      </c>
    </row>
    <row r="2157" spans="20:24" x14ac:dyDescent="0.3">
      <c r="T2157" s="13" t="str">
        <f t="shared" si="652"/>
        <v/>
      </c>
      <c r="U2157" s="14" t="str">
        <f t="shared" si="653"/>
        <v/>
      </c>
      <c r="V2157" s="13" t="str">
        <f t="shared" si="654"/>
        <v/>
      </c>
      <c r="W2157" s="13" t="str">
        <f t="shared" si="655"/>
        <v/>
      </c>
      <c r="X2157" s="14" t="str">
        <f t="shared" si="656"/>
        <v/>
      </c>
    </row>
    <row r="2158" spans="20:24" x14ac:dyDescent="0.3">
      <c r="T2158" s="13" t="str">
        <f t="shared" si="652"/>
        <v/>
      </c>
      <c r="U2158" s="14" t="str">
        <f t="shared" si="653"/>
        <v/>
      </c>
      <c r="V2158" s="13" t="str">
        <f t="shared" si="654"/>
        <v/>
      </c>
      <c r="W2158" s="13" t="str">
        <f t="shared" si="655"/>
        <v/>
      </c>
      <c r="X2158" s="14" t="str">
        <f t="shared" si="656"/>
        <v/>
      </c>
    </row>
    <row r="2159" spans="20:24" x14ac:dyDescent="0.3">
      <c r="T2159" s="13" t="str">
        <f t="shared" si="652"/>
        <v/>
      </c>
      <c r="U2159" s="14" t="str">
        <f t="shared" si="653"/>
        <v/>
      </c>
      <c r="V2159" s="13" t="str">
        <f t="shared" si="654"/>
        <v/>
      </c>
      <c r="W2159" s="13" t="str">
        <f t="shared" si="655"/>
        <v/>
      </c>
      <c r="X2159" s="14" t="str">
        <f t="shared" si="656"/>
        <v/>
      </c>
    </row>
    <row r="2160" spans="20:24" x14ac:dyDescent="0.3">
      <c r="T2160" s="13" t="str">
        <f t="shared" si="652"/>
        <v/>
      </c>
      <c r="U2160" s="14" t="str">
        <f t="shared" si="653"/>
        <v/>
      </c>
      <c r="V2160" s="13" t="str">
        <f t="shared" si="654"/>
        <v/>
      </c>
      <c r="W2160" s="13" t="str">
        <f t="shared" si="655"/>
        <v/>
      </c>
      <c r="X2160" s="14" t="str">
        <f t="shared" si="656"/>
        <v/>
      </c>
    </row>
    <row r="2161" spans="20:24" x14ac:dyDescent="0.3">
      <c r="T2161" s="13" t="str">
        <f t="shared" si="652"/>
        <v/>
      </c>
      <c r="U2161" s="14" t="str">
        <f t="shared" si="653"/>
        <v/>
      </c>
      <c r="V2161" s="13" t="str">
        <f t="shared" si="654"/>
        <v/>
      </c>
      <c r="W2161" s="13" t="str">
        <f t="shared" si="655"/>
        <v/>
      </c>
      <c r="X2161" s="14" t="str">
        <f t="shared" si="656"/>
        <v/>
      </c>
    </row>
    <row r="2162" spans="20:24" x14ac:dyDescent="0.3">
      <c r="T2162" s="13" t="str">
        <f t="shared" si="652"/>
        <v/>
      </c>
      <c r="U2162" s="14" t="str">
        <f t="shared" si="653"/>
        <v/>
      </c>
      <c r="V2162" s="13" t="str">
        <f t="shared" si="654"/>
        <v/>
      </c>
      <c r="W2162" s="13" t="str">
        <f t="shared" si="655"/>
        <v/>
      </c>
      <c r="X2162" s="14" t="str">
        <f t="shared" si="656"/>
        <v/>
      </c>
    </row>
    <row r="2163" spans="20:24" x14ac:dyDescent="0.3">
      <c r="T2163" s="13" t="str">
        <f t="shared" si="652"/>
        <v/>
      </c>
      <c r="U2163" s="14" t="str">
        <f t="shared" si="653"/>
        <v/>
      </c>
      <c r="V2163" s="13" t="str">
        <f t="shared" si="654"/>
        <v/>
      </c>
      <c r="W2163" s="13" t="str">
        <f t="shared" si="655"/>
        <v/>
      </c>
      <c r="X2163" s="14" t="str">
        <f t="shared" si="656"/>
        <v/>
      </c>
    </row>
    <row r="2164" spans="20:24" x14ac:dyDescent="0.3">
      <c r="T2164" s="13" t="str">
        <f t="shared" si="652"/>
        <v/>
      </c>
      <c r="U2164" s="14" t="str">
        <f t="shared" si="653"/>
        <v/>
      </c>
      <c r="V2164" s="13" t="str">
        <f t="shared" si="654"/>
        <v/>
      </c>
      <c r="W2164" s="13" t="str">
        <f t="shared" si="655"/>
        <v/>
      </c>
      <c r="X2164" s="14" t="str">
        <f t="shared" si="656"/>
        <v/>
      </c>
    </row>
    <row r="2165" spans="20:24" x14ac:dyDescent="0.3">
      <c r="T2165" s="13" t="str">
        <f t="shared" si="652"/>
        <v/>
      </c>
      <c r="U2165" s="14" t="str">
        <f t="shared" si="653"/>
        <v/>
      </c>
      <c r="V2165" s="13" t="str">
        <f t="shared" si="654"/>
        <v/>
      </c>
      <c r="W2165" s="13" t="str">
        <f t="shared" si="655"/>
        <v/>
      </c>
      <c r="X2165" s="14" t="str">
        <f t="shared" si="656"/>
        <v/>
      </c>
    </row>
    <row r="2166" spans="20:24" x14ac:dyDescent="0.3">
      <c r="T2166" s="13" t="str">
        <f t="shared" si="652"/>
        <v/>
      </c>
      <c r="U2166" s="14" t="str">
        <f t="shared" si="653"/>
        <v/>
      </c>
      <c r="V2166" s="13" t="str">
        <f t="shared" si="654"/>
        <v/>
      </c>
      <c r="W2166" s="13" t="str">
        <f t="shared" si="655"/>
        <v/>
      </c>
      <c r="X2166" s="14" t="str">
        <f t="shared" si="656"/>
        <v/>
      </c>
    </row>
    <row r="2167" spans="20:24" x14ac:dyDescent="0.3">
      <c r="T2167" s="13" t="str">
        <f t="shared" si="652"/>
        <v/>
      </c>
      <c r="U2167" s="14" t="str">
        <f t="shared" si="653"/>
        <v/>
      </c>
      <c r="V2167" s="13" t="str">
        <f t="shared" si="654"/>
        <v/>
      </c>
      <c r="W2167" s="13" t="str">
        <f t="shared" si="655"/>
        <v/>
      </c>
      <c r="X2167" s="14" t="str">
        <f t="shared" si="656"/>
        <v/>
      </c>
    </row>
    <row r="2168" spans="20:24" x14ac:dyDescent="0.3">
      <c r="T2168" s="13" t="str">
        <f t="shared" si="652"/>
        <v/>
      </c>
      <c r="U2168" s="14" t="str">
        <f t="shared" si="653"/>
        <v/>
      </c>
      <c r="V2168" s="13" t="str">
        <f t="shared" si="654"/>
        <v/>
      </c>
      <c r="W2168" s="13" t="str">
        <f t="shared" si="655"/>
        <v/>
      </c>
      <c r="X2168" s="14" t="str">
        <f t="shared" si="656"/>
        <v/>
      </c>
    </row>
    <row r="2169" spans="20:24" x14ac:dyDescent="0.3">
      <c r="T2169" s="13" t="str">
        <f t="shared" si="652"/>
        <v/>
      </c>
      <c r="U2169" s="14" t="str">
        <f t="shared" si="653"/>
        <v/>
      </c>
      <c r="V2169" s="13" t="str">
        <f t="shared" si="654"/>
        <v/>
      </c>
      <c r="W2169" s="13" t="str">
        <f t="shared" si="655"/>
        <v/>
      </c>
      <c r="X2169" s="14" t="str">
        <f t="shared" si="656"/>
        <v/>
      </c>
    </row>
    <row r="2170" spans="20:24" x14ac:dyDescent="0.3">
      <c r="T2170" s="13" t="str">
        <f t="shared" si="652"/>
        <v/>
      </c>
      <c r="U2170" s="14" t="str">
        <f t="shared" si="653"/>
        <v/>
      </c>
      <c r="V2170" s="13" t="str">
        <f t="shared" si="654"/>
        <v/>
      </c>
      <c r="W2170" s="13" t="str">
        <f t="shared" si="655"/>
        <v/>
      </c>
      <c r="X2170" s="14" t="str">
        <f t="shared" si="656"/>
        <v/>
      </c>
    </row>
    <row r="2171" spans="20:24" x14ac:dyDescent="0.3">
      <c r="T2171" s="13" t="str">
        <f t="shared" si="652"/>
        <v/>
      </c>
      <c r="U2171" s="14" t="str">
        <f t="shared" si="653"/>
        <v/>
      </c>
      <c r="V2171" s="13" t="str">
        <f t="shared" si="654"/>
        <v/>
      </c>
      <c r="W2171" s="13" t="str">
        <f t="shared" si="655"/>
        <v/>
      </c>
      <c r="X2171" s="14" t="str">
        <f t="shared" si="656"/>
        <v/>
      </c>
    </row>
    <row r="2172" spans="20:24" x14ac:dyDescent="0.3">
      <c r="T2172" s="13" t="str">
        <f t="shared" si="652"/>
        <v/>
      </c>
      <c r="U2172" s="14" t="str">
        <f t="shared" si="653"/>
        <v/>
      </c>
      <c r="V2172" s="13" t="str">
        <f t="shared" si="654"/>
        <v/>
      </c>
      <c r="W2172" s="13" t="str">
        <f t="shared" si="655"/>
        <v/>
      </c>
      <c r="X2172" s="14" t="str">
        <f t="shared" si="656"/>
        <v/>
      </c>
    </row>
    <row r="2173" spans="20:24" x14ac:dyDescent="0.3">
      <c r="T2173" s="13" t="str">
        <f t="shared" si="652"/>
        <v/>
      </c>
      <c r="U2173" s="14" t="str">
        <f t="shared" si="653"/>
        <v/>
      </c>
      <c r="V2173" s="13" t="str">
        <f t="shared" si="654"/>
        <v/>
      </c>
      <c r="W2173" s="13" t="str">
        <f t="shared" si="655"/>
        <v/>
      </c>
      <c r="X2173" s="14" t="str">
        <f t="shared" si="656"/>
        <v/>
      </c>
    </row>
    <row r="2174" spans="20:24" x14ac:dyDescent="0.3">
      <c r="T2174" s="13" t="str">
        <f t="shared" si="652"/>
        <v/>
      </c>
      <c r="U2174" s="14" t="str">
        <f t="shared" si="653"/>
        <v/>
      </c>
      <c r="V2174" s="13" t="str">
        <f t="shared" si="654"/>
        <v/>
      </c>
      <c r="W2174" s="13" t="str">
        <f t="shared" si="655"/>
        <v/>
      </c>
      <c r="X2174" s="14" t="str">
        <f t="shared" si="656"/>
        <v/>
      </c>
    </row>
    <row r="2175" spans="20:24" x14ac:dyDescent="0.3">
      <c r="T2175" s="13" t="str">
        <f t="shared" si="652"/>
        <v/>
      </c>
      <c r="U2175" s="14" t="str">
        <f t="shared" si="653"/>
        <v/>
      </c>
      <c r="V2175" s="13" t="str">
        <f t="shared" si="654"/>
        <v/>
      </c>
      <c r="W2175" s="13" t="str">
        <f t="shared" si="655"/>
        <v/>
      </c>
      <c r="X2175" s="14" t="str">
        <f t="shared" si="656"/>
        <v/>
      </c>
    </row>
    <row r="2176" spans="20:24" x14ac:dyDescent="0.3">
      <c r="T2176" s="13" t="str">
        <f t="shared" si="652"/>
        <v/>
      </c>
      <c r="U2176" s="14" t="str">
        <f t="shared" si="653"/>
        <v/>
      </c>
      <c r="V2176" s="13" t="str">
        <f t="shared" si="654"/>
        <v/>
      </c>
      <c r="W2176" s="13" t="str">
        <f t="shared" si="655"/>
        <v/>
      </c>
      <c r="X2176" s="14" t="str">
        <f t="shared" si="656"/>
        <v/>
      </c>
    </row>
    <row r="2177" spans="20:24" x14ac:dyDescent="0.3">
      <c r="T2177" s="13" t="str">
        <f t="shared" si="652"/>
        <v/>
      </c>
      <c r="U2177" s="14" t="str">
        <f t="shared" si="653"/>
        <v/>
      </c>
      <c r="V2177" s="13" t="str">
        <f t="shared" si="654"/>
        <v/>
      </c>
      <c r="W2177" s="13" t="str">
        <f t="shared" si="655"/>
        <v/>
      </c>
      <c r="X2177" s="14" t="str">
        <f t="shared" si="656"/>
        <v/>
      </c>
    </row>
    <row r="2178" spans="20:24" x14ac:dyDescent="0.3">
      <c r="T2178" s="13" t="str">
        <f t="shared" si="652"/>
        <v/>
      </c>
      <c r="U2178" s="14" t="str">
        <f t="shared" si="653"/>
        <v/>
      </c>
      <c r="V2178" s="13" t="str">
        <f t="shared" si="654"/>
        <v/>
      </c>
      <c r="W2178" s="13" t="str">
        <f t="shared" si="655"/>
        <v/>
      </c>
      <c r="X2178" s="14" t="str">
        <f t="shared" si="656"/>
        <v/>
      </c>
    </row>
    <row r="2179" spans="20:24" x14ac:dyDescent="0.3">
      <c r="T2179" s="13" t="str">
        <f t="shared" si="652"/>
        <v/>
      </c>
      <c r="U2179" s="14" t="str">
        <f t="shared" si="653"/>
        <v/>
      </c>
      <c r="V2179" s="13" t="str">
        <f t="shared" si="654"/>
        <v/>
      </c>
      <c r="W2179" s="13" t="str">
        <f t="shared" si="655"/>
        <v/>
      </c>
      <c r="X2179" s="14" t="str">
        <f t="shared" si="656"/>
        <v/>
      </c>
    </row>
    <row r="2180" spans="20:24" x14ac:dyDescent="0.3">
      <c r="T2180" s="13" t="str">
        <f t="shared" si="652"/>
        <v/>
      </c>
      <c r="U2180" s="14" t="str">
        <f t="shared" si="653"/>
        <v/>
      </c>
      <c r="V2180" s="13" t="str">
        <f t="shared" si="654"/>
        <v/>
      </c>
      <c r="W2180" s="13" t="str">
        <f t="shared" si="655"/>
        <v/>
      </c>
      <c r="X2180" s="14" t="str">
        <f t="shared" si="656"/>
        <v/>
      </c>
    </row>
    <row r="2181" spans="20:24" x14ac:dyDescent="0.3">
      <c r="T2181" s="13" t="str">
        <f t="shared" si="652"/>
        <v/>
      </c>
      <c r="U2181" s="14" t="str">
        <f t="shared" si="653"/>
        <v/>
      </c>
      <c r="V2181" s="13" t="str">
        <f t="shared" si="654"/>
        <v/>
      </c>
      <c r="W2181" s="13" t="str">
        <f t="shared" si="655"/>
        <v/>
      </c>
      <c r="X2181" s="14" t="str">
        <f t="shared" si="656"/>
        <v/>
      </c>
    </row>
    <row r="2182" spans="20:24" x14ac:dyDescent="0.3">
      <c r="T2182" s="13" t="str">
        <f t="shared" si="652"/>
        <v/>
      </c>
      <c r="U2182" s="14" t="str">
        <f t="shared" si="653"/>
        <v/>
      </c>
      <c r="V2182" s="13" t="str">
        <f t="shared" si="654"/>
        <v/>
      </c>
      <c r="W2182" s="13" t="str">
        <f t="shared" si="655"/>
        <v/>
      </c>
      <c r="X2182" s="14" t="str">
        <f t="shared" si="656"/>
        <v/>
      </c>
    </row>
    <row r="2183" spans="20:24" x14ac:dyDescent="0.3">
      <c r="T2183" s="13" t="str">
        <f t="shared" si="652"/>
        <v/>
      </c>
      <c r="U2183" s="14" t="str">
        <f t="shared" si="653"/>
        <v/>
      </c>
      <c r="V2183" s="13" t="str">
        <f t="shared" si="654"/>
        <v/>
      </c>
      <c r="W2183" s="13" t="str">
        <f t="shared" si="655"/>
        <v/>
      </c>
      <c r="X2183" s="14" t="str">
        <f t="shared" si="656"/>
        <v/>
      </c>
    </row>
    <row r="2184" spans="20:24" x14ac:dyDescent="0.3">
      <c r="T2184" s="13" t="str">
        <f t="shared" si="652"/>
        <v/>
      </c>
      <c r="U2184" s="14" t="str">
        <f t="shared" si="653"/>
        <v/>
      </c>
      <c r="V2184" s="13" t="str">
        <f t="shared" si="654"/>
        <v/>
      </c>
      <c r="W2184" s="13" t="str">
        <f t="shared" si="655"/>
        <v/>
      </c>
      <c r="X2184" s="14" t="str">
        <f t="shared" si="656"/>
        <v/>
      </c>
    </row>
    <row r="2185" spans="20:24" x14ac:dyDescent="0.3">
      <c r="T2185" s="13" t="str">
        <f t="shared" si="652"/>
        <v/>
      </c>
      <c r="U2185" s="14" t="str">
        <f t="shared" si="653"/>
        <v/>
      </c>
      <c r="V2185" s="13" t="str">
        <f t="shared" si="654"/>
        <v/>
      </c>
      <c r="W2185" s="13" t="str">
        <f t="shared" si="655"/>
        <v/>
      </c>
      <c r="X2185" s="14" t="str">
        <f t="shared" si="656"/>
        <v/>
      </c>
    </row>
    <row r="2186" spans="20:24" x14ac:dyDescent="0.3">
      <c r="T2186" s="13" t="str">
        <f t="shared" si="652"/>
        <v/>
      </c>
      <c r="U2186" s="14" t="str">
        <f t="shared" si="653"/>
        <v/>
      </c>
      <c r="V2186" s="13" t="str">
        <f t="shared" si="654"/>
        <v/>
      </c>
      <c r="W2186" s="13" t="str">
        <f t="shared" si="655"/>
        <v/>
      </c>
      <c r="X2186" s="14" t="str">
        <f t="shared" si="656"/>
        <v/>
      </c>
    </row>
    <row r="2187" spans="20:24" x14ac:dyDescent="0.3">
      <c r="T2187" s="13" t="str">
        <f t="shared" si="652"/>
        <v/>
      </c>
      <c r="U2187" s="14" t="str">
        <f t="shared" si="653"/>
        <v/>
      </c>
      <c r="V2187" s="13" t="str">
        <f t="shared" si="654"/>
        <v/>
      </c>
      <c r="W2187" s="13" t="str">
        <f t="shared" si="655"/>
        <v/>
      </c>
      <c r="X2187" s="14" t="str">
        <f t="shared" si="656"/>
        <v/>
      </c>
    </row>
    <row r="2188" spans="20:24" x14ac:dyDescent="0.3">
      <c r="T2188" s="13" t="str">
        <f t="shared" si="652"/>
        <v/>
      </c>
      <c r="U2188" s="14" t="str">
        <f t="shared" si="653"/>
        <v/>
      </c>
      <c r="V2188" s="13" t="str">
        <f t="shared" si="654"/>
        <v/>
      </c>
      <c r="W2188" s="13" t="str">
        <f t="shared" si="655"/>
        <v/>
      </c>
      <c r="X2188" s="14" t="str">
        <f t="shared" si="656"/>
        <v/>
      </c>
    </row>
    <row r="2189" spans="20:24" x14ac:dyDescent="0.3">
      <c r="T2189" s="13" t="str">
        <f t="shared" si="652"/>
        <v/>
      </c>
      <c r="U2189" s="14" t="str">
        <f t="shared" si="653"/>
        <v/>
      </c>
      <c r="V2189" s="13" t="str">
        <f t="shared" si="654"/>
        <v/>
      </c>
      <c r="W2189" s="13" t="str">
        <f t="shared" si="655"/>
        <v/>
      </c>
      <c r="X2189" s="14" t="str">
        <f t="shared" si="656"/>
        <v/>
      </c>
    </row>
    <row r="2190" spans="20:24" x14ac:dyDescent="0.3">
      <c r="T2190" s="13" t="str">
        <f t="shared" si="652"/>
        <v/>
      </c>
      <c r="U2190" s="14" t="str">
        <f t="shared" si="653"/>
        <v/>
      </c>
      <c r="V2190" s="13" t="str">
        <f t="shared" si="654"/>
        <v/>
      </c>
      <c r="W2190" s="13" t="str">
        <f t="shared" si="655"/>
        <v/>
      </c>
      <c r="X2190" s="14" t="str">
        <f t="shared" si="656"/>
        <v/>
      </c>
    </row>
    <row r="2191" spans="20:24" x14ac:dyDescent="0.3">
      <c r="T2191" s="13" t="str">
        <f t="shared" si="652"/>
        <v/>
      </c>
      <c r="U2191" s="14" t="str">
        <f t="shared" si="653"/>
        <v/>
      </c>
      <c r="V2191" s="13" t="str">
        <f t="shared" si="654"/>
        <v/>
      </c>
      <c r="W2191" s="13" t="str">
        <f t="shared" si="655"/>
        <v/>
      </c>
      <c r="X2191" s="14" t="str">
        <f t="shared" si="656"/>
        <v/>
      </c>
    </row>
    <row r="2192" spans="20:24" x14ac:dyDescent="0.3">
      <c r="T2192" s="13" t="str">
        <f t="shared" si="652"/>
        <v/>
      </c>
      <c r="U2192" s="14" t="str">
        <f t="shared" si="653"/>
        <v/>
      </c>
      <c r="V2192" s="13" t="str">
        <f t="shared" si="654"/>
        <v/>
      </c>
      <c r="W2192" s="13" t="str">
        <f t="shared" si="655"/>
        <v/>
      </c>
      <c r="X2192" s="14" t="str">
        <f t="shared" si="656"/>
        <v/>
      </c>
    </row>
    <row r="2193" spans="20:24" x14ac:dyDescent="0.3">
      <c r="T2193" s="13" t="str">
        <f t="shared" si="652"/>
        <v/>
      </c>
      <c r="U2193" s="14" t="str">
        <f t="shared" si="653"/>
        <v/>
      </c>
      <c r="V2193" s="13" t="str">
        <f t="shared" si="654"/>
        <v/>
      </c>
      <c r="W2193" s="13" t="str">
        <f t="shared" si="655"/>
        <v/>
      </c>
      <c r="X2193" s="14" t="str">
        <f t="shared" si="656"/>
        <v/>
      </c>
    </row>
    <row r="2194" spans="20:24" x14ac:dyDescent="0.3">
      <c r="T2194" s="13" t="str">
        <f t="shared" si="652"/>
        <v/>
      </c>
      <c r="U2194" s="14" t="str">
        <f t="shared" si="653"/>
        <v/>
      </c>
      <c r="V2194" s="13" t="str">
        <f t="shared" si="654"/>
        <v/>
      </c>
      <c r="W2194" s="13" t="str">
        <f t="shared" si="655"/>
        <v/>
      </c>
      <c r="X2194" s="14" t="str">
        <f t="shared" si="656"/>
        <v/>
      </c>
    </row>
    <row r="2195" spans="20:24" x14ac:dyDescent="0.3">
      <c r="T2195" s="13" t="str">
        <f t="shared" ref="T2195:T2258" si="657">IF(A2195="",IF(A2194="","",$T$1),IF(O2195=1,"#",IF(B2195=0,"*",DEC2HEX(R2195))))</f>
        <v/>
      </c>
      <c r="U2195" s="14" t="str">
        <f t="shared" ref="U2195:U2258" si="658">IF(A2195="",IF(A2194="","",$U$1),  IF(B2195=0,Q2195,I2195)  )</f>
        <v/>
      </c>
      <c r="V2195" s="13" t="str">
        <f t="shared" ref="V2195:V2258" si="659">IF(U2195=$U$1,"",IF(A2195="",IF(A2194="","",1),  IF(B2195=0,1,D2195)  ))</f>
        <v/>
      </c>
      <c r="W2195" s="13" t="str">
        <f t="shared" ref="W2195:W2258" si="660">IF(U2195=$U$1,"",IF(A2195="",IF(A2194="","",0),  IF(C2195=0,0,0)  ))</f>
        <v/>
      </c>
      <c r="X2195" s="14" t="str">
        <f t="shared" ref="X2195:X2258" si="661">IF(U2195=$U$1,"",IF(U2195="","",IF(B2195&gt;0,IF(Q2195&lt;&gt;"",Q2195,"No description"),"-")))</f>
        <v/>
      </c>
    </row>
    <row r="2196" spans="20:24" x14ac:dyDescent="0.3">
      <c r="T2196" s="13" t="str">
        <f t="shared" si="657"/>
        <v/>
      </c>
      <c r="U2196" s="14" t="str">
        <f t="shared" si="658"/>
        <v/>
      </c>
      <c r="V2196" s="13" t="str">
        <f t="shared" si="659"/>
        <v/>
      </c>
      <c r="W2196" s="13" t="str">
        <f t="shared" si="660"/>
        <v/>
      </c>
      <c r="X2196" s="14" t="str">
        <f t="shared" si="661"/>
        <v/>
      </c>
    </row>
    <row r="2197" spans="20:24" x14ac:dyDescent="0.3">
      <c r="T2197" s="13" t="str">
        <f t="shared" si="657"/>
        <v/>
      </c>
      <c r="U2197" s="14" t="str">
        <f t="shared" si="658"/>
        <v/>
      </c>
      <c r="V2197" s="13" t="str">
        <f t="shared" si="659"/>
        <v/>
      </c>
      <c r="W2197" s="13" t="str">
        <f t="shared" si="660"/>
        <v/>
      </c>
      <c r="X2197" s="14" t="str">
        <f t="shared" si="661"/>
        <v/>
      </c>
    </row>
    <row r="2198" spans="20:24" x14ac:dyDescent="0.3">
      <c r="T2198" s="13" t="str">
        <f t="shared" si="657"/>
        <v/>
      </c>
      <c r="U2198" s="14" t="str">
        <f t="shared" si="658"/>
        <v/>
      </c>
      <c r="V2198" s="13" t="str">
        <f t="shared" si="659"/>
        <v/>
      </c>
      <c r="W2198" s="13" t="str">
        <f t="shared" si="660"/>
        <v/>
      </c>
      <c r="X2198" s="14" t="str">
        <f t="shared" si="661"/>
        <v/>
      </c>
    </row>
    <row r="2199" spans="20:24" x14ac:dyDescent="0.3">
      <c r="T2199" s="13" t="str">
        <f t="shared" si="657"/>
        <v/>
      </c>
      <c r="U2199" s="14" t="str">
        <f t="shared" si="658"/>
        <v/>
      </c>
      <c r="V2199" s="13" t="str">
        <f t="shared" si="659"/>
        <v/>
      </c>
      <c r="W2199" s="13" t="str">
        <f t="shared" si="660"/>
        <v/>
      </c>
      <c r="X2199" s="14" t="str">
        <f t="shared" si="661"/>
        <v/>
      </c>
    </row>
    <row r="2200" spans="20:24" x14ac:dyDescent="0.3">
      <c r="T2200" s="13" t="str">
        <f t="shared" si="657"/>
        <v/>
      </c>
      <c r="U2200" s="14" t="str">
        <f t="shared" si="658"/>
        <v/>
      </c>
      <c r="V2200" s="13" t="str">
        <f t="shared" si="659"/>
        <v/>
      </c>
      <c r="W2200" s="13" t="str">
        <f t="shared" si="660"/>
        <v/>
      </c>
      <c r="X2200" s="14" t="str">
        <f t="shared" si="661"/>
        <v/>
      </c>
    </row>
    <row r="2201" spans="20:24" x14ac:dyDescent="0.3">
      <c r="T2201" s="13" t="str">
        <f t="shared" si="657"/>
        <v/>
      </c>
      <c r="U2201" s="14" t="str">
        <f t="shared" si="658"/>
        <v/>
      </c>
      <c r="V2201" s="13" t="str">
        <f t="shared" si="659"/>
        <v/>
      </c>
      <c r="W2201" s="13" t="str">
        <f t="shared" si="660"/>
        <v/>
      </c>
      <c r="X2201" s="14" t="str">
        <f t="shared" si="661"/>
        <v/>
      </c>
    </row>
    <row r="2202" spans="20:24" x14ac:dyDescent="0.3">
      <c r="T2202" s="13" t="str">
        <f t="shared" si="657"/>
        <v/>
      </c>
      <c r="U2202" s="14" t="str">
        <f t="shared" si="658"/>
        <v/>
      </c>
      <c r="V2202" s="13" t="str">
        <f t="shared" si="659"/>
        <v/>
      </c>
      <c r="W2202" s="13" t="str">
        <f t="shared" si="660"/>
        <v/>
      </c>
      <c r="X2202" s="14" t="str">
        <f t="shared" si="661"/>
        <v/>
      </c>
    </row>
    <row r="2203" spans="20:24" x14ac:dyDescent="0.3">
      <c r="T2203" s="13" t="str">
        <f t="shared" si="657"/>
        <v/>
      </c>
      <c r="U2203" s="14" t="str">
        <f t="shared" si="658"/>
        <v/>
      </c>
      <c r="V2203" s="13" t="str">
        <f t="shared" si="659"/>
        <v/>
      </c>
      <c r="W2203" s="13" t="str">
        <f t="shared" si="660"/>
        <v/>
      </c>
      <c r="X2203" s="14" t="str">
        <f t="shared" si="661"/>
        <v/>
      </c>
    </row>
    <row r="2204" spans="20:24" x14ac:dyDescent="0.3">
      <c r="T2204" s="13" t="str">
        <f t="shared" si="657"/>
        <v/>
      </c>
      <c r="U2204" s="14" t="str">
        <f t="shared" si="658"/>
        <v/>
      </c>
      <c r="V2204" s="13" t="str">
        <f t="shared" si="659"/>
        <v/>
      </c>
      <c r="W2204" s="13" t="str">
        <f t="shared" si="660"/>
        <v/>
      </c>
      <c r="X2204" s="14" t="str">
        <f t="shared" si="661"/>
        <v/>
      </c>
    </row>
    <row r="2205" spans="20:24" x14ac:dyDescent="0.3">
      <c r="T2205" s="13" t="str">
        <f t="shared" si="657"/>
        <v/>
      </c>
      <c r="U2205" s="14" t="str">
        <f t="shared" si="658"/>
        <v/>
      </c>
      <c r="V2205" s="13" t="str">
        <f t="shared" si="659"/>
        <v/>
      </c>
      <c r="W2205" s="13" t="str">
        <f t="shared" si="660"/>
        <v/>
      </c>
      <c r="X2205" s="14" t="str">
        <f t="shared" si="661"/>
        <v/>
      </c>
    </row>
    <row r="2206" spans="20:24" x14ac:dyDescent="0.3">
      <c r="T2206" s="13" t="str">
        <f t="shared" si="657"/>
        <v/>
      </c>
      <c r="U2206" s="14" t="str">
        <f t="shared" si="658"/>
        <v/>
      </c>
      <c r="V2206" s="13" t="str">
        <f t="shared" si="659"/>
        <v/>
      </c>
      <c r="W2206" s="13" t="str">
        <f t="shared" si="660"/>
        <v/>
      </c>
      <c r="X2206" s="14" t="str">
        <f t="shared" si="661"/>
        <v/>
      </c>
    </row>
    <row r="2207" spans="20:24" x14ac:dyDescent="0.3">
      <c r="T2207" s="13" t="str">
        <f t="shared" si="657"/>
        <v/>
      </c>
      <c r="U2207" s="14" t="str">
        <f t="shared" si="658"/>
        <v/>
      </c>
      <c r="V2207" s="13" t="str">
        <f t="shared" si="659"/>
        <v/>
      </c>
      <c r="W2207" s="13" t="str">
        <f t="shared" si="660"/>
        <v/>
      </c>
      <c r="X2207" s="14" t="str">
        <f t="shared" si="661"/>
        <v/>
      </c>
    </row>
    <row r="2208" spans="20:24" x14ac:dyDescent="0.3">
      <c r="T2208" s="13" t="str">
        <f t="shared" si="657"/>
        <v/>
      </c>
      <c r="U2208" s="14" t="str">
        <f t="shared" si="658"/>
        <v/>
      </c>
      <c r="V2208" s="13" t="str">
        <f t="shared" si="659"/>
        <v/>
      </c>
      <c r="W2208" s="13" t="str">
        <f t="shared" si="660"/>
        <v/>
      </c>
      <c r="X2208" s="14" t="str">
        <f t="shared" si="661"/>
        <v/>
      </c>
    </row>
    <row r="2209" spans="20:24" x14ac:dyDescent="0.3">
      <c r="T2209" s="13" t="str">
        <f t="shared" si="657"/>
        <v/>
      </c>
      <c r="U2209" s="14" t="str">
        <f t="shared" si="658"/>
        <v/>
      </c>
      <c r="V2209" s="13" t="str">
        <f t="shared" si="659"/>
        <v/>
      </c>
      <c r="W2209" s="13" t="str">
        <f t="shared" si="660"/>
        <v/>
      </c>
      <c r="X2209" s="14" t="str">
        <f t="shared" si="661"/>
        <v/>
      </c>
    </row>
    <row r="2210" spans="20:24" x14ac:dyDescent="0.3">
      <c r="T2210" s="13" t="str">
        <f t="shared" si="657"/>
        <v/>
      </c>
      <c r="U2210" s="14" t="str">
        <f t="shared" si="658"/>
        <v/>
      </c>
      <c r="V2210" s="13" t="str">
        <f t="shared" si="659"/>
        <v/>
      </c>
      <c r="W2210" s="13" t="str">
        <f t="shared" si="660"/>
        <v/>
      </c>
      <c r="X2210" s="14" t="str">
        <f t="shared" si="661"/>
        <v/>
      </c>
    </row>
    <row r="2211" spans="20:24" x14ac:dyDescent="0.3">
      <c r="T2211" s="13" t="str">
        <f t="shared" si="657"/>
        <v/>
      </c>
      <c r="U2211" s="14" t="str">
        <f t="shared" si="658"/>
        <v/>
      </c>
      <c r="V2211" s="13" t="str">
        <f t="shared" si="659"/>
        <v/>
      </c>
      <c r="W2211" s="13" t="str">
        <f t="shared" si="660"/>
        <v/>
      </c>
      <c r="X2211" s="14" t="str">
        <f t="shared" si="661"/>
        <v/>
      </c>
    </row>
    <row r="2212" spans="20:24" x14ac:dyDescent="0.3">
      <c r="T2212" s="13" t="str">
        <f t="shared" si="657"/>
        <v/>
      </c>
      <c r="U2212" s="14" t="str">
        <f t="shared" si="658"/>
        <v/>
      </c>
      <c r="V2212" s="13" t="str">
        <f t="shared" si="659"/>
        <v/>
      </c>
      <c r="W2212" s="13" t="str">
        <f t="shared" si="660"/>
        <v/>
      </c>
      <c r="X2212" s="14" t="str">
        <f t="shared" si="661"/>
        <v/>
      </c>
    </row>
    <row r="2213" spans="20:24" x14ac:dyDescent="0.3">
      <c r="T2213" s="13" t="str">
        <f t="shared" si="657"/>
        <v/>
      </c>
      <c r="U2213" s="14" t="str">
        <f t="shared" si="658"/>
        <v/>
      </c>
      <c r="V2213" s="13" t="str">
        <f t="shared" si="659"/>
        <v/>
      </c>
      <c r="W2213" s="13" t="str">
        <f t="shared" si="660"/>
        <v/>
      </c>
      <c r="X2213" s="14" t="str">
        <f t="shared" si="661"/>
        <v/>
      </c>
    </row>
    <row r="2214" spans="20:24" x14ac:dyDescent="0.3">
      <c r="T2214" s="13" t="str">
        <f t="shared" si="657"/>
        <v/>
      </c>
      <c r="U2214" s="14" t="str">
        <f t="shared" si="658"/>
        <v/>
      </c>
      <c r="V2214" s="13" t="str">
        <f t="shared" si="659"/>
        <v/>
      </c>
      <c r="W2214" s="13" t="str">
        <f t="shared" si="660"/>
        <v/>
      </c>
      <c r="X2214" s="14" t="str">
        <f t="shared" si="661"/>
        <v/>
      </c>
    </row>
    <row r="2215" spans="20:24" x14ac:dyDescent="0.3">
      <c r="T2215" s="13" t="str">
        <f t="shared" si="657"/>
        <v/>
      </c>
      <c r="U2215" s="14" t="str">
        <f t="shared" si="658"/>
        <v/>
      </c>
      <c r="V2215" s="13" t="str">
        <f t="shared" si="659"/>
        <v/>
      </c>
      <c r="W2215" s="13" t="str">
        <f t="shared" si="660"/>
        <v/>
      </c>
      <c r="X2215" s="14" t="str">
        <f t="shared" si="661"/>
        <v/>
      </c>
    </row>
    <row r="2216" spans="20:24" x14ac:dyDescent="0.3">
      <c r="T2216" s="13" t="str">
        <f t="shared" si="657"/>
        <v/>
      </c>
      <c r="U2216" s="14" t="str">
        <f t="shared" si="658"/>
        <v/>
      </c>
      <c r="V2216" s="13" t="str">
        <f t="shared" si="659"/>
        <v/>
      </c>
      <c r="W2216" s="13" t="str">
        <f t="shared" si="660"/>
        <v/>
      </c>
      <c r="X2216" s="14" t="str">
        <f t="shared" si="661"/>
        <v/>
      </c>
    </row>
    <row r="2217" spans="20:24" x14ac:dyDescent="0.3">
      <c r="T2217" s="13" t="str">
        <f t="shared" si="657"/>
        <v/>
      </c>
      <c r="U2217" s="14" t="str">
        <f t="shared" si="658"/>
        <v/>
      </c>
      <c r="V2217" s="13" t="str">
        <f t="shared" si="659"/>
        <v/>
      </c>
      <c r="W2217" s="13" t="str">
        <f t="shared" si="660"/>
        <v/>
      </c>
      <c r="X2217" s="14" t="str">
        <f t="shared" si="661"/>
        <v/>
      </c>
    </row>
    <row r="2218" spans="20:24" x14ac:dyDescent="0.3">
      <c r="T2218" s="13" t="str">
        <f t="shared" si="657"/>
        <v/>
      </c>
      <c r="U2218" s="14" t="str">
        <f t="shared" si="658"/>
        <v/>
      </c>
      <c r="V2218" s="13" t="str">
        <f t="shared" si="659"/>
        <v/>
      </c>
      <c r="W2218" s="13" t="str">
        <f t="shared" si="660"/>
        <v/>
      </c>
      <c r="X2218" s="14" t="str">
        <f t="shared" si="661"/>
        <v/>
      </c>
    </row>
    <row r="2219" spans="20:24" x14ac:dyDescent="0.3">
      <c r="T2219" s="13" t="str">
        <f t="shared" si="657"/>
        <v/>
      </c>
      <c r="U2219" s="14" t="str">
        <f t="shared" si="658"/>
        <v/>
      </c>
      <c r="V2219" s="13" t="str">
        <f t="shared" si="659"/>
        <v/>
      </c>
      <c r="W2219" s="13" t="str">
        <f t="shared" si="660"/>
        <v/>
      </c>
      <c r="X2219" s="14" t="str">
        <f t="shared" si="661"/>
        <v/>
      </c>
    </row>
    <row r="2220" spans="20:24" x14ac:dyDescent="0.3">
      <c r="T2220" s="13" t="str">
        <f t="shared" si="657"/>
        <v/>
      </c>
      <c r="U2220" s="14" t="str">
        <f t="shared" si="658"/>
        <v/>
      </c>
      <c r="V2220" s="13" t="str">
        <f t="shared" si="659"/>
        <v/>
      </c>
      <c r="W2220" s="13" t="str">
        <f t="shared" si="660"/>
        <v/>
      </c>
      <c r="X2220" s="14" t="str">
        <f t="shared" si="661"/>
        <v/>
      </c>
    </row>
    <row r="2221" spans="20:24" x14ac:dyDescent="0.3">
      <c r="T2221" s="13" t="str">
        <f t="shared" si="657"/>
        <v/>
      </c>
      <c r="U2221" s="14" t="str">
        <f t="shared" si="658"/>
        <v/>
      </c>
      <c r="V2221" s="13" t="str">
        <f t="shared" si="659"/>
        <v/>
      </c>
      <c r="W2221" s="13" t="str">
        <f t="shared" si="660"/>
        <v/>
      </c>
      <c r="X2221" s="14" t="str">
        <f t="shared" si="661"/>
        <v/>
      </c>
    </row>
    <row r="2222" spans="20:24" x14ac:dyDescent="0.3">
      <c r="T2222" s="13" t="str">
        <f t="shared" si="657"/>
        <v/>
      </c>
      <c r="U2222" s="14" t="str">
        <f t="shared" si="658"/>
        <v/>
      </c>
      <c r="V2222" s="13" t="str">
        <f t="shared" si="659"/>
        <v/>
      </c>
      <c r="W2222" s="13" t="str">
        <f t="shared" si="660"/>
        <v/>
      </c>
      <c r="X2222" s="14" t="str">
        <f t="shared" si="661"/>
        <v/>
      </c>
    </row>
    <row r="2223" spans="20:24" x14ac:dyDescent="0.3">
      <c r="T2223" s="13" t="str">
        <f t="shared" si="657"/>
        <v/>
      </c>
      <c r="U2223" s="14" t="str">
        <f t="shared" si="658"/>
        <v/>
      </c>
      <c r="V2223" s="13" t="str">
        <f t="shared" si="659"/>
        <v/>
      </c>
      <c r="W2223" s="13" t="str">
        <f t="shared" si="660"/>
        <v/>
      </c>
      <c r="X2223" s="14" t="str">
        <f t="shared" si="661"/>
        <v/>
      </c>
    </row>
    <row r="2224" spans="20:24" x14ac:dyDescent="0.3">
      <c r="T2224" s="13" t="str">
        <f t="shared" si="657"/>
        <v/>
      </c>
      <c r="U2224" s="14" t="str">
        <f t="shared" si="658"/>
        <v/>
      </c>
      <c r="V2224" s="13" t="str">
        <f t="shared" si="659"/>
        <v/>
      </c>
      <c r="W2224" s="13" t="str">
        <f t="shared" si="660"/>
        <v/>
      </c>
      <c r="X2224" s="14" t="str">
        <f t="shared" si="661"/>
        <v/>
      </c>
    </row>
    <row r="2225" spans="20:24" x14ac:dyDescent="0.3">
      <c r="T2225" s="13" t="str">
        <f t="shared" si="657"/>
        <v/>
      </c>
      <c r="U2225" s="14" t="str">
        <f t="shared" si="658"/>
        <v/>
      </c>
      <c r="V2225" s="13" t="str">
        <f t="shared" si="659"/>
        <v/>
      </c>
      <c r="W2225" s="13" t="str">
        <f t="shared" si="660"/>
        <v/>
      </c>
      <c r="X2225" s="14" t="str">
        <f t="shared" si="661"/>
        <v/>
      </c>
    </row>
    <row r="2226" spans="20:24" x14ac:dyDescent="0.3">
      <c r="T2226" s="13" t="str">
        <f t="shared" si="657"/>
        <v/>
      </c>
      <c r="U2226" s="14" t="str">
        <f t="shared" si="658"/>
        <v/>
      </c>
      <c r="V2226" s="13" t="str">
        <f t="shared" si="659"/>
        <v/>
      </c>
      <c r="W2226" s="13" t="str">
        <f t="shared" si="660"/>
        <v/>
      </c>
      <c r="X2226" s="14" t="str">
        <f t="shared" si="661"/>
        <v/>
      </c>
    </row>
    <row r="2227" spans="20:24" x14ac:dyDescent="0.3">
      <c r="T2227" s="13" t="str">
        <f t="shared" si="657"/>
        <v/>
      </c>
      <c r="U2227" s="14" t="str">
        <f t="shared" si="658"/>
        <v/>
      </c>
      <c r="V2227" s="13" t="str">
        <f t="shared" si="659"/>
        <v/>
      </c>
      <c r="W2227" s="13" t="str">
        <f t="shared" si="660"/>
        <v/>
      </c>
      <c r="X2227" s="14" t="str">
        <f t="shared" si="661"/>
        <v/>
      </c>
    </row>
    <row r="2228" spans="20:24" x14ac:dyDescent="0.3">
      <c r="T2228" s="13" t="str">
        <f t="shared" si="657"/>
        <v/>
      </c>
      <c r="U2228" s="14" t="str">
        <f t="shared" si="658"/>
        <v/>
      </c>
      <c r="V2228" s="13" t="str">
        <f t="shared" si="659"/>
        <v/>
      </c>
      <c r="W2228" s="13" t="str">
        <f t="shared" si="660"/>
        <v/>
      </c>
      <c r="X2228" s="14" t="str">
        <f t="shared" si="661"/>
        <v/>
      </c>
    </row>
    <row r="2229" spans="20:24" x14ac:dyDescent="0.3">
      <c r="T2229" s="13" t="str">
        <f t="shared" si="657"/>
        <v/>
      </c>
      <c r="U2229" s="14" t="str">
        <f t="shared" si="658"/>
        <v/>
      </c>
      <c r="V2229" s="13" t="str">
        <f t="shared" si="659"/>
        <v/>
      </c>
      <c r="W2229" s="13" t="str">
        <f t="shared" si="660"/>
        <v/>
      </c>
      <c r="X2229" s="14" t="str">
        <f t="shared" si="661"/>
        <v/>
      </c>
    </row>
    <row r="2230" spans="20:24" x14ac:dyDescent="0.3">
      <c r="T2230" s="13" t="str">
        <f t="shared" si="657"/>
        <v/>
      </c>
      <c r="U2230" s="14" t="str">
        <f t="shared" si="658"/>
        <v/>
      </c>
      <c r="V2230" s="13" t="str">
        <f t="shared" si="659"/>
        <v/>
      </c>
      <c r="W2230" s="13" t="str">
        <f t="shared" si="660"/>
        <v/>
      </c>
      <c r="X2230" s="14" t="str">
        <f t="shared" si="661"/>
        <v/>
      </c>
    </row>
    <row r="2231" spans="20:24" x14ac:dyDescent="0.3">
      <c r="T2231" s="13" t="str">
        <f t="shared" si="657"/>
        <v/>
      </c>
      <c r="U2231" s="14" t="str">
        <f t="shared" si="658"/>
        <v/>
      </c>
      <c r="V2231" s="13" t="str">
        <f t="shared" si="659"/>
        <v/>
      </c>
      <c r="W2231" s="13" t="str">
        <f t="shared" si="660"/>
        <v/>
      </c>
      <c r="X2231" s="14" t="str">
        <f t="shared" si="661"/>
        <v/>
      </c>
    </row>
    <row r="2232" spans="20:24" x14ac:dyDescent="0.3">
      <c r="T2232" s="13" t="str">
        <f t="shared" si="657"/>
        <v/>
      </c>
      <c r="U2232" s="14" t="str">
        <f t="shared" si="658"/>
        <v/>
      </c>
      <c r="V2232" s="13" t="str">
        <f t="shared" si="659"/>
        <v/>
      </c>
      <c r="W2232" s="13" t="str">
        <f t="shared" si="660"/>
        <v/>
      </c>
      <c r="X2232" s="14" t="str">
        <f t="shared" si="661"/>
        <v/>
      </c>
    </row>
    <row r="2233" spans="20:24" x14ac:dyDescent="0.3">
      <c r="T2233" s="13" t="str">
        <f t="shared" si="657"/>
        <v/>
      </c>
      <c r="U2233" s="14" t="str">
        <f t="shared" si="658"/>
        <v/>
      </c>
      <c r="V2233" s="13" t="str">
        <f t="shared" si="659"/>
        <v/>
      </c>
      <c r="W2233" s="13" t="str">
        <f t="shared" si="660"/>
        <v/>
      </c>
      <c r="X2233" s="14" t="str">
        <f t="shared" si="661"/>
        <v/>
      </c>
    </row>
    <row r="2234" spans="20:24" x14ac:dyDescent="0.3">
      <c r="T2234" s="13" t="str">
        <f t="shared" si="657"/>
        <v/>
      </c>
      <c r="U2234" s="14" t="str">
        <f t="shared" si="658"/>
        <v/>
      </c>
      <c r="V2234" s="13" t="str">
        <f t="shared" si="659"/>
        <v/>
      </c>
      <c r="W2234" s="13" t="str">
        <f t="shared" si="660"/>
        <v/>
      </c>
      <c r="X2234" s="14" t="str">
        <f t="shared" si="661"/>
        <v/>
      </c>
    </row>
    <row r="2235" spans="20:24" x14ac:dyDescent="0.3">
      <c r="T2235" s="13" t="str">
        <f t="shared" si="657"/>
        <v/>
      </c>
      <c r="U2235" s="14" t="str">
        <f t="shared" si="658"/>
        <v/>
      </c>
      <c r="V2235" s="13" t="str">
        <f t="shared" si="659"/>
        <v/>
      </c>
      <c r="W2235" s="13" t="str">
        <f t="shared" si="660"/>
        <v/>
      </c>
      <c r="X2235" s="14" t="str">
        <f t="shared" si="661"/>
        <v/>
      </c>
    </row>
    <row r="2236" spans="20:24" x14ac:dyDescent="0.3">
      <c r="T2236" s="13" t="str">
        <f t="shared" si="657"/>
        <v/>
      </c>
      <c r="U2236" s="14" t="str">
        <f t="shared" si="658"/>
        <v/>
      </c>
      <c r="V2236" s="13" t="str">
        <f t="shared" si="659"/>
        <v/>
      </c>
      <c r="W2236" s="13" t="str">
        <f t="shared" si="660"/>
        <v/>
      </c>
      <c r="X2236" s="14" t="str">
        <f t="shared" si="661"/>
        <v/>
      </c>
    </row>
    <row r="2237" spans="20:24" x14ac:dyDescent="0.3">
      <c r="T2237" s="13" t="str">
        <f t="shared" si="657"/>
        <v/>
      </c>
      <c r="U2237" s="14" t="str">
        <f t="shared" si="658"/>
        <v/>
      </c>
      <c r="V2237" s="13" t="str">
        <f t="shared" si="659"/>
        <v/>
      </c>
      <c r="W2237" s="13" t="str">
        <f t="shared" si="660"/>
        <v/>
      </c>
      <c r="X2237" s="14" t="str">
        <f t="shared" si="661"/>
        <v/>
      </c>
    </row>
    <row r="2238" spans="20:24" x14ac:dyDescent="0.3">
      <c r="T2238" s="13" t="str">
        <f t="shared" si="657"/>
        <v/>
      </c>
      <c r="U2238" s="14" t="str">
        <f t="shared" si="658"/>
        <v/>
      </c>
      <c r="V2238" s="13" t="str">
        <f t="shared" si="659"/>
        <v/>
      </c>
      <c r="W2238" s="13" t="str">
        <f t="shared" si="660"/>
        <v/>
      </c>
      <c r="X2238" s="14" t="str">
        <f t="shared" si="661"/>
        <v/>
      </c>
    </row>
    <row r="2239" spans="20:24" x14ac:dyDescent="0.3">
      <c r="T2239" s="13" t="str">
        <f t="shared" si="657"/>
        <v/>
      </c>
      <c r="U2239" s="14" t="str">
        <f t="shared" si="658"/>
        <v/>
      </c>
      <c r="V2239" s="13" t="str">
        <f t="shared" si="659"/>
        <v/>
      </c>
      <c r="W2239" s="13" t="str">
        <f t="shared" si="660"/>
        <v/>
      </c>
      <c r="X2239" s="14" t="str">
        <f t="shared" si="661"/>
        <v/>
      </c>
    </row>
    <row r="2240" spans="20:24" x14ac:dyDescent="0.3">
      <c r="T2240" s="13" t="str">
        <f t="shared" si="657"/>
        <v/>
      </c>
      <c r="U2240" s="14" t="str">
        <f t="shared" si="658"/>
        <v/>
      </c>
      <c r="V2240" s="13" t="str">
        <f t="shared" si="659"/>
        <v/>
      </c>
      <c r="W2240" s="13" t="str">
        <f t="shared" si="660"/>
        <v/>
      </c>
      <c r="X2240" s="14" t="str">
        <f t="shared" si="661"/>
        <v/>
      </c>
    </row>
    <row r="2241" spans="20:24" x14ac:dyDescent="0.3">
      <c r="T2241" s="13" t="str">
        <f t="shared" si="657"/>
        <v/>
      </c>
      <c r="U2241" s="14" t="str">
        <f t="shared" si="658"/>
        <v/>
      </c>
      <c r="V2241" s="13" t="str">
        <f t="shared" si="659"/>
        <v/>
      </c>
      <c r="W2241" s="13" t="str">
        <f t="shared" si="660"/>
        <v/>
      </c>
      <c r="X2241" s="14" t="str">
        <f t="shared" si="661"/>
        <v/>
      </c>
    </row>
    <row r="2242" spans="20:24" x14ac:dyDescent="0.3">
      <c r="T2242" s="13" t="str">
        <f t="shared" si="657"/>
        <v/>
      </c>
      <c r="U2242" s="14" t="str">
        <f t="shared" si="658"/>
        <v/>
      </c>
      <c r="V2242" s="13" t="str">
        <f t="shared" si="659"/>
        <v/>
      </c>
      <c r="W2242" s="13" t="str">
        <f t="shared" si="660"/>
        <v/>
      </c>
      <c r="X2242" s="14" t="str">
        <f t="shared" si="661"/>
        <v/>
      </c>
    </row>
    <row r="2243" spans="20:24" x14ac:dyDescent="0.3">
      <c r="T2243" s="13" t="str">
        <f t="shared" si="657"/>
        <v/>
      </c>
      <c r="U2243" s="14" t="str">
        <f t="shared" si="658"/>
        <v/>
      </c>
      <c r="V2243" s="13" t="str">
        <f t="shared" si="659"/>
        <v/>
      </c>
      <c r="W2243" s="13" t="str">
        <f t="shared" si="660"/>
        <v/>
      </c>
      <c r="X2243" s="14" t="str">
        <f t="shared" si="661"/>
        <v/>
      </c>
    </row>
    <row r="2244" spans="20:24" x14ac:dyDescent="0.3">
      <c r="T2244" s="13" t="str">
        <f t="shared" si="657"/>
        <v/>
      </c>
      <c r="U2244" s="14" t="str">
        <f t="shared" si="658"/>
        <v/>
      </c>
      <c r="V2244" s="13" t="str">
        <f t="shared" si="659"/>
        <v/>
      </c>
      <c r="W2244" s="13" t="str">
        <f t="shared" si="660"/>
        <v/>
      </c>
      <c r="X2244" s="14" t="str">
        <f t="shared" si="661"/>
        <v/>
      </c>
    </row>
    <row r="2245" spans="20:24" x14ac:dyDescent="0.3">
      <c r="T2245" s="13" t="str">
        <f t="shared" si="657"/>
        <v/>
      </c>
      <c r="U2245" s="14" t="str">
        <f t="shared" si="658"/>
        <v/>
      </c>
      <c r="V2245" s="13" t="str">
        <f t="shared" si="659"/>
        <v/>
      </c>
      <c r="W2245" s="13" t="str">
        <f t="shared" si="660"/>
        <v/>
      </c>
      <c r="X2245" s="14" t="str">
        <f t="shared" si="661"/>
        <v/>
      </c>
    </row>
    <row r="2246" spans="20:24" x14ac:dyDescent="0.3">
      <c r="T2246" s="13" t="str">
        <f t="shared" si="657"/>
        <v/>
      </c>
      <c r="U2246" s="14" t="str">
        <f t="shared" si="658"/>
        <v/>
      </c>
      <c r="V2246" s="13" t="str">
        <f t="shared" si="659"/>
        <v/>
      </c>
      <c r="W2246" s="13" t="str">
        <f t="shared" si="660"/>
        <v/>
      </c>
      <c r="X2246" s="14" t="str">
        <f t="shared" si="661"/>
        <v/>
      </c>
    </row>
    <row r="2247" spans="20:24" x14ac:dyDescent="0.3">
      <c r="T2247" s="13" t="str">
        <f t="shared" si="657"/>
        <v/>
      </c>
      <c r="U2247" s="14" t="str">
        <f t="shared" si="658"/>
        <v/>
      </c>
      <c r="V2247" s="13" t="str">
        <f t="shared" si="659"/>
        <v/>
      </c>
      <c r="W2247" s="13" t="str">
        <f t="shared" si="660"/>
        <v/>
      </c>
      <c r="X2247" s="14" t="str">
        <f t="shared" si="661"/>
        <v/>
      </c>
    </row>
    <row r="2248" spans="20:24" x14ac:dyDescent="0.3">
      <c r="T2248" s="13" t="str">
        <f t="shared" si="657"/>
        <v/>
      </c>
      <c r="U2248" s="14" t="str">
        <f t="shared" si="658"/>
        <v/>
      </c>
      <c r="V2248" s="13" t="str">
        <f t="shared" si="659"/>
        <v/>
      </c>
      <c r="W2248" s="13" t="str">
        <f t="shared" si="660"/>
        <v/>
      </c>
      <c r="X2248" s="14" t="str">
        <f t="shared" si="661"/>
        <v/>
      </c>
    </row>
    <row r="2249" spans="20:24" x14ac:dyDescent="0.3">
      <c r="T2249" s="13" t="str">
        <f t="shared" si="657"/>
        <v/>
      </c>
      <c r="U2249" s="14" t="str">
        <f t="shared" si="658"/>
        <v/>
      </c>
      <c r="V2249" s="13" t="str">
        <f t="shared" si="659"/>
        <v/>
      </c>
      <c r="W2249" s="13" t="str">
        <f t="shared" si="660"/>
        <v/>
      </c>
      <c r="X2249" s="14" t="str">
        <f t="shared" si="661"/>
        <v/>
      </c>
    </row>
    <row r="2250" spans="20:24" x14ac:dyDescent="0.3">
      <c r="T2250" s="13" t="str">
        <f t="shared" si="657"/>
        <v/>
      </c>
      <c r="U2250" s="14" t="str">
        <f t="shared" si="658"/>
        <v/>
      </c>
      <c r="V2250" s="13" t="str">
        <f t="shared" si="659"/>
        <v/>
      </c>
      <c r="W2250" s="13" t="str">
        <f t="shared" si="660"/>
        <v/>
      </c>
      <c r="X2250" s="14" t="str">
        <f t="shared" si="661"/>
        <v/>
      </c>
    </row>
    <row r="2251" spans="20:24" x14ac:dyDescent="0.3">
      <c r="T2251" s="13" t="str">
        <f t="shared" si="657"/>
        <v/>
      </c>
      <c r="U2251" s="14" t="str">
        <f t="shared" si="658"/>
        <v/>
      </c>
      <c r="V2251" s="13" t="str">
        <f t="shared" si="659"/>
        <v/>
      </c>
      <c r="W2251" s="13" t="str">
        <f t="shared" si="660"/>
        <v/>
      </c>
      <c r="X2251" s="14" t="str">
        <f t="shared" si="661"/>
        <v/>
      </c>
    </row>
    <row r="2252" spans="20:24" x14ac:dyDescent="0.3">
      <c r="T2252" s="13" t="str">
        <f t="shared" si="657"/>
        <v/>
      </c>
      <c r="U2252" s="14" t="str">
        <f t="shared" si="658"/>
        <v/>
      </c>
      <c r="V2252" s="13" t="str">
        <f t="shared" si="659"/>
        <v/>
      </c>
      <c r="W2252" s="13" t="str">
        <f t="shared" si="660"/>
        <v/>
      </c>
      <c r="X2252" s="14" t="str">
        <f t="shared" si="661"/>
        <v/>
      </c>
    </row>
    <row r="2253" spans="20:24" x14ac:dyDescent="0.3">
      <c r="T2253" s="13" t="str">
        <f t="shared" si="657"/>
        <v/>
      </c>
      <c r="U2253" s="14" t="str">
        <f t="shared" si="658"/>
        <v/>
      </c>
      <c r="V2253" s="13" t="str">
        <f t="shared" si="659"/>
        <v/>
      </c>
      <c r="W2253" s="13" t="str">
        <f t="shared" si="660"/>
        <v/>
      </c>
      <c r="X2253" s="14" t="str">
        <f t="shared" si="661"/>
        <v/>
      </c>
    </row>
    <row r="2254" spans="20:24" x14ac:dyDescent="0.3">
      <c r="T2254" s="13" t="str">
        <f t="shared" si="657"/>
        <v/>
      </c>
      <c r="U2254" s="14" t="str">
        <f t="shared" si="658"/>
        <v/>
      </c>
      <c r="V2254" s="13" t="str">
        <f t="shared" si="659"/>
        <v/>
      </c>
      <c r="W2254" s="13" t="str">
        <f t="shared" si="660"/>
        <v/>
      </c>
      <c r="X2254" s="14" t="str">
        <f t="shared" si="661"/>
        <v/>
      </c>
    </row>
    <row r="2255" spans="20:24" x14ac:dyDescent="0.3">
      <c r="T2255" s="13" t="str">
        <f t="shared" si="657"/>
        <v/>
      </c>
      <c r="U2255" s="14" t="str">
        <f t="shared" si="658"/>
        <v/>
      </c>
      <c r="V2255" s="13" t="str">
        <f t="shared" si="659"/>
        <v/>
      </c>
      <c r="W2255" s="13" t="str">
        <f t="shared" si="660"/>
        <v/>
      </c>
      <c r="X2255" s="14" t="str">
        <f t="shared" si="661"/>
        <v/>
      </c>
    </row>
    <row r="2256" spans="20:24" x14ac:dyDescent="0.3">
      <c r="T2256" s="13" t="str">
        <f t="shared" si="657"/>
        <v/>
      </c>
      <c r="U2256" s="14" t="str">
        <f t="shared" si="658"/>
        <v/>
      </c>
      <c r="V2256" s="13" t="str">
        <f t="shared" si="659"/>
        <v/>
      </c>
      <c r="W2256" s="13" t="str">
        <f t="shared" si="660"/>
        <v/>
      </c>
      <c r="X2256" s="14" t="str">
        <f t="shared" si="661"/>
        <v/>
      </c>
    </row>
    <row r="2257" spans="20:24" x14ac:dyDescent="0.3">
      <c r="T2257" s="13" t="str">
        <f t="shared" si="657"/>
        <v/>
      </c>
      <c r="U2257" s="14" t="str">
        <f t="shared" si="658"/>
        <v/>
      </c>
      <c r="V2257" s="13" t="str">
        <f t="shared" si="659"/>
        <v/>
      </c>
      <c r="W2257" s="13" t="str">
        <f t="shared" si="660"/>
        <v/>
      </c>
      <c r="X2257" s="14" t="str">
        <f t="shared" si="661"/>
        <v/>
      </c>
    </row>
    <row r="2258" spans="20:24" x14ac:dyDescent="0.3">
      <c r="T2258" s="13" t="str">
        <f t="shared" si="657"/>
        <v/>
      </c>
      <c r="U2258" s="14" t="str">
        <f t="shared" si="658"/>
        <v/>
      </c>
      <c r="V2258" s="13" t="str">
        <f t="shared" si="659"/>
        <v/>
      </c>
      <c r="W2258" s="13" t="str">
        <f t="shared" si="660"/>
        <v/>
      </c>
      <c r="X2258" s="14" t="str">
        <f t="shared" si="661"/>
        <v/>
      </c>
    </row>
    <row r="2259" spans="20:24" x14ac:dyDescent="0.3">
      <c r="T2259" s="13" t="str">
        <f t="shared" ref="T2259:T2322" si="662">IF(A2259="",IF(A2258="","",$T$1),IF(O2259=1,"#",IF(B2259=0,"*",DEC2HEX(R2259))))</f>
        <v/>
      </c>
      <c r="U2259" s="14" t="str">
        <f t="shared" ref="U2259:U2322" si="663">IF(A2259="",IF(A2258="","",$U$1),  IF(B2259=0,Q2259,I2259)  )</f>
        <v/>
      </c>
      <c r="V2259" s="13" t="str">
        <f t="shared" ref="V2259:V2322" si="664">IF(U2259=$U$1,"",IF(A2259="",IF(A2258="","",1),  IF(B2259=0,1,D2259)  ))</f>
        <v/>
      </c>
      <c r="W2259" s="13" t="str">
        <f t="shared" ref="W2259:W2322" si="665">IF(U2259=$U$1,"",IF(A2259="",IF(A2258="","",0),  IF(C2259=0,0,0)  ))</f>
        <v/>
      </c>
      <c r="X2259" s="14" t="str">
        <f t="shared" ref="X2259:X2322" si="666">IF(U2259=$U$1,"",IF(U2259="","",IF(B2259&gt;0,IF(Q2259&lt;&gt;"",Q2259,"No description"),"-")))</f>
        <v/>
      </c>
    </row>
    <row r="2260" spans="20:24" x14ac:dyDescent="0.3">
      <c r="T2260" s="13" t="str">
        <f t="shared" si="662"/>
        <v/>
      </c>
      <c r="U2260" s="14" t="str">
        <f t="shared" si="663"/>
        <v/>
      </c>
      <c r="V2260" s="13" t="str">
        <f t="shared" si="664"/>
        <v/>
      </c>
      <c r="W2260" s="13" t="str">
        <f t="shared" si="665"/>
        <v/>
      </c>
      <c r="X2260" s="14" t="str">
        <f t="shared" si="666"/>
        <v/>
      </c>
    </row>
    <row r="2261" spans="20:24" x14ac:dyDescent="0.3">
      <c r="T2261" s="13" t="str">
        <f t="shared" si="662"/>
        <v/>
      </c>
      <c r="U2261" s="14" t="str">
        <f t="shared" si="663"/>
        <v/>
      </c>
      <c r="V2261" s="13" t="str">
        <f t="shared" si="664"/>
        <v/>
      </c>
      <c r="W2261" s="13" t="str">
        <f t="shared" si="665"/>
        <v/>
      </c>
      <c r="X2261" s="14" t="str">
        <f t="shared" si="666"/>
        <v/>
      </c>
    </row>
    <row r="2262" spans="20:24" x14ac:dyDescent="0.3">
      <c r="T2262" s="13" t="str">
        <f t="shared" si="662"/>
        <v/>
      </c>
      <c r="U2262" s="14" t="str">
        <f t="shared" si="663"/>
        <v/>
      </c>
      <c r="V2262" s="13" t="str">
        <f t="shared" si="664"/>
        <v/>
      </c>
      <c r="W2262" s="13" t="str">
        <f t="shared" si="665"/>
        <v/>
      </c>
      <c r="X2262" s="14" t="str">
        <f t="shared" si="666"/>
        <v/>
      </c>
    </row>
    <row r="2263" spans="20:24" x14ac:dyDescent="0.3">
      <c r="T2263" s="13" t="str">
        <f t="shared" si="662"/>
        <v/>
      </c>
      <c r="U2263" s="14" t="str">
        <f t="shared" si="663"/>
        <v/>
      </c>
      <c r="V2263" s="13" t="str">
        <f t="shared" si="664"/>
        <v/>
      </c>
      <c r="W2263" s="13" t="str">
        <f t="shared" si="665"/>
        <v/>
      </c>
      <c r="X2263" s="14" t="str">
        <f t="shared" si="666"/>
        <v/>
      </c>
    </row>
    <row r="2264" spans="20:24" x14ac:dyDescent="0.3">
      <c r="T2264" s="13" t="str">
        <f t="shared" si="662"/>
        <v/>
      </c>
      <c r="U2264" s="14" t="str">
        <f t="shared" si="663"/>
        <v/>
      </c>
      <c r="V2264" s="13" t="str">
        <f t="shared" si="664"/>
        <v/>
      </c>
      <c r="W2264" s="13" t="str">
        <f t="shared" si="665"/>
        <v/>
      </c>
      <c r="X2264" s="14" t="str">
        <f t="shared" si="666"/>
        <v/>
      </c>
    </row>
    <row r="2265" spans="20:24" x14ac:dyDescent="0.3">
      <c r="T2265" s="13" t="str">
        <f t="shared" si="662"/>
        <v/>
      </c>
      <c r="U2265" s="14" t="str">
        <f t="shared" si="663"/>
        <v/>
      </c>
      <c r="V2265" s="13" t="str">
        <f t="shared" si="664"/>
        <v/>
      </c>
      <c r="W2265" s="13" t="str">
        <f t="shared" si="665"/>
        <v/>
      </c>
      <c r="X2265" s="14" t="str">
        <f t="shared" si="666"/>
        <v/>
      </c>
    </row>
    <row r="2266" spans="20:24" x14ac:dyDescent="0.3">
      <c r="T2266" s="13" t="str">
        <f t="shared" si="662"/>
        <v/>
      </c>
      <c r="U2266" s="14" t="str">
        <f t="shared" si="663"/>
        <v/>
      </c>
      <c r="V2266" s="13" t="str">
        <f t="shared" si="664"/>
        <v/>
      </c>
      <c r="W2266" s="13" t="str">
        <f t="shared" si="665"/>
        <v/>
      </c>
      <c r="X2266" s="14" t="str">
        <f t="shared" si="666"/>
        <v/>
      </c>
    </row>
    <row r="2267" spans="20:24" x14ac:dyDescent="0.3">
      <c r="T2267" s="13" t="str">
        <f t="shared" si="662"/>
        <v/>
      </c>
      <c r="U2267" s="14" t="str">
        <f t="shared" si="663"/>
        <v/>
      </c>
      <c r="V2267" s="13" t="str">
        <f t="shared" si="664"/>
        <v/>
      </c>
      <c r="W2267" s="13" t="str">
        <f t="shared" si="665"/>
        <v/>
      </c>
      <c r="X2267" s="14" t="str">
        <f t="shared" si="666"/>
        <v/>
      </c>
    </row>
    <row r="2268" spans="20:24" x14ac:dyDescent="0.3">
      <c r="T2268" s="13" t="str">
        <f t="shared" si="662"/>
        <v/>
      </c>
      <c r="U2268" s="14" t="str">
        <f t="shared" si="663"/>
        <v/>
      </c>
      <c r="V2268" s="13" t="str">
        <f t="shared" si="664"/>
        <v/>
      </c>
      <c r="W2268" s="13" t="str">
        <f t="shared" si="665"/>
        <v/>
      </c>
      <c r="X2268" s="14" t="str">
        <f t="shared" si="666"/>
        <v/>
      </c>
    </row>
    <row r="2269" spans="20:24" x14ac:dyDescent="0.3">
      <c r="T2269" s="13" t="str">
        <f t="shared" si="662"/>
        <v/>
      </c>
      <c r="U2269" s="14" t="str">
        <f t="shared" si="663"/>
        <v/>
      </c>
      <c r="V2269" s="13" t="str">
        <f t="shared" si="664"/>
        <v/>
      </c>
      <c r="W2269" s="13" t="str">
        <f t="shared" si="665"/>
        <v/>
      </c>
      <c r="X2269" s="14" t="str">
        <f t="shared" si="666"/>
        <v/>
      </c>
    </row>
    <row r="2270" spans="20:24" x14ac:dyDescent="0.3">
      <c r="T2270" s="13" t="str">
        <f t="shared" si="662"/>
        <v/>
      </c>
      <c r="U2270" s="14" t="str">
        <f t="shared" si="663"/>
        <v/>
      </c>
      <c r="V2270" s="13" t="str">
        <f t="shared" si="664"/>
        <v/>
      </c>
      <c r="W2270" s="13" t="str">
        <f t="shared" si="665"/>
        <v/>
      </c>
      <c r="X2270" s="14" t="str">
        <f t="shared" si="666"/>
        <v/>
      </c>
    </row>
    <row r="2271" spans="20:24" x14ac:dyDescent="0.3">
      <c r="T2271" s="13" t="str">
        <f t="shared" si="662"/>
        <v/>
      </c>
      <c r="U2271" s="14" t="str">
        <f t="shared" si="663"/>
        <v/>
      </c>
      <c r="V2271" s="13" t="str">
        <f t="shared" si="664"/>
        <v/>
      </c>
      <c r="W2271" s="13" t="str">
        <f t="shared" si="665"/>
        <v/>
      </c>
      <c r="X2271" s="14" t="str">
        <f t="shared" si="666"/>
        <v/>
      </c>
    </row>
    <row r="2272" spans="20:24" x14ac:dyDescent="0.3">
      <c r="T2272" s="13" t="str">
        <f t="shared" si="662"/>
        <v/>
      </c>
      <c r="U2272" s="14" t="str">
        <f t="shared" si="663"/>
        <v/>
      </c>
      <c r="V2272" s="13" t="str">
        <f t="shared" si="664"/>
        <v/>
      </c>
      <c r="W2272" s="13" t="str">
        <f t="shared" si="665"/>
        <v/>
      </c>
      <c r="X2272" s="14" t="str">
        <f t="shared" si="666"/>
        <v/>
      </c>
    </row>
    <row r="2273" spans="20:24" x14ac:dyDescent="0.3">
      <c r="T2273" s="13" t="str">
        <f t="shared" si="662"/>
        <v/>
      </c>
      <c r="U2273" s="14" t="str">
        <f t="shared" si="663"/>
        <v/>
      </c>
      <c r="V2273" s="13" t="str">
        <f t="shared" si="664"/>
        <v/>
      </c>
      <c r="W2273" s="13" t="str">
        <f t="shared" si="665"/>
        <v/>
      </c>
      <c r="X2273" s="14" t="str">
        <f t="shared" si="666"/>
        <v/>
      </c>
    </row>
    <row r="2274" spans="20:24" x14ac:dyDescent="0.3">
      <c r="T2274" s="13" t="str">
        <f t="shared" si="662"/>
        <v/>
      </c>
      <c r="U2274" s="14" t="str">
        <f t="shared" si="663"/>
        <v/>
      </c>
      <c r="V2274" s="13" t="str">
        <f t="shared" si="664"/>
        <v/>
      </c>
      <c r="W2274" s="13" t="str">
        <f t="shared" si="665"/>
        <v/>
      </c>
      <c r="X2274" s="14" t="str">
        <f t="shared" si="666"/>
        <v/>
      </c>
    </row>
    <row r="2275" spans="20:24" x14ac:dyDescent="0.3">
      <c r="T2275" s="13" t="str">
        <f t="shared" si="662"/>
        <v/>
      </c>
      <c r="U2275" s="14" t="str">
        <f t="shared" si="663"/>
        <v/>
      </c>
      <c r="V2275" s="13" t="str">
        <f t="shared" si="664"/>
        <v/>
      </c>
      <c r="W2275" s="13" t="str">
        <f t="shared" si="665"/>
        <v/>
      </c>
      <c r="X2275" s="14" t="str">
        <f t="shared" si="666"/>
        <v/>
      </c>
    </row>
    <row r="2276" spans="20:24" x14ac:dyDescent="0.3">
      <c r="T2276" s="13" t="str">
        <f t="shared" si="662"/>
        <v/>
      </c>
      <c r="U2276" s="14" t="str">
        <f t="shared" si="663"/>
        <v/>
      </c>
      <c r="V2276" s="13" t="str">
        <f t="shared" si="664"/>
        <v/>
      </c>
      <c r="W2276" s="13" t="str">
        <f t="shared" si="665"/>
        <v/>
      </c>
      <c r="X2276" s="14" t="str">
        <f t="shared" si="666"/>
        <v/>
      </c>
    </row>
    <row r="2277" spans="20:24" x14ac:dyDescent="0.3">
      <c r="T2277" s="13" t="str">
        <f t="shared" si="662"/>
        <v/>
      </c>
      <c r="U2277" s="14" t="str">
        <f t="shared" si="663"/>
        <v/>
      </c>
      <c r="V2277" s="13" t="str">
        <f t="shared" si="664"/>
        <v/>
      </c>
      <c r="W2277" s="13" t="str">
        <f t="shared" si="665"/>
        <v/>
      </c>
      <c r="X2277" s="14" t="str">
        <f t="shared" si="666"/>
        <v/>
      </c>
    </row>
    <row r="2278" spans="20:24" x14ac:dyDescent="0.3">
      <c r="T2278" s="13" t="str">
        <f t="shared" si="662"/>
        <v/>
      </c>
      <c r="U2278" s="14" t="str">
        <f t="shared" si="663"/>
        <v/>
      </c>
      <c r="V2278" s="13" t="str">
        <f t="shared" si="664"/>
        <v/>
      </c>
      <c r="W2278" s="13" t="str">
        <f t="shared" si="665"/>
        <v/>
      </c>
      <c r="X2278" s="14" t="str">
        <f t="shared" si="666"/>
        <v/>
      </c>
    </row>
    <row r="2279" spans="20:24" x14ac:dyDescent="0.3">
      <c r="T2279" s="13" t="str">
        <f t="shared" si="662"/>
        <v/>
      </c>
      <c r="U2279" s="14" t="str">
        <f t="shared" si="663"/>
        <v/>
      </c>
      <c r="V2279" s="13" t="str">
        <f t="shared" si="664"/>
        <v/>
      </c>
      <c r="W2279" s="13" t="str">
        <f t="shared" si="665"/>
        <v/>
      </c>
      <c r="X2279" s="14" t="str">
        <f t="shared" si="666"/>
        <v/>
      </c>
    </row>
    <row r="2280" spans="20:24" x14ac:dyDescent="0.3">
      <c r="T2280" s="13" t="str">
        <f t="shared" si="662"/>
        <v/>
      </c>
      <c r="U2280" s="14" t="str">
        <f t="shared" si="663"/>
        <v/>
      </c>
      <c r="V2280" s="13" t="str">
        <f t="shared" si="664"/>
        <v/>
      </c>
      <c r="W2280" s="13" t="str">
        <f t="shared" si="665"/>
        <v/>
      </c>
      <c r="X2280" s="14" t="str">
        <f t="shared" si="666"/>
        <v/>
      </c>
    </row>
    <row r="2281" spans="20:24" x14ac:dyDescent="0.3">
      <c r="T2281" s="13" t="str">
        <f t="shared" si="662"/>
        <v/>
      </c>
      <c r="U2281" s="14" t="str">
        <f t="shared" si="663"/>
        <v/>
      </c>
      <c r="V2281" s="13" t="str">
        <f t="shared" si="664"/>
        <v/>
      </c>
      <c r="W2281" s="13" t="str">
        <f t="shared" si="665"/>
        <v/>
      </c>
      <c r="X2281" s="14" t="str">
        <f t="shared" si="666"/>
        <v/>
      </c>
    </row>
    <row r="2282" spans="20:24" x14ac:dyDescent="0.3">
      <c r="T2282" s="13" t="str">
        <f t="shared" si="662"/>
        <v/>
      </c>
      <c r="U2282" s="14" t="str">
        <f t="shared" si="663"/>
        <v/>
      </c>
      <c r="V2282" s="13" t="str">
        <f t="shared" si="664"/>
        <v/>
      </c>
      <c r="W2282" s="13" t="str">
        <f t="shared" si="665"/>
        <v/>
      </c>
      <c r="X2282" s="14" t="str">
        <f t="shared" si="666"/>
        <v/>
      </c>
    </row>
    <row r="2283" spans="20:24" x14ac:dyDescent="0.3">
      <c r="T2283" s="13" t="str">
        <f t="shared" si="662"/>
        <v/>
      </c>
      <c r="U2283" s="14" t="str">
        <f t="shared" si="663"/>
        <v/>
      </c>
      <c r="V2283" s="13" t="str">
        <f t="shared" si="664"/>
        <v/>
      </c>
      <c r="W2283" s="13" t="str">
        <f t="shared" si="665"/>
        <v/>
      </c>
      <c r="X2283" s="14" t="str">
        <f t="shared" si="666"/>
        <v/>
      </c>
    </row>
    <row r="2284" spans="20:24" x14ac:dyDescent="0.3">
      <c r="T2284" s="13" t="str">
        <f t="shared" si="662"/>
        <v/>
      </c>
      <c r="U2284" s="14" t="str">
        <f t="shared" si="663"/>
        <v/>
      </c>
      <c r="V2284" s="13" t="str">
        <f t="shared" si="664"/>
        <v/>
      </c>
      <c r="W2284" s="13" t="str">
        <f t="shared" si="665"/>
        <v/>
      </c>
      <c r="X2284" s="14" t="str">
        <f t="shared" si="666"/>
        <v/>
      </c>
    </row>
    <row r="2285" spans="20:24" x14ac:dyDescent="0.3">
      <c r="T2285" s="13" t="str">
        <f t="shared" si="662"/>
        <v/>
      </c>
      <c r="U2285" s="14" t="str">
        <f t="shared" si="663"/>
        <v/>
      </c>
      <c r="V2285" s="13" t="str">
        <f t="shared" si="664"/>
        <v/>
      </c>
      <c r="W2285" s="13" t="str">
        <f t="shared" si="665"/>
        <v/>
      </c>
      <c r="X2285" s="14" t="str">
        <f t="shared" si="666"/>
        <v/>
      </c>
    </row>
    <row r="2286" spans="20:24" x14ac:dyDescent="0.3">
      <c r="T2286" s="13" t="str">
        <f t="shared" si="662"/>
        <v/>
      </c>
      <c r="U2286" s="14" t="str">
        <f t="shared" si="663"/>
        <v/>
      </c>
      <c r="V2286" s="13" t="str">
        <f t="shared" si="664"/>
        <v/>
      </c>
      <c r="W2286" s="13" t="str">
        <f t="shared" si="665"/>
        <v/>
      </c>
      <c r="X2286" s="14" t="str">
        <f t="shared" si="666"/>
        <v/>
      </c>
    </row>
    <row r="2287" spans="20:24" x14ac:dyDescent="0.3">
      <c r="T2287" s="13" t="str">
        <f t="shared" si="662"/>
        <v/>
      </c>
      <c r="U2287" s="14" t="str">
        <f t="shared" si="663"/>
        <v/>
      </c>
      <c r="V2287" s="13" t="str">
        <f t="shared" si="664"/>
        <v/>
      </c>
      <c r="W2287" s="13" t="str">
        <f t="shared" si="665"/>
        <v/>
      </c>
      <c r="X2287" s="14" t="str">
        <f t="shared" si="666"/>
        <v/>
      </c>
    </row>
    <row r="2288" spans="20:24" x14ac:dyDescent="0.3">
      <c r="T2288" s="13" t="str">
        <f t="shared" si="662"/>
        <v/>
      </c>
      <c r="U2288" s="14" t="str">
        <f t="shared" si="663"/>
        <v/>
      </c>
      <c r="V2288" s="13" t="str">
        <f t="shared" si="664"/>
        <v/>
      </c>
      <c r="W2288" s="13" t="str">
        <f t="shared" si="665"/>
        <v/>
      </c>
      <c r="X2288" s="14" t="str">
        <f t="shared" si="666"/>
        <v/>
      </c>
    </row>
    <row r="2289" spans="20:24" x14ac:dyDescent="0.3">
      <c r="T2289" s="13" t="str">
        <f t="shared" si="662"/>
        <v/>
      </c>
      <c r="U2289" s="14" t="str">
        <f t="shared" si="663"/>
        <v/>
      </c>
      <c r="V2289" s="13" t="str">
        <f t="shared" si="664"/>
        <v/>
      </c>
      <c r="W2289" s="13" t="str">
        <f t="shared" si="665"/>
        <v/>
      </c>
      <c r="X2289" s="14" t="str">
        <f t="shared" si="666"/>
        <v/>
      </c>
    </row>
    <row r="2290" spans="20:24" x14ac:dyDescent="0.3">
      <c r="T2290" s="13" t="str">
        <f t="shared" si="662"/>
        <v/>
      </c>
      <c r="U2290" s="14" t="str">
        <f t="shared" si="663"/>
        <v/>
      </c>
      <c r="V2290" s="13" t="str">
        <f t="shared" si="664"/>
        <v/>
      </c>
      <c r="W2290" s="13" t="str">
        <f t="shared" si="665"/>
        <v/>
      </c>
      <c r="X2290" s="14" t="str">
        <f t="shared" si="666"/>
        <v/>
      </c>
    </row>
    <row r="2291" spans="20:24" x14ac:dyDescent="0.3">
      <c r="T2291" s="13" t="str">
        <f t="shared" si="662"/>
        <v/>
      </c>
      <c r="U2291" s="14" t="str">
        <f t="shared" si="663"/>
        <v/>
      </c>
      <c r="V2291" s="13" t="str">
        <f t="shared" si="664"/>
        <v/>
      </c>
      <c r="W2291" s="13" t="str">
        <f t="shared" si="665"/>
        <v/>
      </c>
      <c r="X2291" s="14" t="str">
        <f t="shared" si="666"/>
        <v/>
      </c>
    </row>
    <row r="2292" spans="20:24" x14ac:dyDescent="0.3">
      <c r="T2292" s="13" t="str">
        <f t="shared" si="662"/>
        <v/>
      </c>
      <c r="U2292" s="14" t="str">
        <f t="shared" si="663"/>
        <v/>
      </c>
      <c r="V2292" s="13" t="str">
        <f t="shared" si="664"/>
        <v/>
      </c>
      <c r="W2292" s="13" t="str">
        <f t="shared" si="665"/>
        <v/>
      </c>
      <c r="X2292" s="14" t="str">
        <f t="shared" si="666"/>
        <v/>
      </c>
    </row>
    <row r="2293" spans="20:24" x14ac:dyDescent="0.3">
      <c r="T2293" s="13" t="str">
        <f t="shared" si="662"/>
        <v/>
      </c>
      <c r="U2293" s="14" t="str">
        <f t="shared" si="663"/>
        <v/>
      </c>
      <c r="V2293" s="13" t="str">
        <f t="shared" si="664"/>
        <v/>
      </c>
      <c r="W2293" s="13" t="str">
        <f t="shared" si="665"/>
        <v/>
      </c>
      <c r="X2293" s="14" t="str">
        <f t="shared" si="666"/>
        <v/>
      </c>
    </row>
    <row r="2294" spans="20:24" x14ac:dyDescent="0.3">
      <c r="T2294" s="13" t="str">
        <f t="shared" si="662"/>
        <v/>
      </c>
      <c r="U2294" s="14" t="str">
        <f t="shared" si="663"/>
        <v/>
      </c>
      <c r="V2294" s="13" t="str">
        <f t="shared" si="664"/>
        <v/>
      </c>
      <c r="W2294" s="13" t="str">
        <f t="shared" si="665"/>
        <v/>
      </c>
      <c r="X2294" s="14" t="str">
        <f t="shared" si="666"/>
        <v/>
      </c>
    </row>
    <row r="2295" spans="20:24" x14ac:dyDescent="0.3">
      <c r="T2295" s="13" t="str">
        <f t="shared" si="662"/>
        <v/>
      </c>
      <c r="U2295" s="14" t="str">
        <f t="shared" si="663"/>
        <v/>
      </c>
      <c r="V2295" s="13" t="str">
        <f t="shared" si="664"/>
        <v/>
      </c>
      <c r="W2295" s="13" t="str">
        <f t="shared" si="665"/>
        <v/>
      </c>
      <c r="X2295" s="14" t="str">
        <f t="shared" si="666"/>
        <v/>
      </c>
    </row>
    <row r="2296" spans="20:24" x14ac:dyDescent="0.3">
      <c r="T2296" s="13" t="str">
        <f t="shared" si="662"/>
        <v/>
      </c>
      <c r="U2296" s="14" t="str">
        <f t="shared" si="663"/>
        <v/>
      </c>
      <c r="V2296" s="13" t="str">
        <f t="shared" si="664"/>
        <v/>
      </c>
      <c r="W2296" s="13" t="str">
        <f t="shared" si="665"/>
        <v/>
      </c>
      <c r="X2296" s="14" t="str">
        <f t="shared" si="666"/>
        <v/>
      </c>
    </row>
    <row r="2297" spans="20:24" x14ac:dyDescent="0.3">
      <c r="T2297" s="13" t="str">
        <f t="shared" si="662"/>
        <v/>
      </c>
      <c r="U2297" s="14" t="str">
        <f t="shared" si="663"/>
        <v/>
      </c>
      <c r="V2297" s="13" t="str">
        <f t="shared" si="664"/>
        <v/>
      </c>
      <c r="W2297" s="13" t="str">
        <f t="shared" si="665"/>
        <v/>
      </c>
      <c r="X2297" s="14" t="str">
        <f t="shared" si="666"/>
        <v/>
      </c>
    </row>
    <row r="2298" spans="20:24" x14ac:dyDescent="0.3">
      <c r="T2298" s="13" t="str">
        <f t="shared" si="662"/>
        <v/>
      </c>
      <c r="U2298" s="14" t="str">
        <f t="shared" si="663"/>
        <v/>
      </c>
      <c r="V2298" s="13" t="str">
        <f t="shared" si="664"/>
        <v/>
      </c>
      <c r="W2298" s="13" t="str">
        <f t="shared" si="665"/>
        <v/>
      </c>
      <c r="X2298" s="14" t="str">
        <f t="shared" si="666"/>
        <v/>
      </c>
    </row>
    <row r="2299" spans="20:24" x14ac:dyDescent="0.3">
      <c r="T2299" s="13" t="str">
        <f t="shared" si="662"/>
        <v/>
      </c>
      <c r="U2299" s="14" t="str">
        <f t="shared" si="663"/>
        <v/>
      </c>
      <c r="V2299" s="13" t="str">
        <f t="shared" si="664"/>
        <v/>
      </c>
      <c r="W2299" s="13" t="str">
        <f t="shared" si="665"/>
        <v/>
      </c>
      <c r="X2299" s="14" t="str">
        <f t="shared" si="666"/>
        <v/>
      </c>
    </row>
    <row r="2300" spans="20:24" x14ac:dyDescent="0.3">
      <c r="T2300" s="13" t="str">
        <f t="shared" si="662"/>
        <v/>
      </c>
      <c r="U2300" s="14" t="str">
        <f t="shared" si="663"/>
        <v/>
      </c>
      <c r="V2300" s="13" t="str">
        <f t="shared" si="664"/>
        <v/>
      </c>
      <c r="W2300" s="13" t="str">
        <f t="shared" si="665"/>
        <v/>
      </c>
      <c r="X2300" s="14" t="str">
        <f t="shared" si="666"/>
        <v/>
      </c>
    </row>
    <row r="2301" spans="20:24" x14ac:dyDescent="0.3">
      <c r="T2301" s="13" t="str">
        <f t="shared" si="662"/>
        <v/>
      </c>
      <c r="U2301" s="14" t="str">
        <f t="shared" si="663"/>
        <v/>
      </c>
      <c r="V2301" s="13" t="str">
        <f t="shared" si="664"/>
        <v/>
      </c>
      <c r="W2301" s="13" t="str">
        <f t="shared" si="665"/>
        <v/>
      </c>
      <c r="X2301" s="14" t="str">
        <f t="shared" si="666"/>
        <v/>
      </c>
    </row>
    <row r="2302" spans="20:24" x14ac:dyDescent="0.3">
      <c r="T2302" s="13" t="str">
        <f t="shared" si="662"/>
        <v/>
      </c>
      <c r="U2302" s="14" t="str">
        <f t="shared" si="663"/>
        <v/>
      </c>
      <c r="V2302" s="13" t="str">
        <f t="shared" si="664"/>
        <v/>
      </c>
      <c r="W2302" s="13" t="str">
        <f t="shared" si="665"/>
        <v/>
      </c>
      <c r="X2302" s="14" t="str">
        <f t="shared" si="666"/>
        <v/>
      </c>
    </row>
    <row r="2303" spans="20:24" x14ac:dyDescent="0.3">
      <c r="T2303" s="13" t="str">
        <f t="shared" si="662"/>
        <v/>
      </c>
      <c r="U2303" s="14" t="str">
        <f t="shared" si="663"/>
        <v/>
      </c>
      <c r="V2303" s="13" t="str">
        <f t="shared" si="664"/>
        <v/>
      </c>
      <c r="W2303" s="13" t="str">
        <f t="shared" si="665"/>
        <v/>
      </c>
      <c r="X2303" s="14" t="str">
        <f t="shared" si="666"/>
        <v/>
      </c>
    </row>
    <row r="2304" spans="20:24" x14ac:dyDescent="0.3">
      <c r="T2304" s="13" t="str">
        <f t="shared" si="662"/>
        <v/>
      </c>
      <c r="U2304" s="14" t="str">
        <f t="shared" si="663"/>
        <v/>
      </c>
      <c r="V2304" s="13" t="str">
        <f t="shared" si="664"/>
        <v/>
      </c>
      <c r="W2304" s="13" t="str">
        <f t="shared" si="665"/>
        <v/>
      </c>
      <c r="X2304" s="14" t="str">
        <f t="shared" si="666"/>
        <v/>
      </c>
    </row>
    <row r="2305" spans="20:24" x14ac:dyDescent="0.3">
      <c r="T2305" s="13" t="str">
        <f t="shared" si="662"/>
        <v/>
      </c>
      <c r="U2305" s="14" t="str">
        <f t="shared" si="663"/>
        <v/>
      </c>
      <c r="V2305" s="13" t="str">
        <f t="shared" si="664"/>
        <v/>
      </c>
      <c r="W2305" s="13" t="str">
        <f t="shared" si="665"/>
        <v/>
      </c>
      <c r="X2305" s="14" t="str">
        <f t="shared" si="666"/>
        <v/>
      </c>
    </row>
    <row r="2306" spans="20:24" x14ac:dyDescent="0.3">
      <c r="T2306" s="13" t="str">
        <f t="shared" si="662"/>
        <v/>
      </c>
      <c r="U2306" s="14" t="str">
        <f t="shared" si="663"/>
        <v/>
      </c>
      <c r="V2306" s="13" t="str">
        <f t="shared" si="664"/>
        <v/>
      </c>
      <c r="W2306" s="13" t="str">
        <f t="shared" si="665"/>
        <v/>
      </c>
      <c r="X2306" s="14" t="str">
        <f t="shared" si="666"/>
        <v/>
      </c>
    </row>
    <row r="2307" spans="20:24" x14ac:dyDescent="0.3">
      <c r="T2307" s="13" t="str">
        <f t="shared" si="662"/>
        <v/>
      </c>
      <c r="U2307" s="14" t="str">
        <f t="shared" si="663"/>
        <v/>
      </c>
      <c r="V2307" s="13" t="str">
        <f t="shared" si="664"/>
        <v/>
      </c>
      <c r="W2307" s="13" t="str">
        <f t="shared" si="665"/>
        <v/>
      </c>
      <c r="X2307" s="14" t="str">
        <f t="shared" si="666"/>
        <v/>
      </c>
    </row>
    <row r="2308" spans="20:24" x14ac:dyDescent="0.3">
      <c r="T2308" s="13" t="str">
        <f t="shared" si="662"/>
        <v/>
      </c>
      <c r="U2308" s="14" t="str">
        <f t="shared" si="663"/>
        <v/>
      </c>
      <c r="V2308" s="13" t="str">
        <f t="shared" si="664"/>
        <v/>
      </c>
      <c r="W2308" s="13" t="str">
        <f t="shared" si="665"/>
        <v/>
      </c>
      <c r="X2308" s="14" t="str">
        <f t="shared" si="666"/>
        <v/>
      </c>
    </row>
    <row r="2309" spans="20:24" x14ac:dyDescent="0.3">
      <c r="T2309" s="13" t="str">
        <f t="shared" si="662"/>
        <v/>
      </c>
      <c r="U2309" s="14" t="str">
        <f t="shared" si="663"/>
        <v/>
      </c>
      <c r="V2309" s="13" t="str">
        <f t="shared" si="664"/>
        <v/>
      </c>
      <c r="W2309" s="13" t="str">
        <f t="shared" si="665"/>
        <v/>
      </c>
      <c r="X2309" s="14" t="str">
        <f t="shared" si="666"/>
        <v/>
      </c>
    </row>
    <row r="2310" spans="20:24" x14ac:dyDescent="0.3">
      <c r="T2310" s="13" t="str">
        <f t="shared" si="662"/>
        <v/>
      </c>
      <c r="U2310" s="14" t="str">
        <f t="shared" si="663"/>
        <v/>
      </c>
      <c r="V2310" s="13" t="str">
        <f t="shared" si="664"/>
        <v/>
      </c>
      <c r="W2310" s="13" t="str">
        <f t="shared" si="665"/>
        <v/>
      </c>
      <c r="X2310" s="14" t="str">
        <f t="shared" si="666"/>
        <v/>
      </c>
    </row>
    <row r="2311" spans="20:24" x14ac:dyDescent="0.3">
      <c r="T2311" s="13" t="str">
        <f t="shared" si="662"/>
        <v/>
      </c>
      <c r="U2311" s="14" t="str">
        <f t="shared" si="663"/>
        <v/>
      </c>
      <c r="V2311" s="13" t="str">
        <f t="shared" si="664"/>
        <v/>
      </c>
      <c r="W2311" s="13" t="str">
        <f t="shared" si="665"/>
        <v/>
      </c>
      <c r="X2311" s="14" t="str">
        <f t="shared" si="666"/>
        <v/>
      </c>
    </row>
    <row r="2312" spans="20:24" x14ac:dyDescent="0.3">
      <c r="T2312" s="13" t="str">
        <f t="shared" si="662"/>
        <v/>
      </c>
      <c r="U2312" s="14" t="str">
        <f t="shared" si="663"/>
        <v/>
      </c>
      <c r="V2312" s="13" t="str">
        <f t="shared" si="664"/>
        <v/>
      </c>
      <c r="W2312" s="13" t="str">
        <f t="shared" si="665"/>
        <v/>
      </c>
      <c r="X2312" s="14" t="str">
        <f t="shared" si="666"/>
        <v/>
      </c>
    </row>
    <row r="2313" spans="20:24" x14ac:dyDescent="0.3">
      <c r="T2313" s="13" t="str">
        <f t="shared" si="662"/>
        <v/>
      </c>
      <c r="U2313" s="14" t="str">
        <f t="shared" si="663"/>
        <v/>
      </c>
      <c r="V2313" s="13" t="str">
        <f t="shared" si="664"/>
        <v/>
      </c>
      <c r="W2313" s="13" t="str">
        <f t="shared" si="665"/>
        <v/>
      </c>
      <c r="X2313" s="14" t="str">
        <f t="shared" si="666"/>
        <v/>
      </c>
    </row>
    <row r="2314" spans="20:24" x14ac:dyDescent="0.3">
      <c r="T2314" s="13" t="str">
        <f t="shared" si="662"/>
        <v/>
      </c>
      <c r="U2314" s="14" t="str">
        <f t="shared" si="663"/>
        <v/>
      </c>
      <c r="V2314" s="13" t="str">
        <f t="shared" si="664"/>
        <v/>
      </c>
      <c r="W2314" s="13" t="str">
        <f t="shared" si="665"/>
        <v/>
      </c>
      <c r="X2314" s="14" t="str">
        <f t="shared" si="666"/>
        <v/>
      </c>
    </row>
    <row r="2315" spans="20:24" x14ac:dyDescent="0.3">
      <c r="T2315" s="13" t="str">
        <f t="shared" si="662"/>
        <v/>
      </c>
      <c r="U2315" s="14" t="str">
        <f t="shared" si="663"/>
        <v/>
      </c>
      <c r="V2315" s="13" t="str">
        <f t="shared" si="664"/>
        <v/>
      </c>
      <c r="W2315" s="13" t="str">
        <f t="shared" si="665"/>
        <v/>
      </c>
      <c r="X2315" s="14" t="str">
        <f t="shared" si="666"/>
        <v/>
      </c>
    </row>
    <row r="2316" spans="20:24" x14ac:dyDescent="0.3">
      <c r="T2316" s="13" t="str">
        <f t="shared" si="662"/>
        <v/>
      </c>
      <c r="U2316" s="14" t="str">
        <f t="shared" si="663"/>
        <v/>
      </c>
      <c r="V2316" s="13" t="str">
        <f t="shared" si="664"/>
        <v/>
      </c>
      <c r="W2316" s="13" t="str">
        <f t="shared" si="665"/>
        <v/>
      </c>
      <c r="X2316" s="14" t="str">
        <f t="shared" si="666"/>
        <v/>
      </c>
    </row>
    <row r="2317" spans="20:24" x14ac:dyDescent="0.3">
      <c r="T2317" s="13" t="str">
        <f t="shared" si="662"/>
        <v/>
      </c>
      <c r="U2317" s="14" t="str">
        <f t="shared" si="663"/>
        <v/>
      </c>
      <c r="V2317" s="13" t="str">
        <f t="shared" si="664"/>
        <v/>
      </c>
      <c r="W2317" s="13" t="str">
        <f t="shared" si="665"/>
        <v/>
      </c>
      <c r="X2317" s="14" t="str">
        <f t="shared" si="666"/>
        <v/>
      </c>
    </row>
    <row r="2318" spans="20:24" x14ac:dyDescent="0.3">
      <c r="T2318" s="13" t="str">
        <f t="shared" si="662"/>
        <v/>
      </c>
      <c r="U2318" s="14" t="str">
        <f t="shared" si="663"/>
        <v/>
      </c>
      <c r="V2318" s="13" t="str">
        <f t="shared" si="664"/>
        <v/>
      </c>
      <c r="W2318" s="13" t="str">
        <f t="shared" si="665"/>
        <v/>
      </c>
      <c r="X2318" s="14" t="str">
        <f t="shared" si="666"/>
        <v/>
      </c>
    </row>
    <row r="2319" spans="20:24" x14ac:dyDescent="0.3">
      <c r="T2319" s="13" t="str">
        <f t="shared" si="662"/>
        <v/>
      </c>
      <c r="U2319" s="14" t="str">
        <f t="shared" si="663"/>
        <v/>
      </c>
      <c r="V2319" s="13" t="str">
        <f t="shared" si="664"/>
        <v/>
      </c>
      <c r="W2319" s="13" t="str">
        <f t="shared" si="665"/>
        <v/>
      </c>
      <c r="X2319" s="14" t="str">
        <f t="shared" si="666"/>
        <v/>
      </c>
    </row>
    <row r="2320" spans="20:24" x14ac:dyDescent="0.3">
      <c r="T2320" s="13" t="str">
        <f t="shared" si="662"/>
        <v/>
      </c>
      <c r="U2320" s="14" t="str">
        <f t="shared" si="663"/>
        <v/>
      </c>
      <c r="V2320" s="13" t="str">
        <f t="shared" si="664"/>
        <v/>
      </c>
      <c r="W2320" s="13" t="str">
        <f t="shared" si="665"/>
        <v/>
      </c>
      <c r="X2320" s="14" t="str">
        <f t="shared" si="666"/>
        <v/>
      </c>
    </row>
    <row r="2321" spans="20:24" x14ac:dyDescent="0.3">
      <c r="T2321" s="13" t="str">
        <f t="shared" si="662"/>
        <v/>
      </c>
      <c r="U2321" s="14" t="str">
        <f t="shared" si="663"/>
        <v/>
      </c>
      <c r="V2321" s="13" t="str">
        <f t="shared" si="664"/>
        <v/>
      </c>
      <c r="W2321" s="13" t="str">
        <f t="shared" si="665"/>
        <v/>
      </c>
      <c r="X2321" s="14" t="str">
        <f t="shared" si="666"/>
        <v/>
      </c>
    </row>
    <row r="2322" spans="20:24" x14ac:dyDescent="0.3">
      <c r="T2322" s="13" t="str">
        <f t="shared" si="662"/>
        <v/>
      </c>
      <c r="U2322" s="14" t="str">
        <f t="shared" si="663"/>
        <v/>
      </c>
      <c r="V2322" s="13" t="str">
        <f t="shared" si="664"/>
        <v/>
      </c>
      <c r="W2322" s="13" t="str">
        <f t="shared" si="665"/>
        <v/>
      </c>
      <c r="X2322" s="14" t="str">
        <f t="shared" si="666"/>
        <v/>
      </c>
    </row>
    <row r="2323" spans="20:24" x14ac:dyDescent="0.3">
      <c r="T2323" s="13" t="str">
        <f t="shared" ref="T2323:T2386" si="667">IF(A2323="",IF(A2322="","",$T$1),IF(O2323=1,"#",IF(B2323=0,"*",DEC2HEX(R2323))))</f>
        <v/>
      </c>
      <c r="U2323" s="14" t="str">
        <f t="shared" ref="U2323:U2386" si="668">IF(A2323="",IF(A2322="","",$U$1),  IF(B2323=0,Q2323,I2323)  )</f>
        <v/>
      </c>
      <c r="V2323" s="13" t="str">
        <f t="shared" ref="V2323:V2386" si="669">IF(U2323=$U$1,"",IF(A2323="",IF(A2322="","",1),  IF(B2323=0,1,D2323)  ))</f>
        <v/>
      </c>
      <c r="W2323" s="13" t="str">
        <f t="shared" ref="W2323:W2386" si="670">IF(U2323=$U$1,"",IF(A2323="",IF(A2322="","",0),  IF(C2323=0,0,0)  ))</f>
        <v/>
      </c>
      <c r="X2323" s="14" t="str">
        <f t="shared" ref="X2323:X2386" si="671">IF(U2323=$U$1,"",IF(U2323="","",IF(B2323&gt;0,IF(Q2323&lt;&gt;"",Q2323,"No description"),"-")))</f>
        <v/>
      </c>
    </row>
    <row r="2324" spans="20:24" x14ac:dyDescent="0.3">
      <c r="T2324" s="13" t="str">
        <f t="shared" si="667"/>
        <v/>
      </c>
      <c r="U2324" s="14" t="str">
        <f t="shared" si="668"/>
        <v/>
      </c>
      <c r="V2324" s="13" t="str">
        <f t="shared" si="669"/>
        <v/>
      </c>
      <c r="W2324" s="13" t="str">
        <f t="shared" si="670"/>
        <v/>
      </c>
      <c r="X2324" s="14" t="str">
        <f t="shared" si="671"/>
        <v/>
      </c>
    </row>
    <row r="2325" spans="20:24" x14ac:dyDescent="0.3">
      <c r="T2325" s="13" t="str">
        <f t="shared" si="667"/>
        <v/>
      </c>
      <c r="U2325" s="14" t="str">
        <f t="shared" si="668"/>
        <v/>
      </c>
      <c r="V2325" s="13" t="str">
        <f t="shared" si="669"/>
        <v/>
      </c>
      <c r="W2325" s="13" t="str">
        <f t="shared" si="670"/>
        <v/>
      </c>
      <c r="X2325" s="14" t="str">
        <f t="shared" si="671"/>
        <v/>
      </c>
    </row>
    <row r="2326" spans="20:24" x14ac:dyDescent="0.3">
      <c r="T2326" s="13" t="str">
        <f t="shared" si="667"/>
        <v/>
      </c>
      <c r="U2326" s="14" t="str">
        <f t="shared" si="668"/>
        <v/>
      </c>
      <c r="V2326" s="13" t="str">
        <f t="shared" si="669"/>
        <v/>
      </c>
      <c r="W2326" s="13" t="str">
        <f t="shared" si="670"/>
        <v/>
      </c>
      <c r="X2326" s="14" t="str">
        <f t="shared" si="671"/>
        <v/>
      </c>
    </row>
    <row r="2327" spans="20:24" x14ac:dyDescent="0.3">
      <c r="T2327" s="13" t="str">
        <f t="shared" si="667"/>
        <v/>
      </c>
      <c r="U2327" s="14" t="str">
        <f t="shared" si="668"/>
        <v/>
      </c>
      <c r="V2327" s="13" t="str">
        <f t="shared" si="669"/>
        <v/>
      </c>
      <c r="W2327" s="13" t="str">
        <f t="shared" si="670"/>
        <v/>
      </c>
      <c r="X2327" s="14" t="str">
        <f t="shared" si="671"/>
        <v/>
      </c>
    </row>
    <row r="2328" spans="20:24" x14ac:dyDescent="0.3">
      <c r="T2328" s="13" t="str">
        <f t="shared" si="667"/>
        <v/>
      </c>
      <c r="U2328" s="14" t="str">
        <f t="shared" si="668"/>
        <v/>
      </c>
      <c r="V2328" s="13" t="str">
        <f t="shared" si="669"/>
        <v/>
      </c>
      <c r="W2328" s="13" t="str">
        <f t="shared" si="670"/>
        <v/>
      </c>
      <c r="X2328" s="14" t="str">
        <f t="shared" si="671"/>
        <v/>
      </c>
    </row>
    <row r="2329" spans="20:24" x14ac:dyDescent="0.3">
      <c r="T2329" s="13" t="str">
        <f t="shared" si="667"/>
        <v/>
      </c>
      <c r="U2329" s="14" t="str">
        <f t="shared" si="668"/>
        <v/>
      </c>
      <c r="V2329" s="13" t="str">
        <f t="shared" si="669"/>
        <v/>
      </c>
      <c r="W2329" s="13" t="str">
        <f t="shared" si="670"/>
        <v/>
      </c>
      <c r="X2329" s="14" t="str">
        <f t="shared" si="671"/>
        <v/>
      </c>
    </row>
    <row r="2330" spans="20:24" x14ac:dyDescent="0.3">
      <c r="T2330" s="13" t="str">
        <f t="shared" si="667"/>
        <v/>
      </c>
      <c r="U2330" s="14" t="str">
        <f t="shared" si="668"/>
        <v/>
      </c>
      <c r="V2330" s="13" t="str">
        <f t="shared" si="669"/>
        <v/>
      </c>
      <c r="W2330" s="13" t="str">
        <f t="shared" si="670"/>
        <v/>
      </c>
      <c r="X2330" s="14" t="str">
        <f t="shared" si="671"/>
        <v/>
      </c>
    </row>
    <row r="2331" spans="20:24" x14ac:dyDescent="0.3">
      <c r="T2331" s="13" t="str">
        <f t="shared" si="667"/>
        <v/>
      </c>
      <c r="U2331" s="14" t="str">
        <f t="shared" si="668"/>
        <v/>
      </c>
      <c r="V2331" s="13" t="str">
        <f t="shared" si="669"/>
        <v/>
      </c>
      <c r="W2331" s="13" t="str">
        <f t="shared" si="670"/>
        <v/>
      </c>
      <c r="X2331" s="14" t="str">
        <f t="shared" si="671"/>
        <v/>
      </c>
    </row>
    <row r="2332" spans="20:24" x14ac:dyDescent="0.3">
      <c r="T2332" s="13" t="str">
        <f t="shared" si="667"/>
        <v/>
      </c>
      <c r="U2332" s="14" t="str">
        <f t="shared" si="668"/>
        <v/>
      </c>
      <c r="V2332" s="13" t="str">
        <f t="shared" si="669"/>
        <v/>
      </c>
      <c r="W2332" s="13" t="str">
        <f t="shared" si="670"/>
        <v/>
      </c>
      <c r="X2332" s="14" t="str">
        <f t="shared" si="671"/>
        <v/>
      </c>
    </row>
    <row r="2333" spans="20:24" x14ac:dyDescent="0.3">
      <c r="T2333" s="13" t="str">
        <f t="shared" si="667"/>
        <v/>
      </c>
      <c r="U2333" s="14" t="str">
        <f t="shared" si="668"/>
        <v/>
      </c>
      <c r="V2333" s="13" t="str">
        <f t="shared" si="669"/>
        <v/>
      </c>
      <c r="W2333" s="13" t="str">
        <f t="shared" si="670"/>
        <v/>
      </c>
      <c r="X2333" s="14" t="str">
        <f t="shared" si="671"/>
        <v/>
      </c>
    </row>
    <row r="2334" spans="20:24" x14ac:dyDescent="0.3">
      <c r="T2334" s="13" t="str">
        <f t="shared" si="667"/>
        <v/>
      </c>
      <c r="U2334" s="14" t="str">
        <f t="shared" si="668"/>
        <v/>
      </c>
      <c r="V2334" s="13" t="str">
        <f t="shared" si="669"/>
        <v/>
      </c>
      <c r="W2334" s="13" t="str">
        <f t="shared" si="670"/>
        <v/>
      </c>
      <c r="X2334" s="14" t="str">
        <f t="shared" si="671"/>
        <v/>
      </c>
    </row>
    <row r="2335" spans="20:24" x14ac:dyDescent="0.3">
      <c r="T2335" s="13" t="str">
        <f t="shared" si="667"/>
        <v/>
      </c>
      <c r="U2335" s="14" t="str">
        <f t="shared" si="668"/>
        <v/>
      </c>
      <c r="V2335" s="13" t="str">
        <f t="shared" si="669"/>
        <v/>
      </c>
      <c r="W2335" s="13" t="str">
        <f t="shared" si="670"/>
        <v/>
      </c>
      <c r="X2335" s="14" t="str">
        <f t="shared" si="671"/>
        <v/>
      </c>
    </row>
    <row r="2336" spans="20:24" x14ac:dyDescent="0.3">
      <c r="T2336" s="13" t="str">
        <f t="shared" si="667"/>
        <v/>
      </c>
      <c r="U2336" s="14" t="str">
        <f t="shared" si="668"/>
        <v/>
      </c>
      <c r="V2336" s="13" t="str">
        <f t="shared" si="669"/>
        <v/>
      </c>
      <c r="W2336" s="13" t="str">
        <f t="shared" si="670"/>
        <v/>
      </c>
      <c r="X2336" s="14" t="str">
        <f t="shared" si="671"/>
        <v/>
      </c>
    </row>
    <row r="2337" spans="20:24" x14ac:dyDescent="0.3">
      <c r="T2337" s="13" t="str">
        <f t="shared" si="667"/>
        <v/>
      </c>
      <c r="U2337" s="14" t="str">
        <f t="shared" si="668"/>
        <v/>
      </c>
      <c r="V2337" s="13" t="str">
        <f t="shared" si="669"/>
        <v/>
      </c>
      <c r="W2337" s="13" t="str">
        <f t="shared" si="670"/>
        <v/>
      </c>
      <c r="X2337" s="14" t="str">
        <f t="shared" si="671"/>
        <v/>
      </c>
    </row>
    <row r="2338" spans="20:24" x14ac:dyDescent="0.3">
      <c r="T2338" s="13" t="str">
        <f t="shared" si="667"/>
        <v/>
      </c>
      <c r="U2338" s="14" t="str">
        <f t="shared" si="668"/>
        <v/>
      </c>
      <c r="V2338" s="13" t="str">
        <f t="shared" si="669"/>
        <v/>
      </c>
      <c r="W2338" s="13" t="str">
        <f t="shared" si="670"/>
        <v/>
      </c>
      <c r="X2338" s="14" t="str">
        <f t="shared" si="671"/>
        <v/>
      </c>
    </row>
    <row r="2339" spans="20:24" x14ac:dyDescent="0.3">
      <c r="T2339" s="13" t="str">
        <f t="shared" si="667"/>
        <v/>
      </c>
      <c r="U2339" s="14" t="str">
        <f t="shared" si="668"/>
        <v/>
      </c>
      <c r="V2339" s="13" t="str">
        <f t="shared" si="669"/>
        <v/>
      </c>
      <c r="W2339" s="13" t="str">
        <f t="shared" si="670"/>
        <v/>
      </c>
      <c r="X2339" s="14" t="str">
        <f t="shared" si="671"/>
        <v/>
      </c>
    </row>
    <row r="2340" spans="20:24" x14ac:dyDescent="0.3">
      <c r="T2340" s="13" t="str">
        <f t="shared" si="667"/>
        <v/>
      </c>
      <c r="U2340" s="14" t="str">
        <f t="shared" si="668"/>
        <v/>
      </c>
      <c r="V2340" s="13" t="str">
        <f t="shared" si="669"/>
        <v/>
      </c>
      <c r="W2340" s="13" t="str">
        <f t="shared" si="670"/>
        <v/>
      </c>
      <c r="X2340" s="14" t="str">
        <f t="shared" si="671"/>
        <v/>
      </c>
    </row>
    <row r="2341" spans="20:24" x14ac:dyDescent="0.3">
      <c r="T2341" s="13" t="str">
        <f t="shared" si="667"/>
        <v/>
      </c>
      <c r="U2341" s="14" t="str">
        <f t="shared" si="668"/>
        <v/>
      </c>
      <c r="V2341" s="13" t="str">
        <f t="shared" si="669"/>
        <v/>
      </c>
      <c r="W2341" s="13" t="str">
        <f t="shared" si="670"/>
        <v/>
      </c>
      <c r="X2341" s="14" t="str">
        <f t="shared" si="671"/>
        <v/>
      </c>
    </row>
    <row r="2342" spans="20:24" x14ac:dyDescent="0.3">
      <c r="T2342" s="13" t="str">
        <f t="shared" si="667"/>
        <v/>
      </c>
      <c r="U2342" s="14" t="str">
        <f t="shared" si="668"/>
        <v/>
      </c>
      <c r="V2342" s="13" t="str">
        <f t="shared" si="669"/>
        <v/>
      </c>
      <c r="W2342" s="13" t="str">
        <f t="shared" si="670"/>
        <v/>
      </c>
      <c r="X2342" s="14" t="str">
        <f t="shared" si="671"/>
        <v/>
      </c>
    </row>
    <row r="2343" spans="20:24" x14ac:dyDescent="0.3">
      <c r="T2343" s="13" t="str">
        <f t="shared" si="667"/>
        <v/>
      </c>
      <c r="U2343" s="14" t="str">
        <f t="shared" si="668"/>
        <v/>
      </c>
      <c r="V2343" s="13" t="str">
        <f t="shared" si="669"/>
        <v/>
      </c>
      <c r="W2343" s="13" t="str">
        <f t="shared" si="670"/>
        <v/>
      </c>
      <c r="X2343" s="14" t="str">
        <f t="shared" si="671"/>
        <v/>
      </c>
    </row>
    <row r="2344" spans="20:24" x14ac:dyDescent="0.3">
      <c r="T2344" s="13" t="str">
        <f t="shared" si="667"/>
        <v/>
      </c>
      <c r="U2344" s="14" t="str">
        <f t="shared" si="668"/>
        <v/>
      </c>
      <c r="V2344" s="13" t="str">
        <f t="shared" si="669"/>
        <v/>
      </c>
      <c r="W2344" s="13" t="str">
        <f t="shared" si="670"/>
        <v/>
      </c>
      <c r="X2344" s="14" t="str">
        <f t="shared" si="671"/>
        <v/>
      </c>
    </row>
    <row r="2345" spans="20:24" x14ac:dyDescent="0.3">
      <c r="T2345" s="13" t="str">
        <f t="shared" si="667"/>
        <v/>
      </c>
      <c r="U2345" s="14" t="str">
        <f t="shared" si="668"/>
        <v/>
      </c>
      <c r="V2345" s="13" t="str">
        <f t="shared" si="669"/>
        <v/>
      </c>
      <c r="W2345" s="13" t="str">
        <f t="shared" si="670"/>
        <v/>
      </c>
      <c r="X2345" s="14" t="str">
        <f t="shared" si="671"/>
        <v/>
      </c>
    </row>
    <row r="2346" spans="20:24" x14ac:dyDescent="0.3">
      <c r="T2346" s="13" t="str">
        <f t="shared" si="667"/>
        <v/>
      </c>
      <c r="U2346" s="14" t="str">
        <f t="shared" si="668"/>
        <v/>
      </c>
      <c r="V2346" s="13" t="str">
        <f t="shared" si="669"/>
        <v/>
      </c>
      <c r="W2346" s="13" t="str">
        <f t="shared" si="670"/>
        <v/>
      </c>
      <c r="X2346" s="14" t="str">
        <f t="shared" si="671"/>
        <v/>
      </c>
    </row>
    <row r="2347" spans="20:24" x14ac:dyDescent="0.3">
      <c r="T2347" s="13" t="str">
        <f t="shared" si="667"/>
        <v/>
      </c>
      <c r="U2347" s="14" t="str">
        <f t="shared" si="668"/>
        <v/>
      </c>
      <c r="V2347" s="13" t="str">
        <f t="shared" si="669"/>
        <v/>
      </c>
      <c r="W2347" s="13" t="str">
        <f t="shared" si="670"/>
        <v/>
      </c>
      <c r="X2347" s="14" t="str">
        <f t="shared" si="671"/>
        <v/>
      </c>
    </row>
    <row r="2348" spans="20:24" x14ac:dyDescent="0.3">
      <c r="T2348" s="13" t="str">
        <f t="shared" si="667"/>
        <v/>
      </c>
      <c r="U2348" s="14" t="str">
        <f t="shared" si="668"/>
        <v/>
      </c>
      <c r="V2348" s="13" t="str">
        <f t="shared" si="669"/>
        <v/>
      </c>
      <c r="W2348" s="13" t="str">
        <f t="shared" si="670"/>
        <v/>
      </c>
      <c r="X2348" s="14" t="str">
        <f t="shared" si="671"/>
        <v/>
      </c>
    </row>
    <row r="2349" spans="20:24" x14ac:dyDescent="0.3">
      <c r="T2349" s="13" t="str">
        <f t="shared" si="667"/>
        <v/>
      </c>
      <c r="U2349" s="14" t="str">
        <f t="shared" si="668"/>
        <v/>
      </c>
      <c r="V2349" s="13" t="str">
        <f t="shared" si="669"/>
        <v/>
      </c>
      <c r="W2349" s="13" t="str">
        <f t="shared" si="670"/>
        <v/>
      </c>
      <c r="X2349" s="14" t="str">
        <f t="shared" si="671"/>
        <v/>
      </c>
    </row>
    <row r="2350" spans="20:24" x14ac:dyDescent="0.3">
      <c r="T2350" s="13" t="str">
        <f t="shared" si="667"/>
        <v/>
      </c>
      <c r="U2350" s="14" t="str">
        <f t="shared" si="668"/>
        <v/>
      </c>
      <c r="V2350" s="13" t="str">
        <f t="shared" si="669"/>
        <v/>
      </c>
      <c r="W2350" s="13" t="str">
        <f t="shared" si="670"/>
        <v/>
      </c>
      <c r="X2350" s="14" t="str">
        <f t="shared" si="671"/>
        <v/>
      </c>
    </row>
    <row r="2351" spans="20:24" x14ac:dyDescent="0.3">
      <c r="T2351" s="13" t="str">
        <f t="shared" si="667"/>
        <v/>
      </c>
      <c r="U2351" s="14" t="str">
        <f t="shared" si="668"/>
        <v/>
      </c>
      <c r="V2351" s="13" t="str">
        <f t="shared" si="669"/>
        <v/>
      </c>
      <c r="W2351" s="13" t="str">
        <f t="shared" si="670"/>
        <v/>
      </c>
      <c r="X2351" s="14" t="str">
        <f t="shared" si="671"/>
        <v/>
      </c>
    </row>
    <row r="2352" spans="20:24" x14ac:dyDescent="0.3">
      <c r="T2352" s="13" t="str">
        <f t="shared" si="667"/>
        <v/>
      </c>
      <c r="U2352" s="14" t="str">
        <f t="shared" si="668"/>
        <v/>
      </c>
      <c r="V2352" s="13" t="str">
        <f t="shared" si="669"/>
        <v/>
      </c>
      <c r="W2352" s="13" t="str">
        <f t="shared" si="670"/>
        <v/>
      </c>
      <c r="X2352" s="14" t="str">
        <f t="shared" si="671"/>
        <v/>
      </c>
    </row>
    <row r="2353" spans="20:24" x14ac:dyDescent="0.3">
      <c r="T2353" s="13" t="str">
        <f t="shared" si="667"/>
        <v/>
      </c>
      <c r="U2353" s="14" t="str">
        <f t="shared" si="668"/>
        <v/>
      </c>
      <c r="V2353" s="13" t="str">
        <f t="shared" si="669"/>
        <v/>
      </c>
      <c r="W2353" s="13" t="str">
        <f t="shared" si="670"/>
        <v/>
      </c>
      <c r="X2353" s="14" t="str">
        <f t="shared" si="671"/>
        <v/>
      </c>
    </row>
    <row r="2354" spans="20:24" x14ac:dyDescent="0.3">
      <c r="T2354" s="13" t="str">
        <f t="shared" si="667"/>
        <v/>
      </c>
      <c r="U2354" s="14" t="str">
        <f t="shared" si="668"/>
        <v/>
      </c>
      <c r="V2354" s="13" t="str">
        <f t="shared" si="669"/>
        <v/>
      </c>
      <c r="W2354" s="13" t="str">
        <f t="shared" si="670"/>
        <v/>
      </c>
      <c r="X2354" s="14" t="str">
        <f t="shared" si="671"/>
        <v/>
      </c>
    </row>
    <row r="2355" spans="20:24" x14ac:dyDescent="0.3">
      <c r="T2355" s="13" t="str">
        <f t="shared" si="667"/>
        <v/>
      </c>
      <c r="U2355" s="14" t="str">
        <f t="shared" si="668"/>
        <v/>
      </c>
      <c r="V2355" s="13" t="str">
        <f t="shared" si="669"/>
        <v/>
      </c>
      <c r="W2355" s="13" t="str">
        <f t="shared" si="670"/>
        <v/>
      </c>
      <c r="X2355" s="14" t="str">
        <f t="shared" si="671"/>
        <v/>
      </c>
    </row>
    <row r="2356" spans="20:24" x14ac:dyDescent="0.3">
      <c r="T2356" s="13" t="str">
        <f t="shared" si="667"/>
        <v/>
      </c>
      <c r="U2356" s="14" t="str">
        <f t="shared" si="668"/>
        <v/>
      </c>
      <c r="V2356" s="13" t="str">
        <f t="shared" si="669"/>
        <v/>
      </c>
      <c r="W2356" s="13" t="str">
        <f t="shared" si="670"/>
        <v/>
      </c>
      <c r="X2356" s="14" t="str">
        <f t="shared" si="671"/>
        <v/>
      </c>
    </row>
    <row r="2357" spans="20:24" x14ac:dyDescent="0.3">
      <c r="T2357" s="13" t="str">
        <f t="shared" si="667"/>
        <v/>
      </c>
      <c r="U2357" s="14" t="str">
        <f t="shared" si="668"/>
        <v/>
      </c>
      <c r="V2357" s="13" t="str">
        <f t="shared" si="669"/>
        <v/>
      </c>
      <c r="W2357" s="13" t="str">
        <f t="shared" si="670"/>
        <v/>
      </c>
      <c r="X2357" s="14" t="str">
        <f t="shared" si="671"/>
        <v/>
      </c>
    </row>
    <row r="2358" spans="20:24" x14ac:dyDescent="0.3">
      <c r="T2358" s="13" t="str">
        <f t="shared" si="667"/>
        <v/>
      </c>
      <c r="U2358" s="14" t="str">
        <f t="shared" si="668"/>
        <v/>
      </c>
      <c r="V2358" s="13" t="str">
        <f t="shared" si="669"/>
        <v/>
      </c>
      <c r="W2358" s="13" t="str">
        <f t="shared" si="670"/>
        <v/>
      </c>
      <c r="X2358" s="14" t="str">
        <f t="shared" si="671"/>
        <v/>
      </c>
    </row>
    <row r="2359" spans="20:24" x14ac:dyDescent="0.3">
      <c r="T2359" s="13" t="str">
        <f t="shared" si="667"/>
        <v/>
      </c>
      <c r="U2359" s="14" t="str">
        <f t="shared" si="668"/>
        <v/>
      </c>
      <c r="V2359" s="13" t="str">
        <f t="shared" si="669"/>
        <v/>
      </c>
      <c r="W2359" s="13" t="str">
        <f t="shared" si="670"/>
        <v/>
      </c>
      <c r="X2359" s="14" t="str">
        <f t="shared" si="671"/>
        <v/>
      </c>
    </row>
    <row r="2360" spans="20:24" x14ac:dyDescent="0.3">
      <c r="T2360" s="13" t="str">
        <f t="shared" si="667"/>
        <v/>
      </c>
      <c r="U2360" s="14" t="str">
        <f t="shared" si="668"/>
        <v/>
      </c>
      <c r="V2360" s="13" t="str">
        <f t="shared" si="669"/>
        <v/>
      </c>
      <c r="W2360" s="13" t="str">
        <f t="shared" si="670"/>
        <v/>
      </c>
      <c r="X2360" s="14" t="str">
        <f t="shared" si="671"/>
        <v/>
      </c>
    </row>
    <row r="2361" spans="20:24" x14ac:dyDescent="0.3">
      <c r="T2361" s="13" t="str">
        <f t="shared" si="667"/>
        <v/>
      </c>
      <c r="U2361" s="14" t="str">
        <f t="shared" si="668"/>
        <v/>
      </c>
      <c r="V2361" s="13" t="str">
        <f t="shared" si="669"/>
        <v/>
      </c>
      <c r="W2361" s="13" t="str">
        <f t="shared" si="670"/>
        <v/>
      </c>
      <c r="X2361" s="14" t="str">
        <f t="shared" si="671"/>
        <v/>
      </c>
    </row>
    <row r="2362" spans="20:24" x14ac:dyDescent="0.3">
      <c r="T2362" s="13" t="str">
        <f t="shared" si="667"/>
        <v/>
      </c>
      <c r="U2362" s="14" t="str">
        <f t="shared" si="668"/>
        <v/>
      </c>
      <c r="V2362" s="13" t="str">
        <f t="shared" si="669"/>
        <v/>
      </c>
      <c r="W2362" s="13" t="str">
        <f t="shared" si="670"/>
        <v/>
      </c>
      <c r="X2362" s="14" t="str">
        <f t="shared" si="671"/>
        <v/>
      </c>
    </row>
    <row r="2363" spans="20:24" x14ac:dyDescent="0.3">
      <c r="T2363" s="13" t="str">
        <f t="shared" si="667"/>
        <v/>
      </c>
      <c r="U2363" s="14" t="str">
        <f t="shared" si="668"/>
        <v/>
      </c>
      <c r="V2363" s="13" t="str">
        <f t="shared" si="669"/>
        <v/>
      </c>
      <c r="W2363" s="13" t="str">
        <f t="shared" si="670"/>
        <v/>
      </c>
      <c r="X2363" s="14" t="str">
        <f t="shared" si="671"/>
        <v/>
      </c>
    </row>
    <row r="2364" spans="20:24" x14ac:dyDescent="0.3">
      <c r="T2364" s="13" t="str">
        <f t="shared" si="667"/>
        <v/>
      </c>
      <c r="U2364" s="14" t="str">
        <f t="shared" si="668"/>
        <v/>
      </c>
      <c r="V2364" s="13" t="str">
        <f t="shared" si="669"/>
        <v/>
      </c>
      <c r="W2364" s="13" t="str">
        <f t="shared" si="670"/>
        <v/>
      </c>
      <c r="X2364" s="14" t="str">
        <f t="shared" si="671"/>
        <v/>
      </c>
    </row>
    <row r="2365" spans="20:24" x14ac:dyDescent="0.3">
      <c r="T2365" s="13" t="str">
        <f t="shared" si="667"/>
        <v/>
      </c>
      <c r="U2365" s="14" t="str">
        <f t="shared" si="668"/>
        <v/>
      </c>
      <c r="V2365" s="13" t="str">
        <f t="shared" si="669"/>
        <v/>
      </c>
      <c r="W2365" s="13" t="str">
        <f t="shared" si="670"/>
        <v/>
      </c>
      <c r="X2365" s="14" t="str">
        <f t="shared" si="671"/>
        <v/>
      </c>
    </row>
    <row r="2366" spans="20:24" x14ac:dyDescent="0.3">
      <c r="T2366" s="13" t="str">
        <f t="shared" si="667"/>
        <v/>
      </c>
      <c r="U2366" s="14" t="str">
        <f t="shared" si="668"/>
        <v/>
      </c>
      <c r="V2366" s="13" t="str">
        <f t="shared" si="669"/>
        <v/>
      </c>
      <c r="W2366" s="13" t="str">
        <f t="shared" si="670"/>
        <v/>
      </c>
      <c r="X2366" s="14" t="str">
        <f t="shared" si="671"/>
        <v/>
      </c>
    </row>
    <row r="2367" spans="20:24" x14ac:dyDescent="0.3">
      <c r="T2367" s="13" t="str">
        <f t="shared" si="667"/>
        <v/>
      </c>
      <c r="U2367" s="14" t="str">
        <f t="shared" si="668"/>
        <v/>
      </c>
      <c r="V2367" s="13" t="str">
        <f t="shared" si="669"/>
        <v/>
      </c>
      <c r="W2367" s="13" t="str">
        <f t="shared" si="670"/>
        <v/>
      </c>
      <c r="X2367" s="14" t="str">
        <f t="shared" si="671"/>
        <v/>
      </c>
    </row>
    <row r="2368" spans="20:24" x14ac:dyDescent="0.3">
      <c r="T2368" s="13" t="str">
        <f t="shared" si="667"/>
        <v/>
      </c>
      <c r="U2368" s="14" t="str">
        <f t="shared" si="668"/>
        <v/>
      </c>
      <c r="V2368" s="13" t="str">
        <f t="shared" si="669"/>
        <v/>
      </c>
      <c r="W2368" s="13" t="str">
        <f t="shared" si="670"/>
        <v/>
      </c>
      <c r="X2368" s="14" t="str">
        <f t="shared" si="671"/>
        <v/>
      </c>
    </row>
    <row r="2369" spans="20:24" x14ac:dyDescent="0.3">
      <c r="T2369" s="13" t="str">
        <f t="shared" si="667"/>
        <v/>
      </c>
      <c r="U2369" s="14" t="str">
        <f t="shared" si="668"/>
        <v/>
      </c>
      <c r="V2369" s="13" t="str">
        <f t="shared" si="669"/>
        <v/>
      </c>
      <c r="W2369" s="13" t="str">
        <f t="shared" si="670"/>
        <v/>
      </c>
      <c r="X2369" s="14" t="str">
        <f t="shared" si="671"/>
        <v/>
      </c>
    </row>
    <row r="2370" spans="20:24" x14ac:dyDescent="0.3">
      <c r="T2370" s="13" t="str">
        <f t="shared" si="667"/>
        <v/>
      </c>
      <c r="U2370" s="14" t="str">
        <f t="shared" si="668"/>
        <v/>
      </c>
      <c r="V2370" s="13" t="str">
        <f t="shared" si="669"/>
        <v/>
      </c>
      <c r="W2370" s="13" t="str">
        <f t="shared" si="670"/>
        <v/>
      </c>
      <c r="X2370" s="14" t="str">
        <f t="shared" si="671"/>
        <v/>
      </c>
    </row>
    <row r="2371" spans="20:24" x14ac:dyDescent="0.3">
      <c r="T2371" s="13" t="str">
        <f t="shared" si="667"/>
        <v/>
      </c>
      <c r="U2371" s="14" t="str">
        <f t="shared" si="668"/>
        <v/>
      </c>
      <c r="V2371" s="13" t="str">
        <f t="shared" si="669"/>
        <v/>
      </c>
      <c r="W2371" s="13" t="str">
        <f t="shared" si="670"/>
        <v/>
      </c>
      <c r="X2371" s="14" t="str">
        <f t="shared" si="671"/>
        <v/>
      </c>
    </row>
    <row r="2372" spans="20:24" x14ac:dyDescent="0.3">
      <c r="T2372" s="13" t="str">
        <f t="shared" si="667"/>
        <v/>
      </c>
      <c r="U2372" s="14" t="str">
        <f t="shared" si="668"/>
        <v/>
      </c>
      <c r="V2372" s="13" t="str">
        <f t="shared" si="669"/>
        <v/>
      </c>
      <c r="W2372" s="13" t="str">
        <f t="shared" si="670"/>
        <v/>
      </c>
      <c r="X2372" s="14" t="str">
        <f t="shared" si="671"/>
        <v/>
      </c>
    </row>
    <row r="2373" spans="20:24" x14ac:dyDescent="0.3">
      <c r="T2373" s="13" t="str">
        <f t="shared" si="667"/>
        <v/>
      </c>
      <c r="U2373" s="14" t="str">
        <f t="shared" si="668"/>
        <v/>
      </c>
      <c r="V2373" s="13" t="str">
        <f t="shared" si="669"/>
        <v/>
      </c>
      <c r="W2373" s="13" t="str">
        <f t="shared" si="670"/>
        <v/>
      </c>
      <c r="X2373" s="14" t="str">
        <f t="shared" si="671"/>
        <v/>
      </c>
    </row>
    <row r="2374" spans="20:24" x14ac:dyDescent="0.3">
      <c r="T2374" s="13" t="str">
        <f t="shared" si="667"/>
        <v/>
      </c>
      <c r="U2374" s="14" t="str">
        <f t="shared" si="668"/>
        <v/>
      </c>
      <c r="V2374" s="13" t="str">
        <f t="shared" si="669"/>
        <v/>
      </c>
      <c r="W2374" s="13" t="str">
        <f t="shared" si="670"/>
        <v/>
      </c>
      <c r="X2374" s="14" t="str">
        <f t="shared" si="671"/>
        <v/>
      </c>
    </row>
    <row r="2375" spans="20:24" x14ac:dyDescent="0.3">
      <c r="T2375" s="13" t="str">
        <f t="shared" si="667"/>
        <v/>
      </c>
      <c r="U2375" s="14" t="str">
        <f t="shared" si="668"/>
        <v/>
      </c>
      <c r="V2375" s="13" t="str">
        <f t="shared" si="669"/>
        <v/>
      </c>
      <c r="W2375" s="13" t="str">
        <f t="shared" si="670"/>
        <v/>
      </c>
      <c r="X2375" s="14" t="str">
        <f t="shared" si="671"/>
        <v/>
      </c>
    </row>
    <row r="2376" spans="20:24" x14ac:dyDescent="0.3">
      <c r="T2376" s="13" t="str">
        <f t="shared" si="667"/>
        <v/>
      </c>
      <c r="U2376" s="14" t="str">
        <f t="shared" si="668"/>
        <v/>
      </c>
      <c r="V2376" s="13" t="str">
        <f t="shared" si="669"/>
        <v/>
      </c>
      <c r="W2376" s="13" t="str">
        <f t="shared" si="670"/>
        <v/>
      </c>
      <c r="X2376" s="14" t="str">
        <f t="shared" si="671"/>
        <v/>
      </c>
    </row>
    <row r="2377" spans="20:24" x14ac:dyDescent="0.3">
      <c r="T2377" s="13" t="str">
        <f t="shared" si="667"/>
        <v/>
      </c>
      <c r="U2377" s="14" t="str">
        <f t="shared" si="668"/>
        <v/>
      </c>
      <c r="V2377" s="13" t="str">
        <f t="shared" si="669"/>
        <v/>
      </c>
      <c r="W2377" s="13" t="str">
        <f t="shared" si="670"/>
        <v/>
      </c>
      <c r="X2377" s="14" t="str">
        <f t="shared" si="671"/>
        <v/>
      </c>
    </row>
    <row r="2378" spans="20:24" x14ac:dyDescent="0.3">
      <c r="T2378" s="13" t="str">
        <f t="shared" si="667"/>
        <v/>
      </c>
      <c r="U2378" s="14" t="str">
        <f t="shared" si="668"/>
        <v/>
      </c>
      <c r="V2378" s="13" t="str">
        <f t="shared" si="669"/>
        <v/>
      </c>
      <c r="W2378" s="13" t="str">
        <f t="shared" si="670"/>
        <v/>
      </c>
      <c r="X2378" s="14" t="str">
        <f t="shared" si="671"/>
        <v/>
      </c>
    </row>
    <row r="2379" spans="20:24" x14ac:dyDescent="0.3">
      <c r="T2379" s="13" t="str">
        <f t="shared" si="667"/>
        <v/>
      </c>
      <c r="U2379" s="14" t="str">
        <f t="shared" si="668"/>
        <v/>
      </c>
      <c r="V2379" s="13" t="str">
        <f t="shared" si="669"/>
        <v/>
      </c>
      <c r="W2379" s="13" t="str">
        <f t="shared" si="670"/>
        <v/>
      </c>
      <c r="X2379" s="14" t="str">
        <f t="shared" si="671"/>
        <v/>
      </c>
    </row>
    <row r="2380" spans="20:24" x14ac:dyDescent="0.3">
      <c r="T2380" s="13" t="str">
        <f t="shared" si="667"/>
        <v/>
      </c>
      <c r="U2380" s="14" t="str">
        <f t="shared" si="668"/>
        <v/>
      </c>
      <c r="V2380" s="13" t="str">
        <f t="shared" si="669"/>
        <v/>
      </c>
      <c r="W2380" s="13" t="str">
        <f t="shared" si="670"/>
        <v/>
      </c>
      <c r="X2380" s="14" t="str">
        <f t="shared" si="671"/>
        <v/>
      </c>
    </row>
    <row r="2381" spans="20:24" x14ac:dyDescent="0.3">
      <c r="T2381" s="13" t="str">
        <f t="shared" si="667"/>
        <v/>
      </c>
      <c r="U2381" s="14" t="str">
        <f t="shared" si="668"/>
        <v/>
      </c>
      <c r="V2381" s="13" t="str">
        <f t="shared" si="669"/>
        <v/>
      </c>
      <c r="W2381" s="13" t="str">
        <f t="shared" si="670"/>
        <v/>
      </c>
      <c r="X2381" s="14" t="str">
        <f t="shared" si="671"/>
        <v/>
      </c>
    </row>
    <row r="2382" spans="20:24" x14ac:dyDescent="0.3">
      <c r="T2382" s="13" t="str">
        <f t="shared" si="667"/>
        <v/>
      </c>
      <c r="U2382" s="14" t="str">
        <f t="shared" si="668"/>
        <v/>
      </c>
      <c r="V2382" s="13" t="str">
        <f t="shared" si="669"/>
        <v/>
      </c>
      <c r="W2382" s="13" t="str">
        <f t="shared" si="670"/>
        <v/>
      </c>
      <c r="X2382" s="14" t="str">
        <f t="shared" si="671"/>
        <v/>
      </c>
    </row>
    <row r="2383" spans="20:24" x14ac:dyDescent="0.3">
      <c r="T2383" s="13" t="str">
        <f t="shared" si="667"/>
        <v/>
      </c>
      <c r="U2383" s="14" t="str">
        <f t="shared" si="668"/>
        <v/>
      </c>
      <c r="V2383" s="13" t="str">
        <f t="shared" si="669"/>
        <v/>
      </c>
      <c r="W2383" s="13" t="str">
        <f t="shared" si="670"/>
        <v/>
      </c>
      <c r="X2383" s="14" t="str">
        <f t="shared" si="671"/>
        <v/>
      </c>
    </row>
    <row r="2384" spans="20:24" x14ac:dyDescent="0.3">
      <c r="T2384" s="13" t="str">
        <f t="shared" si="667"/>
        <v/>
      </c>
      <c r="U2384" s="14" t="str">
        <f t="shared" si="668"/>
        <v/>
      </c>
      <c r="V2384" s="13" t="str">
        <f t="shared" si="669"/>
        <v/>
      </c>
      <c r="W2384" s="13" t="str">
        <f t="shared" si="670"/>
        <v/>
      </c>
      <c r="X2384" s="14" t="str">
        <f t="shared" si="671"/>
        <v/>
      </c>
    </row>
    <row r="2385" spans="20:24" x14ac:dyDescent="0.3">
      <c r="T2385" s="13" t="str">
        <f t="shared" si="667"/>
        <v/>
      </c>
      <c r="U2385" s="14" t="str">
        <f t="shared" si="668"/>
        <v/>
      </c>
      <c r="V2385" s="13" t="str">
        <f t="shared" si="669"/>
        <v/>
      </c>
      <c r="W2385" s="13" t="str">
        <f t="shared" si="670"/>
        <v/>
      </c>
      <c r="X2385" s="14" t="str">
        <f t="shared" si="671"/>
        <v/>
      </c>
    </row>
    <row r="2386" spans="20:24" x14ac:dyDescent="0.3">
      <c r="T2386" s="13" t="str">
        <f t="shared" si="667"/>
        <v/>
      </c>
      <c r="U2386" s="14" t="str">
        <f t="shared" si="668"/>
        <v/>
      </c>
      <c r="V2386" s="13" t="str">
        <f t="shared" si="669"/>
        <v/>
      </c>
      <c r="W2386" s="13" t="str">
        <f t="shared" si="670"/>
        <v/>
      </c>
      <c r="X2386" s="14" t="str">
        <f t="shared" si="671"/>
        <v/>
      </c>
    </row>
    <row r="2387" spans="20:24" x14ac:dyDescent="0.3">
      <c r="T2387" s="13" t="str">
        <f t="shared" ref="T2387:T2450" si="672">IF(A2387="",IF(A2386="","",$T$1),IF(O2387=1,"#",IF(B2387=0,"*",DEC2HEX(R2387))))</f>
        <v/>
      </c>
      <c r="U2387" s="14" t="str">
        <f t="shared" ref="U2387:U2450" si="673">IF(A2387="",IF(A2386="","",$U$1),  IF(B2387=0,Q2387,I2387)  )</f>
        <v/>
      </c>
      <c r="V2387" s="13" t="str">
        <f t="shared" ref="V2387:V2450" si="674">IF(U2387=$U$1,"",IF(A2387="",IF(A2386="","",1),  IF(B2387=0,1,D2387)  ))</f>
        <v/>
      </c>
      <c r="W2387" s="13" t="str">
        <f t="shared" ref="W2387:W2450" si="675">IF(U2387=$U$1,"",IF(A2387="",IF(A2386="","",0),  IF(C2387=0,0,0)  ))</f>
        <v/>
      </c>
      <c r="X2387" s="14" t="str">
        <f t="shared" ref="X2387:X2450" si="676">IF(U2387=$U$1,"",IF(U2387="","",IF(B2387&gt;0,IF(Q2387&lt;&gt;"",Q2387,"No description"),"-")))</f>
        <v/>
      </c>
    </row>
    <row r="2388" spans="20:24" x14ac:dyDescent="0.3">
      <c r="T2388" s="13" t="str">
        <f t="shared" si="672"/>
        <v/>
      </c>
      <c r="U2388" s="14" t="str">
        <f t="shared" si="673"/>
        <v/>
      </c>
      <c r="V2388" s="13" t="str">
        <f t="shared" si="674"/>
        <v/>
      </c>
      <c r="W2388" s="13" t="str">
        <f t="shared" si="675"/>
        <v/>
      </c>
      <c r="X2388" s="14" t="str">
        <f t="shared" si="676"/>
        <v/>
      </c>
    </row>
    <row r="2389" spans="20:24" x14ac:dyDescent="0.3">
      <c r="T2389" s="13" t="str">
        <f t="shared" si="672"/>
        <v/>
      </c>
      <c r="U2389" s="14" t="str">
        <f t="shared" si="673"/>
        <v/>
      </c>
      <c r="V2389" s="13" t="str">
        <f t="shared" si="674"/>
        <v/>
      </c>
      <c r="W2389" s="13" t="str">
        <f t="shared" si="675"/>
        <v/>
      </c>
      <c r="X2389" s="14" t="str">
        <f t="shared" si="676"/>
        <v/>
      </c>
    </row>
    <row r="2390" spans="20:24" x14ac:dyDescent="0.3">
      <c r="T2390" s="13" t="str">
        <f t="shared" si="672"/>
        <v/>
      </c>
      <c r="U2390" s="14" t="str">
        <f t="shared" si="673"/>
        <v/>
      </c>
      <c r="V2390" s="13" t="str">
        <f t="shared" si="674"/>
        <v/>
      </c>
      <c r="W2390" s="13" t="str">
        <f t="shared" si="675"/>
        <v/>
      </c>
      <c r="X2390" s="14" t="str">
        <f t="shared" si="676"/>
        <v/>
      </c>
    </row>
    <row r="2391" spans="20:24" x14ac:dyDescent="0.3">
      <c r="T2391" s="13" t="str">
        <f t="shared" si="672"/>
        <v/>
      </c>
      <c r="U2391" s="14" t="str">
        <f t="shared" si="673"/>
        <v/>
      </c>
      <c r="V2391" s="13" t="str">
        <f t="shared" si="674"/>
        <v/>
      </c>
      <c r="W2391" s="13" t="str">
        <f t="shared" si="675"/>
        <v/>
      </c>
      <c r="X2391" s="14" t="str">
        <f t="shared" si="676"/>
        <v/>
      </c>
    </row>
    <row r="2392" spans="20:24" x14ac:dyDescent="0.3">
      <c r="T2392" s="13" t="str">
        <f t="shared" si="672"/>
        <v/>
      </c>
      <c r="U2392" s="14" t="str">
        <f t="shared" si="673"/>
        <v/>
      </c>
      <c r="V2392" s="13" t="str">
        <f t="shared" si="674"/>
        <v/>
      </c>
      <c r="W2392" s="13" t="str">
        <f t="shared" si="675"/>
        <v/>
      </c>
      <c r="X2392" s="14" t="str">
        <f t="shared" si="676"/>
        <v/>
      </c>
    </row>
    <row r="2393" spans="20:24" x14ac:dyDescent="0.3">
      <c r="T2393" s="13" t="str">
        <f t="shared" si="672"/>
        <v/>
      </c>
      <c r="U2393" s="14" t="str">
        <f t="shared" si="673"/>
        <v/>
      </c>
      <c r="V2393" s="13" t="str">
        <f t="shared" si="674"/>
        <v/>
      </c>
      <c r="W2393" s="13" t="str">
        <f t="shared" si="675"/>
        <v/>
      </c>
      <c r="X2393" s="14" t="str">
        <f t="shared" si="676"/>
        <v/>
      </c>
    </row>
    <row r="2394" spans="20:24" x14ac:dyDescent="0.3">
      <c r="T2394" s="13" t="str">
        <f t="shared" si="672"/>
        <v/>
      </c>
      <c r="U2394" s="14" t="str">
        <f t="shared" si="673"/>
        <v/>
      </c>
      <c r="V2394" s="13" t="str">
        <f t="shared" si="674"/>
        <v/>
      </c>
      <c r="W2394" s="13" t="str">
        <f t="shared" si="675"/>
        <v/>
      </c>
      <c r="X2394" s="14" t="str">
        <f t="shared" si="676"/>
        <v/>
      </c>
    </row>
    <row r="2395" spans="20:24" x14ac:dyDescent="0.3">
      <c r="T2395" s="13" t="str">
        <f t="shared" si="672"/>
        <v/>
      </c>
      <c r="U2395" s="14" t="str">
        <f t="shared" si="673"/>
        <v/>
      </c>
      <c r="V2395" s="13" t="str">
        <f t="shared" si="674"/>
        <v/>
      </c>
      <c r="W2395" s="13" t="str">
        <f t="shared" si="675"/>
        <v/>
      </c>
      <c r="X2395" s="14" t="str">
        <f t="shared" si="676"/>
        <v/>
      </c>
    </row>
    <row r="2396" spans="20:24" x14ac:dyDescent="0.3">
      <c r="T2396" s="13" t="str">
        <f t="shared" si="672"/>
        <v/>
      </c>
      <c r="U2396" s="14" t="str">
        <f t="shared" si="673"/>
        <v/>
      </c>
      <c r="V2396" s="13" t="str">
        <f t="shared" si="674"/>
        <v/>
      </c>
      <c r="W2396" s="13" t="str">
        <f t="shared" si="675"/>
        <v/>
      </c>
      <c r="X2396" s="14" t="str">
        <f t="shared" si="676"/>
        <v/>
      </c>
    </row>
    <row r="2397" spans="20:24" x14ac:dyDescent="0.3">
      <c r="T2397" s="13" t="str">
        <f t="shared" si="672"/>
        <v/>
      </c>
      <c r="U2397" s="14" t="str">
        <f t="shared" si="673"/>
        <v/>
      </c>
      <c r="V2397" s="13" t="str">
        <f t="shared" si="674"/>
        <v/>
      </c>
      <c r="W2397" s="13" t="str">
        <f t="shared" si="675"/>
        <v/>
      </c>
      <c r="X2397" s="14" t="str">
        <f t="shared" si="676"/>
        <v/>
      </c>
    </row>
    <row r="2398" spans="20:24" x14ac:dyDescent="0.3">
      <c r="T2398" s="13" t="str">
        <f t="shared" si="672"/>
        <v/>
      </c>
      <c r="U2398" s="14" t="str">
        <f t="shared" si="673"/>
        <v/>
      </c>
      <c r="V2398" s="13" t="str">
        <f t="shared" si="674"/>
        <v/>
      </c>
      <c r="W2398" s="13" t="str">
        <f t="shared" si="675"/>
        <v/>
      </c>
      <c r="X2398" s="14" t="str">
        <f t="shared" si="676"/>
        <v/>
      </c>
    </row>
    <row r="2399" spans="20:24" x14ac:dyDescent="0.3">
      <c r="T2399" s="13" t="str">
        <f t="shared" si="672"/>
        <v/>
      </c>
      <c r="U2399" s="14" t="str">
        <f t="shared" si="673"/>
        <v/>
      </c>
      <c r="V2399" s="13" t="str">
        <f t="shared" si="674"/>
        <v/>
      </c>
      <c r="W2399" s="13" t="str">
        <f t="shared" si="675"/>
        <v/>
      </c>
      <c r="X2399" s="14" t="str">
        <f t="shared" si="676"/>
        <v/>
      </c>
    </row>
    <row r="2400" spans="20:24" x14ac:dyDescent="0.3">
      <c r="T2400" s="13" t="str">
        <f t="shared" si="672"/>
        <v/>
      </c>
      <c r="U2400" s="14" t="str">
        <f t="shared" si="673"/>
        <v/>
      </c>
      <c r="V2400" s="13" t="str">
        <f t="shared" si="674"/>
        <v/>
      </c>
      <c r="W2400" s="13" t="str">
        <f t="shared" si="675"/>
        <v/>
      </c>
      <c r="X2400" s="14" t="str">
        <f t="shared" si="676"/>
        <v/>
      </c>
    </row>
    <row r="2401" spans="20:24" x14ac:dyDescent="0.3">
      <c r="T2401" s="13" t="str">
        <f t="shared" si="672"/>
        <v/>
      </c>
      <c r="U2401" s="14" t="str">
        <f t="shared" si="673"/>
        <v/>
      </c>
      <c r="V2401" s="13" t="str">
        <f t="shared" si="674"/>
        <v/>
      </c>
      <c r="W2401" s="13" t="str">
        <f t="shared" si="675"/>
        <v/>
      </c>
      <c r="X2401" s="14" t="str">
        <f t="shared" si="676"/>
        <v/>
      </c>
    </row>
    <row r="2402" spans="20:24" x14ac:dyDescent="0.3">
      <c r="T2402" s="13" t="str">
        <f t="shared" si="672"/>
        <v/>
      </c>
      <c r="U2402" s="14" t="str">
        <f t="shared" si="673"/>
        <v/>
      </c>
      <c r="V2402" s="13" t="str">
        <f t="shared" si="674"/>
        <v/>
      </c>
      <c r="W2402" s="13" t="str">
        <f t="shared" si="675"/>
        <v/>
      </c>
      <c r="X2402" s="14" t="str">
        <f t="shared" si="676"/>
        <v/>
      </c>
    </row>
    <row r="2403" spans="20:24" x14ac:dyDescent="0.3">
      <c r="T2403" s="13" t="str">
        <f t="shared" si="672"/>
        <v/>
      </c>
      <c r="U2403" s="14" t="str">
        <f t="shared" si="673"/>
        <v/>
      </c>
      <c r="V2403" s="13" t="str">
        <f t="shared" si="674"/>
        <v/>
      </c>
      <c r="W2403" s="13" t="str">
        <f t="shared" si="675"/>
        <v/>
      </c>
      <c r="X2403" s="14" t="str">
        <f t="shared" si="676"/>
        <v/>
      </c>
    </row>
    <row r="2404" spans="20:24" x14ac:dyDescent="0.3">
      <c r="T2404" s="13" t="str">
        <f t="shared" si="672"/>
        <v/>
      </c>
      <c r="U2404" s="14" t="str">
        <f t="shared" si="673"/>
        <v/>
      </c>
      <c r="V2404" s="13" t="str">
        <f t="shared" si="674"/>
        <v/>
      </c>
      <c r="W2404" s="13" t="str">
        <f t="shared" si="675"/>
        <v/>
      </c>
      <c r="X2404" s="14" t="str">
        <f t="shared" si="676"/>
        <v/>
      </c>
    </row>
    <row r="2405" spans="20:24" x14ac:dyDescent="0.3">
      <c r="T2405" s="13" t="str">
        <f t="shared" si="672"/>
        <v/>
      </c>
      <c r="U2405" s="14" t="str">
        <f t="shared" si="673"/>
        <v/>
      </c>
      <c r="V2405" s="13" t="str">
        <f t="shared" si="674"/>
        <v/>
      </c>
      <c r="W2405" s="13" t="str">
        <f t="shared" si="675"/>
        <v/>
      </c>
      <c r="X2405" s="14" t="str">
        <f t="shared" si="676"/>
        <v/>
      </c>
    </row>
    <row r="2406" spans="20:24" x14ac:dyDescent="0.3">
      <c r="T2406" s="13" t="str">
        <f t="shared" si="672"/>
        <v/>
      </c>
      <c r="U2406" s="14" t="str">
        <f t="shared" si="673"/>
        <v/>
      </c>
      <c r="V2406" s="13" t="str">
        <f t="shared" si="674"/>
        <v/>
      </c>
      <c r="W2406" s="13" t="str">
        <f t="shared" si="675"/>
        <v/>
      </c>
      <c r="X2406" s="14" t="str">
        <f t="shared" si="676"/>
        <v/>
      </c>
    </row>
    <row r="2407" spans="20:24" x14ac:dyDescent="0.3">
      <c r="T2407" s="13" t="str">
        <f t="shared" si="672"/>
        <v/>
      </c>
      <c r="U2407" s="14" t="str">
        <f t="shared" si="673"/>
        <v/>
      </c>
      <c r="V2407" s="13" t="str">
        <f t="shared" si="674"/>
        <v/>
      </c>
      <c r="W2407" s="13" t="str">
        <f t="shared" si="675"/>
        <v/>
      </c>
      <c r="X2407" s="14" t="str">
        <f t="shared" si="676"/>
        <v/>
      </c>
    </row>
    <row r="2408" spans="20:24" x14ac:dyDescent="0.3">
      <c r="T2408" s="13" t="str">
        <f t="shared" si="672"/>
        <v/>
      </c>
      <c r="U2408" s="14" t="str">
        <f t="shared" si="673"/>
        <v/>
      </c>
      <c r="V2408" s="13" t="str">
        <f t="shared" si="674"/>
        <v/>
      </c>
      <c r="W2408" s="13" t="str">
        <f t="shared" si="675"/>
        <v/>
      </c>
      <c r="X2408" s="14" t="str">
        <f t="shared" si="676"/>
        <v/>
      </c>
    </row>
    <row r="2409" spans="20:24" x14ac:dyDescent="0.3">
      <c r="T2409" s="13" t="str">
        <f t="shared" si="672"/>
        <v/>
      </c>
      <c r="U2409" s="14" t="str">
        <f t="shared" si="673"/>
        <v/>
      </c>
      <c r="V2409" s="13" t="str">
        <f t="shared" si="674"/>
        <v/>
      </c>
      <c r="W2409" s="13" t="str">
        <f t="shared" si="675"/>
        <v/>
      </c>
      <c r="X2409" s="14" t="str">
        <f t="shared" si="676"/>
        <v/>
      </c>
    </row>
    <row r="2410" spans="20:24" x14ac:dyDescent="0.3">
      <c r="T2410" s="13" t="str">
        <f t="shared" si="672"/>
        <v/>
      </c>
      <c r="U2410" s="14" t="str">
        <f t="shared" si="673"/>
        <v/>
      </c>
      <c r="V2410" s="13" t="str">
        <f t="shared" si="674"/>
        <v/>
      </c>
      <c r="W2410" s="13" t="str">
        <f t="shared" si="675"/>
        <v/>
      </c>
      <c r="X2410" s="14" t="str">
        <f t="shared" si="676"/>
        <v/>
      </c>
    </row>
    <row r="2411" spans="20:24" x14ac:dyDescent="0.3">
      <c r="T2411" s="13" t="str">
        <f t="shared" si="672"/>
        <v/>
      </c>
      <c r="U2411" s="14" t="str">
        <f t="shared" si="673"/>
        <v/>
      </c>
      <c r="V2411" s="13" t="str">
        <f t="shared" si="674"/>
        <v/>
      </c>
      <c r="W2411" s="13" t="str">
        <f t="shared" si="675"/>
        <v/>
      </c>
      <c r="X2411" s="14" t="str">
        <f t="shared" si="676"/>
        <v/>
      </c>
    </row>
    <row r="2412" spans="20:24" x14ac:dyDescent="0.3">
      <c r="T2412" s="13" t="str">
        <f t="shared" si="672"/>
        <v/>
      </c>
      <c r="U2412" s="14" t="str">
        <f t="shared" si="673"/>
        <v/>
      </c>
      <c r="V2412" s="13" t="str">
        <f t="shared" si="674"/>
        <v/>
      </c>
      <c r="W2412" s="13" t="str">
        <f t="shared" si="675"/>
        <v/>
      </c>
      <c r="X2412" s="14" t="str">
        <f t="shared" si="676"/>
        <v/>
      </c>
    </row>
    <row r="2413" spans="20:24" x14ac:dyDescent="0.3">
      <c r="T2413" s="13" t="str">
        <f t="shared" si="672"/>
        <v/>
      </c>
      <c r="U2413" s="14" t="str">
        <f t="shared" si="673"/>
        <v/>
      </c>
      <c r="V2413" s="13" t="str">
        <f t="shared" si="674"/>
        <v/>
      </c>
      <c r="W2413" s="13" t="str">
        <f t="shared" si="675"/>
        <v/>
      </c>
      <c r="X2413" s="14" t="str">
        <f t="shared" si="676"/>
        <v/>
      </c>
    </row>
    <row r="2414" spans="20:24" x14ac:dyDescent="0.3">
      <c r="T2414" s="13" t="str">
        <f t="shared" si="672"/>
        <v/>
      </c>
      <c r="U2414" s="14" t="str">
        <f t="shared" si="673"/>
        <v/>
      </c>
      <c r="V2414" s="13" t="str">
        <f t="shared" si="674"/>
        <v/>
      </c>
      <c r="W2414" s="13" t="str">
        <f t="shared" si="675"/>
        <v/>
      </c>
      <c r="X2414" s="14" t="str">
        <f t="shared" si="676"/>
        <v/>
      </c>
    </row>
    <row r="2415" spans="20:24" x14ac:dyDescent="0.3">
      <c r="T2415" s="13" t="str">
        <f t="shared" si="672"/>
        <v/>
      </c>
      <c r="U2415" s="14" t="str">
        <f t="shared" si="673"/>
        <v/>
      </c>
      <c r="V2415" s="13" t="str">
        <f t="shared" si="674"/>
        <v/>
      </c>
      <c r="W2415" s="13" t="str">
        <f t="shared" si="675"/>
        <v/>
      </c>
      <c r="X2415" s="14" t="str">
        <f t="shared" si="676"/>
        <v/>
      </c>
    </row>
    <row r="2416" spans="20:24" x14ac:dyDescent="0.3">
      <c r="T2416" s="13" t="str">
        <f t="shared" si="672"/>
        <v/>
      </c>
      <c r="U2416" s="14" t="str">
        <f t="shared" si="673"/>
        <v/>
      </c>
      <c r="V2416" s="13" t="str">
        <f t="shared" si="674"/>
        <v/>
      </c>
      <c r="W2416" s="13" t="str">
        <f t="shared" si="675"/>
        <v/>
      </c>
      <c r="X2416" s="14" t="str">
        <f t="shared" si="676"/>
        <v/>
      </c>
    </row>
    <row r="2417" spans="20:24" x14ac:dyDescent="0.3">
      <c r="T2417" s="13" t="str">
        <f t="shared" si="672"/>
        <v/>
      </c>
      <c r="U2417" s="14" t="str">
        <f t="shared" si="673"/>
        <v/>
      </c>
      <c r="V2417" s="13" t="str">
        <f t="shared" si="674"/>
        <v/>
      </c>
      <c r="W2417" s="13" t="str">
        <f t="shared" si="675"/>
        <v/>
      </c>
      <c r="X2417" s="14" t="str">
        <f t="shared" si="676"/>
        <v/>
      </c>
    </row>
    <row r="2418" spans="20:24" x14ac:dyDescent="0.3">
      <c r="T2418" s="13" t="str">
        <f t="shared" si="672"/>
        <v/>
      </c>
      <c r="U2418" s="14" t="str">
        <f t="shared" si="673"/>
        <v/>
      </c>
      <c r="V2418" s="13" t="str">
        <f t="shared" si="674"/>
        <v/>
      </c>
      <c r="W2418" s="13" t="str">
        <f t="shared" si="675"/>
        <v/>
      </c>
      <c r="X2418" s="14" t="str">
        <f t="shared" si="676"/>
        <v/>
      </c>
    </row>
    <row r="2419" spans="20:24" x14ac:dyDescent="0.3">
      <c r="T2419" s="13" t="str">
        <f t="shared" si="672"/>
        <v/>
      </c>
      <c r="U2419" s="14" t="str">
        <f t="shared" si="673"/>
        <v/>
      </c>
      <c r="V2419" s="13" t="str">
        <f t="shared" si="674"/>
        <v/>
      </c>
      <c r="W2419" s="13" t="str">
        <f t="shared" si="675"/>
        <v/>
      </c>
      <c r="X2419" s="14" t="str">
        <f t="shared" si="676"/>
        <v/>
      </c>
    </row>
    <row r="2420" spans="20:24" x14ac:dyDescent="0.3">
      <c r="T2420" s="13" t="str">
        <f t="shared" si="672"/>
        <v/>
      </c>
      <c r="U2420" s="14" t="str">
        <f t="shared" si="673"/>
        <v/>
      </c>
      <c r="V2420" s="13" t="str">
        <f t="shared" si="674"/>
        <v/>
      </c>
      <c r="W2420" s="13" t="str">
        <f t="shared" si="675"/>
        <v/>
      </c>
      <c r="X2420" s="14" t="str">
        <f t="shared" si="676"/>
        <v/>
      </c>
    </row>
    <row r="2421" spans="20:24" x14ac:dyDescent="0.3">
      <c r="T2421" s="13" t="str">
        <f t="shared" si="672"/>
        <v/>
      </c>
      <c r="U2421" s="14" t="str">
        <f t="shared" si="673"/>
        <v/>
      </c>
      <c r="V2421" s="13" t="str">
        <f t="shared" si="674"/>
        <v/>
      </c>
      <c r="W2421" s="13" t="str">
        <f t="shared" si="675"/>
        <v/>
      </c>
      <c r="X2421" s="14" t="str">
        <f t="shared" si="676"/>
        <v/>
      </c>
    </row>
    <row r="2422" spans="20:24" x14ac:dyDescent="0.3">
      <c r="T2422" s="13" t="str">
        <f t="shared" si="672"/>
        <v/>
      </c>
      <c r="U2422" s="14" t="str">
        <f t="shared" si="673"/>
        <v/>
      </c>
      <c r="V2422" s="13" t="str">
        <f t="shared" si="674"/>
        <v/>
      </c>
      <c r="W2422" s="13" t="str">
        <f t="shared" si="675"/>
        <v/>
      </c>
      <c r="X2422" s="14" t="str">
        <f t="shared" si="676"/>
        <v/>
      </c>
    </row>
    <row r="2423" spans="20:24" x14ac:dyDescent="0.3">
      <c r="T2423" s="13" t="str">
        <f t="shared" si="672"/>
        <v/>
      </c>
      <c r="U2423" s="14" t="str">
        <f t="shared" si="673"/>
        <v/>
      </c>
      <c r="V2423" s="13" t="str">
        <f t="shared" si="674"/>
        <v/>
      </c>
      <c r="W2423" s="13" t="str">
        <f t="shared" si="675"/>
        <v/>
      </c>
      <c r="X2423" s="14" t="str">
        <f t="shared" si="676"/>
        <v/>
      </c>
    </row>
    <row r="2424" spans="20:24" x14ac:dyDescent="0.3">
      <c r="T2424" s="13" t="str">
        <f t="shared" si="672"/>
        <v/>
      </c>
      <c r="U2424" s="14" t="str">
        <f t="shared" si="673"/>
        <v/>
      </c>
      <c r="V2424" s="13" t="str">
        <f t="shared" si="674"/>
        <v/>
      </c>
      <c r="W2424" s="13" t="str">
        <f t="shared" si="675"/>
        <v/>
      </c>
      <c r="X2424" s="14" t="str">
        <f t="shared" si="676"/>
        <v/>
      </c>
    </row>
    <row r="2425" spans="20:24" x14ac:dyDescent="0.3">
      <c r="T2425" s="13" t="str">
        <f t="shared" si="672"/>
        <v/>
      </c>
      <c r="U2425" s="14" t="str">
        <f t="shared" si="673"/>
        <v/>
      </c>
      <c r="V2425" s="13" t="str">
        <f t="shared" si="674"/>
        <v/>
      </c>
      <c r="W2425" s="13" t="str">
        <f t="shared" si="675"/>
        <v/>
      </c>
      <c r="X2425" s="14" t="str">
        <f t="shared" si="676"/>
        <v/>
      </c>
    </row>
    <row r="2426" spans="20:24" x14ac:dyDescent="0.3">
      <c r="T2426" s="13" t="str">
        <f t="shared" si="672"/>
        <v/>
      </c>
      <c r="U2426" s="14" t="str">
        <f t="shared" si="673"/>
        <v/>
      </c>
      <c r="V2426" s="13" t="str">
        <f t="shared" si="674"/>
        <v/>
      </c>
      <c r="W2426" s="13" t="str">
        <f t="shared" si="675"/>
        <v/>
      </c>
      <c r="X2426" s="14" t="str">
        <f t="shared" si="676"/>
        <v/>
      </c>
    </row>
    <row r="2427" spans="20:24" x14ac:dyDescent="0.3">
      <c r="T2427" s="13" t="str">
        <f t="shared" si="672"/>
        <v/>
      </c>
      <c r="U2427" s="14" t="str">
        <f t="shared" si="673"/>
        <v/>
      </c>
      <c r="V2427" s="13" t="str">
        <f t="shared" si="674"/>
        <v/>
      </c>
      <c r="W2427" s="13" t="str">
        <f t="shared" si="675"/>
        <v/>
      </c>
      <c r="X2427" s="14" t="str">
        <f t="shared" si="676"/>
        <v/>
      </c>
    </row>
    <row r="2428" spans="20:24" x14ac:dyDescent="0.3">
      <c r="T2428" s="13" t="str">
        <f t="shared" si="672"/>
        <v/>
      </c>
      <c r="U2428" s="14" t="str">
        <f t="shared" si="673"/>
        <v/>
      </c>
      <c r="V2428" s="13" t="str">
        <f t="shared" si="674"/>
        <v/>
      </c>
      <c r="W2428" s="13" t="str">
        <f t="shared" si="675"/>
        <v/>
      </c>
      <c r="X2428" s="14" t="str">
        <f t="shared" si="676"/>
        <v/>
      </c>
    </row>
    <row r="2429" spans="20:24" x14ac:dyDescent="0.3">
      <c r="T2429" s="13" t="str">
        <f t="shared" si="672"/>
        <v/>
      </c>
      <c r="U2429" s="14" t="str">
        <f t="shared" si="673"/>
        <v/>
      </c>
      <c r="V2429" s="13" t="str">
        <f t="shared" si="674"/>
        <v/>
      </c>
      <c r="W2429" s="13" t="str">
        <f t="shared" si="675"/>
        <v/>
      </c>
      <c r="X2429" s="14" t="str">
        <f t="shared" si="676"/>
        <v/>
      </c>
    </row>
    <row r="2430" spans="20:24" x14ac:dyDescent="0.3">
      <c r="T2430" s="13" t="str">
        <f t="shared" si="672"/>
        <v/>
      </c>
      <c r="U2430" s="14" t="str">
        <f t="shared" si="673"/>
        <v/>
      </c>
      <c r="V2430" s="13" t="str">
        <f t="shared" si="674"/>
        <v/>
      </c>
      <c r="W2430" s="13" t="str">
        <f t="shared" si="675"/>
        <v/>
      </c>
      <c r="X2430" s="14" t="str">
        <f t="shared" si="676"/>
        <v/>
      </c>
    </row>
    <row r="2431" spans="20:24" x14ac:dyDescent="0.3">
      <c r="T2431" s="13" t="str">
        <f t="shared" si="672"/>
        <v/>
      </c>
      <c r="U2431" s="14" t="str">
        <f t="shared" si="673"/>
        <v/>
      </c>
      <c r="V2431" s="13" t="str">
        <f t="shared" si="674"/>
        <v/>
      </c>
      <c r="W2431" s="13" t="str">
        <f t="shared" si="675"/>
        <v/>
      </c>
      <c r="X2431" s="14" t="str">
        <f t="shared" si="676"/>
        <v/>
      </c>
    </row>
    <row r="2432" spans="20:24" x14ac:dyDescent="0.3">
      <c r="T2432" s="13" t="str">
        <f t="shared" si="672"/>
        <v/>
      </c>
      <c r="U2432" s="14" t="str">
        <f t="shared" si="673"/>
        <v/>
      </c>
      <c r="V2432" s="13" t="str">
        <f t="shared" si="674"/>
        <v/>
      </c>
      <c r="W2432" s="13" t="str">
        <f t="shared" si="675"/>
        <v/>
      </c>
      <c r="X2432" s="14" t="str">
        <f t="shared" si="676"/>
        <v/>
      </c>
    </row>
    <row r="2433" spans="20:24" x14ac:dyDescent="0.3">
      <c r="T2433" s="13" t="str">
        <f t="shared" si="672"/>
        <v/>
      </c>
      <c r="U2433" s="14" t="str">
        <f t="shared" si="673"/>
        <v/>
      </c>
      <c r="V2433" s="13" t="str">
        <f t="shared" si="674"/>
        <v/>
      </c>
      <c r="W2433" s="13" t="str">
        <f t="shared" si="675"/>
        <v/>
      </c>
      <c r="X2433" s="14" t="str">
        <f t="shared" si="676"/>
        <v/>
      </c>
    </row>
    <row r="2434" spans="20:24" x14ac:dyDescent="0.3">
      <c r="T2434" s="13" t="str">
        <f t="shared" si="672"/>
        <v/>
      </c>
      <c r="U2434" s="14" t="str">
        <f t="shared" si="673"/>
        <v/>
      </c>
      <c r="V2434" s="13" t="str">
        <f t="shared" si="674"/>
        <v/>
      </c>
      <c r="W2434" s="13" t="str">
        <f t="shared" si="675"/>
        <v/>
      </c>
      <c r="X2434" s="14" t="str">
        <f t="shared" si="676"/>
        <v/>
      </c>
    </row>
    <row r="2435" spans="20:24" x14ac:dyDescent="0.3">
      <c r="T2435" s="13" t="str">
        <f t="shared" si="672"/>
        <v/>
      </c>
      <c r="U2435" s="14" t="str">
        <f t="shared" si="673"/>
        <v/>
      </c>
      <c r="V2435" s="13" t="str">
        <f t="shared" si="674"/>
        <v/>
      </c>
      <c r="W2435" s="13" t="str">
        <f t="shared" si="675"/>
        <v/>
      </c>
      <c r="X2435" s="14" t="str">
        <f t="shared" si="676"/>
        <v/>
      </c>
    </row>
    <row r="2436" spans="20:24" x14ac:dyDescent="0.3">
      <c r="T2436" s="13" t="str">
        <f t="shared" si="672"/>
        <v/>
      </c>
      <c r="U2436" s="14" t="str">
        <f t="shared" si="673"/>
        <v/>
      </c>
      <c r="V2436" s="13" t="str">
        <f t="shared" si="674"/>
        <v/>
      </c>
      <c r="W2436" s="13" t="str">
        <f t="shared" si="675"/>
        <v/>
      </c>
      <c r="X2436" s="14" t="str">
        <f t="shared" si="676"/>
        <v/>
      </c>
    </row>
    <row r="2437" spans="20:24" x14ac:dyDescent="0.3">
      <c r="T2437" s="13" t="str">
        <f t="shared" si="672"/>
        <v/>
      </c>
      <c r="U2437" s="14" t="str">
        <f t="shared" si="673"/>
        <v/>
      </c>
      <c r="V2437" s="13" t="str">
        <f t="shared" si="674"/>
        <v/>
      </c>
      <c r="W2437" s="13" t="str">
        <f t="shared" si="675"/>
        <v/>
      </c>
      <c r="X2437" s="14" t="str">
        <f t="shared" si="676"/>
        <v/>
      </c>
    </row>
    <row r="2438" spans="20:24" x14ac:dyDescent="0.3">
      <c r="T2438" s="13" t="str">
        <f t="shared" si="672"/>
        <v/>
      </c>
      <c r="U2438" s="14" t="str">
        <f t="shared" si="673"/>
        <v/>
      </c>
      <c r="V2438" s="13" t="str">
        <f t="shared" si="674"/>
        <v/>
      </c>
      <c r="W2438" s="13" t="str">
        <f t="shared" si="675"/>
        <v/>
      </c>
      <c r="X2438" s="14" t="str">
        <f t="shared" si="676"/>
        <v/>
      </c>
    </row>
    <row r="2439" spans="20:24" x14ac:dyDescent="0.3">
      <c r="T2439" s="13" t="str">
        <f t="shared" si="672"/>
        <v/>
      </c>
      <c r="U2439" s="14" t="str">
        <f t="shared" si="673"/>
        <v/>
      </c>
      <c r="V2439" s="13" t="str">
        <f t="shared" si="674"/>
        <v/>
      </c>
      <c r="W2439" s="13" t="str">
        <f t="shared" si="675"/>
        <v/>
      </c>
      <c r="X2439" s="14" t="str">
        <f t="shared" si="676"/>
        <v/>
      </c>
    </row>
    <row r="2440" spans="20:24" x14ac:dyDescent="0.3">
      <c r="T2440" s="13" t="str">
        <f t="shared" si="672"/>
        <v/>
      </c>
      <c r="U2440" s="14" t="str">
        <f t="shared" si="673"/>
        <v/>
      </c>
      <c r="V2440" s="13" t="str">
        <f t="shared" si="674"/>
        <v/>
      </c>
      <c r="W2440" s="13" t="str">
        <f t="shared" si="675"/>
        <v/>
      </c>
      <c r="X2440" s="14" t="str">
        <f t="shared" si="676"/>
        <v/>
      </c>
    </row>
    <row r="2441" spans="20:24" x14ac:dyDescent="0.3">
      <c r="T2441" s="13" t="str">
        <f t="shared" si="672"/>
        <v/>
      </c>
      <c r="U2441" s="14" t="str">
        <f t="shared" si="673"/>
        <v/>
      </c>
      <c r="V2441" s="13" t="str">
        <f t="shared" si="674"/>
        <v/>
      </c>
      <c r="W2441" s="13" t="str">
        <f t="shared" si="675"/>
        <v/>
      </c>
      <c r="X2441" s="14" t="str">
        <f t="shared" si="676"/>
        <v/>
      </c>
    </row>
    <row r="2442" spans="20:24" x14ac:dyDescent="0.3">
      <c r="T2442" s="13" t="str">
        <f t="shared" si="672"/>
        <v/>
      </c>
      <c r="U2442" s="14" t="str">
        <f t="shared" si="673"/>
        <v/>
      </c>
      <c r="V2442" s="13" t="str">
        <f t="shared" si="674"/>
        <v/>
      </c>
      <c r="W2442" s="13" t="str">
        <f t="shared" si="675"/>
        <v/>
      </c>
      <c r="X2442" s="14" t="str">
        <f t="shared" si="676"/>
        <v/>
      </c>
    </row>
    <row r="2443" spans="20:24" x14ac:dyDescent="0.3">
      <c r="T2443" s="13" t="str">
        <f t="shared" si="672"/>
        <v/>
      </c>
      <c r="U2443" s="14" t="str">
        <f t="shared" si="673"/>
        <v/>
      </c>
      <c r="V2443" s="13" t="str">
        <f t="shared" si="674"/>
        <v/>
      </c>
      <c r="W2443" s="13" t="str">
        <f t="shared" si="675"/>
        <v/>
      </c>
      <c r="X2443" s="14" t="str">
        <f t="shared" si="676"/>
        <v/>
      </c>
    </row>
    <row r="2444" spans="20:24" x14ac:dyDescent="0.3">
      <c r="T2444" s="13" t="str">
        <f t="shared" si="672"/>
        <v/>
      </c>
      <c r="U2444" s="14" t="str">
        <f t="shared" si="673"/>
        <v/>
      </c>
      <c r="V2444" s="13" t="str">
        <f t="shared" si="674"/>
        <v/>
      </c>
      <c r="W2444" s="13" t="str">
        <f t="shared" si="675"/>
        <v/>
      </c>
      <c r="X2444" s="14" t="str">
        <f t="shared" si="676"/>
        <v/>
      </c>
    </row>
    <row r="2445" spans="20:24" x14ac:dyDescent="0.3">
      <c r="T2445" s="13" t="str">
        <f t="shared" si="672"/>
        <v/>
      </c>
      <c r="U2445" s="14" t="str">
        <f t="shared" si="673"/>
        <v/>
      </c>
      <c r="V2445" s="13" t="str">
        <f t="shared" si="674"/>
        <v/>
      </c>
      <c r="W2445" s="13" t="str">
        <f t="shared" si="675"/>
        <v/>
      </c>
      <c r="X2445" s="14" t="str">
        <f t="shared" si="676"/>
        <v/>
      </c>
    </row>
    <row r="2446" spans="20:24" x14ac:dyDescent="0.3">
      <c r="T2446" s="13" t="str">
        <f t="shared" si="672"/>
        <v/>
      </c>
      <c r="U2446" s="14" t="str">
        <f t="shared" si="673"/>
        <v/>
      </c>
      <c r="V2446" s="13" t="str">
        <f t="shared" si="674"/>
        <v/>
      </c>
      <c r="W2446" s="13" t="str">
        <f t="shared" si="675"/>
        <v/>
      </c>
      <c r="X2446" s="14" t="str">
        <f t="shared" si="676"/>
        <v/>
      </c>
    </row>
    <row r="2447" spans="20:24" x14ac:dyDescent="0.3">
      <c r="T2447" s="13" t="str">
        <f t="shared" si="672"/>
        <v/>
      </c>
      <c r="U2447" s="14" t="str">
        <f t="shared" si="673"/>
        <v/>
      </c>
      <c r="V2447" s="13" t="str">
        <f t="shared" si="674"/>
        <v/>
      </c>
      <c r="W2447" s="13" t="str">
        <f t="shared" si="675"/>
        <v/>
      </c>
      <c r="X2447" s="14" t="str">
        <f t="shared" si="676"/>
        <v/>
      </c>
    </row>
    <row r="2448" spans="20:24" x14ac:dyDescent="0.3">
      <c r="T2448" s="13" t="str">
        <f t="shared" si="672"/>
        <v/>
      </c>
      <c r="U2448" s="14" t="str">
        <f t="shared" si="673"/>
        <v/>
      </c>
      <c r="V2448" s="13" t="str">
        <f t="shared" si="674"/>
        <v/>
      </c>
      <c r="W2448" s="13" t="str">
        <f t="shared" si="675"/>
        <v/>
      </c>
      <c r="X2448" s="14" t="str">
        <f t="shared" si="676"/>
        <v/>
      </c>
    </row>
    <row r="2449" spans="20:24" x14ac:dyDescent="0.3">
      <c r="T2449" s="13" t="str">
        <f t="shared" si="672"/>
        <v/>
      </c>
      <c r="U2449" s="14" t="str">
        <f t="shared" si="673"/>
        <v/>
      </c>
      <c r="V2449" s="13" t="str">
        <f t="shared" si="674"/>
        <v/>
      </c>
      <c r="W2449" s="13" t="str">
        <f t="shared" si="675"/>
        <v/>
      </c>
      <c r="X2449" s="14" t="str">
        <f t="shared" si="676"/>
        <v/>
      </c>
    </row>
    <row r="2450" spans="20:24" x14ac:dyDescent="0.3">
      <c r="T2450" s="13" t="str">
        <f t="shared" si="672"/>
        <v/>
      </c>
      <c r="U2450" s="14" t="str">
        <f t="shared" si="673"/>
        <v/>
      </c>
      <c r="V2450" s="13" t="str">
        <f t="shared" si="674"/>
        <v/>
      </c>
      <c r="W2450" s="13" t="str">
        <f t="shared" si="675"/>
        <v/>
      </c>
      <c r="X2450" s="14" t="str">
        <f t="shared" si="676"/>
        <v/>
      </c>
    </row>
    <row r="2451" spans="20:24" x14ac:dyDescent="0.3">
      <c r="T2451" s="13" t="str">
        <f t="shared" ref="T2451:T2514" si="677">IF(A2451="",IF(A2450="","",$T$1),IF(O2451=1,"#",IF(B2451=0,"*",DEC2HEX(R2451))))</f>
        <v/>
      </c>
      <c r="U2451" s="14" t="str">
        <f t="shared" ref="U2451:U2514" si="678">IF(A2451="",IF(A2450="","",$U$1),  IF(B2451=0,Q2451,I2451)  )</f>
        <v/>
      </c>
      <c r="V2451" s="13" t="str">
        <f t="shared" ref="V2451:V2514" si="679">IF(U2451=$U$1,"",IF(A2451="",IF(A2450="","",1),  IF(B2451=0,1,D2451)  ))</f>
        <v/>
      </c>
      <c r="W2451" s="13" t="str">
        <f t="shared" ref="W2451:W2514" si="680">IF(U2451=$U$1,"",IF(A2451="",IF(A2450="","",0),  IF(C2451=0,0,0)  ))</f>
        <v/>
      </c>
      <c r="X2451" s="14" t="str">
        <f t="shared" ref="X2451:X2514" si="681">IF(U2451=$U$1,"",IF(U2451="","",IF(B2451&gt;0,IF(Q2451&lt;&gt;"",Q2451,"No description"),"-")))</f>
        <v/>
      </c>
    </row>
    <row r="2452" spans="20:24" x14ac:dyDescent="0.3">
      <c r="T2452" s="13" t="str">
        <f t="shared" si="677"/>
        <v/>
      </c>
      <c r="U2452" s="14" t="str">
        <f t="shared" si="678"/>
        <v/>
      </c>
      <c r="V2452" s="13" t="str">
        <f t="shared" si="679"/>
        <v/>
      </c>
      <c r="W2452" s="13" t="str">
        <f t="shared" si="680"/>
        <v/>
      </c>
      <c r="X2452" s="14" t="str">
        <f t="shared" si="681"/>
        <v/>
      </c>
    </row>
    <row r="2453" spans="20:24" x14ac:dyDescent="0.3">
      <c r="T2453" s="13" t="str">
        <f t="shared" si="677"/>
        <v/>
      </c>
      <c r="U2453" s="14" t="str">
        <f t="shared" si="678"/>
        <v/>
      </c>
      <c r="V2453" s="13" t="str">
        <f t="shared" si="679"/>
        <v/>
      </c>
      <c r="W2453" s="13" t="str">
        <f t="shared" si="680"/>
        <v/>
      </c>
      <c r="X2453" s="14" t="str">
        <f t="shared" si="681"/>
        <v/>
      </c>
    </row>
    <row r="2454" spans="20:24" x14ac:dyDescent="0.3">
      <c r="T2454" s="13" t="str">
        <f t="shared" si="677"/>
        <v/>
      </c>
      <c r="U2454" s="14" t="str">
        <f t="shared" si="678"/>
        <v/>
      </c>
      <c r="V2454" s="13" t="str">
        <f t="shared" si="679"/>
        <v/>
      </c>
      <c r="W2454" s="13" t="str">
        <f t="shared" si="680"/>
        <v/>
      </c>
      <c r="X2454" s="14" t="str">
        <f t="shared" si="681"/>
        <v/>
      </c>
    </row>
    <row r="2455" spans="20:24" x14ac:dyDescent="0.3">
      <c r="T2455" s="13" t="str">
        <f t="shared" si="677"/>
        <v/>
      </c>
      <c r="U2455" s="14" t="str">
        <f t="shared" si="678"/>
        <v/>
      </c>
      <c r="V2455" s="13" t="str">
        <f t="shared" si="679"/>
        <v/>
      </c>
      <c r="W2455" s="13" t="str">
        <f t="shared" si="680"/>
        <v/>
      </c>
      <c r="X2455" s="14" t="str">
        <f t="shared" si="681"/>
        <v/>
      </c>
    </row>
    <row r="2456" spans="20:24" x14ac:dyDescent="0.3">
      <c r="T2456" s="13" t="str">
        <f t="shared" si="677"/>
        <v/>
      </c>
      <c r="U2456" s="14" t="str">
        <f t="shared" si="678"/>
        <v/>
      </c>
      <c r="V2456" s="13" t="str">
        <f t="shared" si="679"/>
        <v/>
      </c>
      <c r="W2456" s="13" t="str">
        <f t="shared" si="680"/>
        <v/>
      </c>
      <c r="X2456" s="14" t="str">
        <f t="shared" si="681"/>
        <v/>
      </c>
    </row>
    <row r="2457" spans="20:24" x14ac:dyDescent="0.3">
      <c r="T2457" s="13" t="str">
        <f t="shared" si="677"/>
        <v/>
      </c>
      <c r="U2457" s="14" t="str">
        <f t="shared" si="678"/>
        <v/>
      </c>
      <c r="V2457" s="13" t="str">
        <f t="shared" si="679"/>
        <v/>
      </c>
      <c r="W2457" s="13" t="str">
        <f t="shared" si="680"/>
        <v/>
      </c>
      <c r="X2457" s="14" t="str">
        <f t="shared" si="681"/>
        <v/>
      </c>
    </row>
    <row r="2458" spans="20:24" x14ac:dyDescent="0.3">
      <c r="T2458" s="13" t="str">
        <f t="shared" si="677"/>
        <v/>
      </c>
      <c r="U2458" s="14" t="str">
        <f t="shared" si="678"/>
        <v/>
      </c>
      <c r="V2458" s="13" t="str">
        <f t="shared" si="679"/>
        <v/>
      </c>
      <c r="W2458" s="13" t="str">
        <f t="shared" si="680"/>
        <v/>
      </c>
      <c r="X2458" s="14" t="str">
        <f t="shared" si="681"/>
        <v/>
      </c>
    </row>
    <row r="2459" spans="20:24" x14ac:dyDescent="0.3">
      <c r="T2459" s="13" t="str">
        <f t="shared" si="677"/>
        <v/>
      </c>
      <c r="U2459" s="14" t="str">
        <f t="shared" si="678"/>
        <v/>
      </c>
      <c r="V2459" s="13" t="str">
        <f t="shared" si="679"/>
        <v/>
      </c>
      <c r="W2459" s="13" t="str">
        <f t="shared" si="680"/>
        <v/>
      </c>
      <c r="X2459" s="14" t="str">
        <f t="shared" si="681"/>
        <v/>
      </c>
    </row>
    <row r="2460" spans="20:24" x14ac:dyDescent="0.3">
      <c r="T2460" s="13" t="str">
        <f t="shared" si="677"/>
        <v/>
      </c>
      <c r="U2460" s="14" t="str">
        <f t="shared" si="678"/>
        <v/>
      </c>
      <c r="V2460" s="13" t="str">
        <f t="shared" si="679"/>
        <v/>
      </c>
      <c r="W2460" s="13" t="str">
        <f t="shared" si="680"/>
        <v/>
      </c>
      <c r="X2460" s="14" t="str">
        <f t="shared" si="681"/>
        <v/>
      </c>
    </row>
    <row r="2461" spans="20:24" x14ac:dyDescent="0.3">
      <c r="T2461" s="13" t="str">
        <f t="shared" si="677"/>
        <v/>
      </c>
      <c r="U2461" s="14" t="str">
        <f t="shared" si="678"/>
        <v/>
      </c>
      <c r="V2461" s="13" t="str">
        <f t="shared" si="679"/>
        <v/>
      </c>
      <c r="W2461" s="13" t="str">
        <f t="shared" si="680"/>
        <v/>
      </c>
      <c r="X2461" s="14" t="str">
        <f t="shared" si="681"/>
        <v/>
      </c>
    </row>
    <row r="2462" spans="20:24" x14ac:dyDescent="0.3">
      <c r="T2462" s="13" t="str">
        <f t="shared" si="677"/>
        <v/>
      </c>
      <c r="U2462" s="14" t="str">
        <f t="shared" si="678"/>
        <v/>
      </c>
      <c r="V2462" s="13" t="str">
        <f t="shared" si="679"/>
        <v/>
      </c>
      <c r="W2462" s="13" t="str">
        <f t="shared" si="680"/>
        <v/>
      </c>
      <c r="X2462" s="14" t="str">
        <f t="shared" si="681"/>
        <v/>
      </c>
    </row>
    <row r="2463" spans="20:24" x14ac:dyDescent="0.3">
      <c r="T2463" s="13" t="str">
        <f t="shared" si="677"/>
        <v/>
      </c>
      <c r="U2463" s="14" t="str">
        <f t="shared" si="678"/>
        <v/>
      </c>
      <c r="V2463" s="13" t="str">
        <f t="shared" si="679"/>
        <v/>
      </c>
      <c r="W2463" s="13" t="str">
        <f t="shared" si="680"/>
        <v/>
      </c>
      <c r="X2463" s="14" t="str">
        <f t="shared" si="681"/>
        <v/>
      </c>
    </row>
    <row r="2464" spans="20:24" x14ac:dyDescent="0.3">
      <c r="T2464" s="13" t="str">
        <f t="shared" si="677"/>
        <v/>
      </c>
      <c r="U2464" s="14" t="str">
        <f t="shared" si="678"/>
        <v/>
      </c>
      <c r="V2464" s="13" t="str">
        <f t="shared" si="679"/>
        <v/>
      </c>
      <c r="W2464" s="13" t="str">
        <f t="shared" si="680"/>
        <v/>
      </c>
      <c r="X2464" s="14" t="str">
        <f t="shared" si="681"/>
        <v/>
      </c>
    </row>
    <row r="2465" spans="20:24" x14ac:dyDescent="0.3">
      <c r="T2465" s="13" t="str">
        <f t="shared" si="677"/>
        <v/>
      </c>
      <c r="U2465" s="14" t="str">
        <f t="shared" si="678"/>
        <v/>
      </c>
      <c r="V2465" s="13" t="str">
        <f t="shared" si="679"/>
        <v/>
      </c>
      <c r="W2465" s="13" t="str">
        <f t="shared" si="680"/>
        <v/>
      </c>
      <c r="X2465" s="14" t="str">
        <f t="shared" si="681"/>
        <v/>
      </c>
    </row>
    <row r="2466" spans="20:24" x14ac:dyDescent="0.3">
      <c r="T2466" s="13" t="str">
        <f t="shared" si="677"/>
        <v/>
      </c>
      <c r="U2466" s="14" t="str">
        <f t="shared" si="678"/>
        <v/>
      </c>
      <c r="V2466" s="13" t="str">
        <f t="shared" si="679"/>
        <v/>
      </c>
      <c r="W2466" s="13" t="str">
        <f t="shared" si="680"/>
        <v/>
      </c>
      <c r="X2466" s="14" t="str">
        <f t="shared" si="681"/>
        <v/>
      </c>
    </row>
    <row r="2467" spans="20:24" x14ac:dyDescent="0.3">
      <c r="T2467" s="13" t="str">
        <f t="shared" si="677"/>
        <v/>
      </c>
      <c r="U2467" s="14" t="str">
        <f t="shared" si="678"/>
        <v/>
      </c>
      <c r="V2467" s="13" t="str">
        <f t="shared" si="679"/>
        <v/>
      </c>
      <c r="W2467" s="13" t="str">
        <f t="shared" si="680"/>
        <v/>
      </c>
      <c r="X2467" s="14" t="str">
        <f t="shared" si="681"/>
        <v/>
      </c>
    </row>
    <row r="2468" spans="20:24" x14ac:dyDescent="0.3">
      <c r="T2468" s="13" t="str">
        <f t="shared" si="677"/>
        <v/>
      </c>
      <c r="U2468" s="14" t="str">
        <f t="shared" si="678"/>
        <v/>
      </c>
      <c r="V2468" s="13" t="str">
        <f t="shared" si="679"/>
        <v/>
      </c>
      <c r="W2468" s="13" t="str">
        <f t="shared" si="680"/>
        <v/>
      </c>
      <c r="X2468" s="14" t="str">
        <f t="shared" si="681"/>
        <v/>
      </c>
    </row>
    <row r="2469" spans="20:24" x14ac:dyDescent="0.3">
      <c r="T2469" s="13" t="str">
        <f t="shared" si="677"/>
        <v/>
      </c>
      <c r="U2469" s="14" t="str">
        <f t="shared" si="678"/>
        <v/>
      </c>
      <c r="V2469" s="13" t="str">
        <f t="shared" si="679"/>
        <v/>
      </c>
      <c r="W2469" s="13" t="str">
        <f t="shared" si="680"/>
        <v/>
      </c>
      <c r="X2469" s="14" t="str">
        <f t="shared" si="681"/>
        <v/>
      </c>
    </row>
    <row r="2470" spans="20:24" x14ac:dyDescent="0.3">
      <c r="T2470" s="13" t="str">
        <f t="shared" si="677"/>
        <v/>
      </c>
      <c r="U2470" s="14" t="str">
        <f t="shared" si="678"/>
        <v/>
      </c>
      <c r="V2470" s="13" t="str">
        <f t="shared" si="679"/>
        <v/>
      </c>
      <c r="W2470" s="13" t="str">
        <f t="shared" si="680"/>
        <v/>
      </c>
      <c r="X2470" s="14" t="str">
        <f t="shared" si="681"/>
        <v/>
      </c>
    </row>
    <row r="2471" spans="20:24" x14ac:dyDescent="0.3">
      <c r="T2471" s="13" t="str">
        <f t="shared" si="677"/>
        <v/>
      </c>
      <c r="U2471" s="14" t="str">
        <f t="shared" si="678"/>
        <v/>
      </c>
      <c r="V2471" s="13" t="str">
        <f t="shared" si="679"/>
        <v/>
      </c>
      <c r="W2471" s="13" t="str">
        <f t="shared" si="680"/>
        <v/>
      </c>
      <c r="X2471" s="14" t="str">
        <f t="shared" si="681"/>
        <v/>
      </c>
    </row>
    <row r="2472" spans="20:24" x14ac:dyDescent="0.3">
      <c r="T2472" s="13" t="str">
        <f t="shared" si="677"/>
        <v/>
      </c>
      <c r="U2472" s="14" t="str">
        <f t="shared" si="678"/>
        <v/>
      </c>
      <c r="V2472" s="13" t="str">
        <f t="shared" si="679"/>
        <v/>
      </c>
      <c r="W2472" s="13" t="str">
        <f t="shared" si="680"/>
        <v/>
      </c>
      <c r="X2472" s="14" t="str">
        <f t="shared" si="681"/>
        <v/>
      </c>
    </row>
    <row r="2473" spans="20:24" x14ac:dyDescent="0.3">
      <c r="T2473" s="13" t="str">
        <f t="shared" si="677"/>
        <v/>
      </c>
      <c r="U2473" s="14" t="str">
        <f t="shared" si="678"/>
        <v/>
      </c>
      <c r="V2473" s="13" t="str">
        <f t="shared" si="679"/>
        <v/>
      </c>
      <c r="W2473" s="13" t="str">
        <f t="shared" si="680"/>
        <v/>
      </c>
      <c r="X2473" s="14" t="str">
        <f t="shared" si="681"/>
        <v/>
      </c>
    </row>
    <row r="2474" spans="20:24" x14ac:dyDescent="0.3">
      <c r="T2474" s="13" t="str">
        <f t="shared" si="677"/>
        <v/>
      </c>
      <c r="U2474" s="14" t="str">
        <f t="shared" si="678"/>
        <v/>
      </c>
      <c r="V2474" s="13" t="str">
        <f t="shared" si="679"/>
        <v/>
      </c>
      <c r="W2474" s="13" t="str">
        <f t="shared" si="680"/>
        <v/>
      </c>
      <c r="X2474" s="14" t="str">
        <f t="shared" si="681"/>
        <v/>
      </c>
    </row>
    <row r="2475" spans="20:24" x14ac:dyDescent="0.3">
      <c r="T2475" s="13" t="str">
        <f t="shared" si="677"/>
        <v/>
      </c>
      <c r="U2475" s="14" t="str">
        <f t="shared" si="678"/>
        <v/>
      </c>
      <c r="V2475" s="13" t="str">
        <f t="shared" si="679"/>
        <v/>
      </c>
      <c r="W2475" s="13" t="str">
        <f t="shared" si="680"/>
        <v/>
      </c>
      <c r="X2475" s="14" t="str">
        <f t="shared" si="681"/>
        <v/>
      </c>
    </row>
    <row r="2476" spans="20:24" x14ac:dyDescent="0.3">
      <c r="T2476" s="13" t="str">
        <f t="shared" si="677"/>
        <v/>
      </c>
      <c r="U2476" s="14" t="str">
        <f t="shared" si="678"/>
        <v/>
      </c>
      <c r="V2476" s="13" t="str">
        <f t="shared" si="679"/>
        <v/>
      </c>
      <c r="W2476" s="13" t="str">
        <f t="shared" si="680"/>
        <v/>
      </c>
      <c r="X2476" s="14" t="str">
        <f t="shared" si="681"/>
        <v/>
      </c>
    </row>
    <row r="2477" spans="20:24" x14ac:dyDescent="0.3">
      <c r="T2477" s="13" t="str">
        <f t="shared" si="677"/>
        <v/>
      </c>
      <c r="U2477" s="14" t="str">
        <f t="shared" si="678"/>
        <v/>
      </c>
      <c r="V2477" s="13" t="str">
        <f t="shared" si="679"/>
        <v/>
      </c>
      <c r="W2477" s="13" t="str">
        <f t="shared" si="680"/>
        <v/>
      </c>
      <c r="X2477" s="14" t="str">
        <f t="shared" si="681"/>
        <v/>
      </c>
    </row>
    <row r="2478" spans="20:24" x14ac:dyDescent="0.3">
      <c r="T2478" s="13" t="str">
        <f t="shared" si="677"/>
        <v/>
      </c>
      <c r="U2478" s="14" t="str">
        <f t="shared" si="678"/>
        <v/>
      </c>
      <c r="V2478" s="13" t="str">
        <f t="shared" si="679"/>
        <v/>
      </c>
      <c r="W2478" s="13" t="str">
        <f t="shared" si="680"/>
        <v/>
      </c>
      <c r="X2478" s="14" t="str">
        <f t="shared" si="681"/>
        <v/>
      </c>
    </row>
    <row r="2479" spans="20:24" x14ac:dyDescent="0.3">
      <c r="T2479" s="13" t="str">
        <f t="shared" si="677"/>
        <v/>
      </c>
      <c r="U2479" s="14" t="str">
        <f t="shared" si="678"/>
        <v/>
      </c>
      <c r="V2479" s="13" t="str">
        <f t="shared" si="679"/>
        <v/>
      </c>
      <c r="W2479" s="13" t="str">
        <f t="shared" si="680"/>
        <v/>
      </c>
      <c r="X2479" s="14" t="str">
        <f t="shared" si="681"/>
        <v/>
      </c>
    </row>
    <row r="2480" spans="20:24" x14ac:dyDescent="0.3">
      <c r="T2480" s="13" t="str">
        <f t="shared" si="677"/>
        <v/>
      </c>
      <c r="U2480" s="14" t="str">
        <f t="shared" si="678"/>
        <v/>
      </c>
      <c r="V2480" s="13" t="str">
        <f t="shared" si="679"/>
        <v/>
      </c>
      <c r="W2480" s="13" t="str">
        <f t="shared" si="680"/>
        <v/>
      </c>
      <c r="X2480" s="14" t="str">
        <f t="shared" si="681"/>
        <v/>
      </c>
    </row>
    <row r="2481" spans="20:24" x14ac:dyDescent="0.3">
      <c r="T2481" s="13" t="str">
        <f t="shared" si="677"/>
        <v/>
      </c>
      <c r="U2481" s="14" t="str">
        <f t="shared" si="678"/>
        <v/>
      </c>
      <c r="V2481" s="13" t="str">
        <f t="shared" si="679"/>
        <v/>
      </c>
      <c r="W2481" s="13" t="str">
        <f t="shared" si="680"/>
        <v/>
      </c>
      <c r="X2481" s="14" t="str">
        <f t="shared" si="681"/>
        <v/>
      </c>
    </row>
    <row r="2482" spans="20:24" x14ac:dyDescent="0.3">
      <c r="T2482" s="13" t="str">
        <f t="shared" si="677"/>
        <v/>
      </c>
      <c r="U2482" s="14" t="str">
        <f t="shared" si="678"/>
        <v/>
      </c>
      <c r="V2482" s="13" t="str">
        <f t="shared" si="679"/>
        <v/>
      </c>
      <c r="W2482" s="13" t="str">
        <f t="shared" si="680"/>
        <v/>
      </c>
      <c r="X2482" s="14" t="str">
        <f t="shared" si="681"/>
        <v/>
      </c>
    </row>
    <row r="2483" spans="20:24" x14ac:dyDescent="0.3">
      <c r="T2483" s="13" t="str">
        <f t="shared" si="677"/>
        <v/>
      </c>
      <c r="U2483" s="14" t="str">
        <f t="shared" si="678"/>
        <v/>
      </c>
      <c r="V2483" s="13" t="str">
        <f t="shared" si="679"/>
        <v/>
      </c>
      <c r="W2483" s="13" t="str">
        <f t="shared" si="680"/>
        <v/>
      </c>
      <c r="X2483" s="14" t="str">
        <f t="shared" si="681"/>
        <v/>
      </c>
    </row>
    <row r="2484" spans="20:24" x14ac:dyDescent="0.3">
      <c r="T2484" s="13" t="str">
        <f t="shared" si="677"/>
        <v/>
      </c>
      <c r="U2484" s="14" t="str">
        <f t="shared" si="678"/>
        <v/>
      </c>
      <c r="V2484" s="13" t="str">
        <f t="shared" si="679"/>
        <v/>
      </c>
      <c r="W2484" s="13" t="str">
        <f t="shared" si="680"/>
        <v/>
      </c>
      <c r="X2484" s="14" t="str">
        <f t="shared" si="681"/>
        <v/>
      </c>
    </row>
    <row r="2485" spans="20:24" x14ac:dyDescent="0.3">
      <c r="T2485" s="13" t="str">
        <f t="shared" si="677"/>
        <v/>
      </c>
      <c r="U2485" s="14" t="str">
        <f t="shared" si="678"/>
        <v/>
      </c>
      <c r="V2485" s="13" t="str">
        <f t="shared" si="679"/>
        <v/>
      </c>
      <c r="W2485" s="13" t="str">
        <f t="shared" si="680"/>
        <v/>
      </c>
      <c r="X2485" s="14" t="str">
        <f t="shared" si="681"/>
        <v/>
      </c>
    </row>
    <row r="2486" spans="20:24" x14ac:dyDescent="0.3">
      <c r="T2486" s="13" t="str">
        <f t="shared" si="677"/>
        <v/>
      </c>
      <c r="U2486" s="14" t="str">
        <f t="shared" si="678"/>
        <v/>
      </c>
      <c r="V2486" s="13" t="str">
        <f t="shared" si="679"/>
        <v/>
      </c>
      <c r="W2486" s="13" t="str">
        <f t="shared" si="680"/>
        <v/>
      </c>
      <c r="X2486" s="14" t="str">
        <f t="shared" si="681"/>
        <v/>
      </c>
    </row>
    <row r="2487" spans="20:24" x14ac:dyDescent="0.3">
      <c r="T2487" s="13" t="str">
        <f t="shared" si="677"/>
        <v/>
      </c>
      <c r="U2487" s="14" t="str">
        <f t="shared" si="678"/>
        <v/>
      </c>
      <c r="V2487" s="13" t="str">
        <f t="shared" si="679"/>
        <v/>
      </c>
      <c r="W2487" s="13" t="str">
        <f t="shared" si="680"/>
        <v/>
      </c>
      <c r="X2487" s="14" t="str">
        <f t="shared" si="681"/>
        <v/>
      </c>
    </row>
    <row r="2488" spans="20:24" x14ac:dyDescent="0.3">
      <c r="T2488" s="13" t="str">
        <f t="shared" si="677"/>
        <v/>
      </c>
      <c r="U2488" s="14" t="str">
        <f t="shared" si="678"/>
        <v/>
      </c>
      <c r="V2488" s="13" t="str">
        <f t="shared" si="679"/>
        <v/>
      </c>
      <c r="W2488" s="13" t="str">
        <f t="shared" si="680"/>
        <v/>
      </c>
      <c r="X2488" s="14" t="str">
        <f t="shared" si="681"/>
        <v/>
      </c>
    </row>
    <row r="2489" spans="20:24" x14ac:dyDescent="0.3">
      <c r="T2489" s="13" t="str">
        <f t="shared" si="677"/>
        <v/>
      </c>
      <c r="U2489" s="14" t="str">
        <f t="shared" si="678"/>
        <v/>
      </c>
      <c r="V2489" s="13" t="str">
        <f t="shared" si="679"/>
        <v/>
      </c>
      <c r="W2489" s="13" t="str">
        <f t="shared" si="680"/>
        <v/>
      </c>
      <c r="X2489" s="14" t="str">
        <f t="shared" si="681"/>
        <v/>
      </c>
    </row>
    <row r="2490" spans="20:24" x14ac:dyDescent="0.3">
      <c r="T2490" s="13" t="str">
        <f t="shared" si="677"/>
        <v/>
      </c>
      <c r="U2490" s="14" t="str">
        <f t="shared" si="678"/>
        <v/>
      </c>
      <c r="V2490" s="13" t="str">
        <f t="shared" si="679"/>
        <v/>
      </c>
      <c r="W2490" s="13" t="str">
        <f t="shared" si="680"/>
        <v/>
      </c>
      <c r="X2490" s="14" t="str">
        <f t="shared" si="681"/>
        <v/>
      </c>
    </row>
    <row r="2491" spans="20:24" x14ac:dyDescent="0.3">
      <c r="T2491" s="13" t="str">
        <f t="shared" si="677"/>
        <v/>
      </c>
      <c r="U2491" s="14" t="str">
        <f t="shared" si="678"/>
        <v/>
      </c>
      <c r="V2491" s="13" t="str">
        <f t="shared" si="679"/>
        <v/>
      </c>
      <c r="W2491" s="13" t="str">
        <f t="shared" si="680"/>
        <v/>
      </c>
      <c r="X2491" s="14" t="str">
        <f t="shared" si="681"/>
        <v/>
      </c>
    </row>
    <row r="2492" spans="20:24" x14ac:dyDescent="0.3">
      <c r="T2492" s="13" t="str">
        <f t="shared" si="677"/>
        <v/>
      </c>
      <c r="U2492" s="14" t="str">
        <f t="shared" si="678"/>
        <v/>
      </c>
      <c r="V2492" s="13" t="str">
        <f t="shared" si="679"/>
        <v/>
      </c>
      <c r="W2492" s="13" t="str">
        <f t="shared" si="680"/>
        <v/>
      </c>
      <c r="X2492" s="14" t="str">
        <f t="shared" si="681"/>
        <v/>
      </c>
    </row>
    <row r="2493" spans="20:24" x14ac:dyDescent="0.3">
      <c r="T2493" s="13" t="str">
        <f t="shared" si="677"/>
        <v/>
      </c>
      <c r="U2493" s="14" t="str">
        <f t="shared" si="678"/>
        <v/>
      </c>
      <c r="V2493" s="13" t="str">
        <f t="shared" si="679"/>
        <v/>
      </c>
      <c r="W2493" s="13" t="str">
        <f t="shared" si="680"/>
        <v/>
      </c>
      <c r="X2493" s="14" t="str">
        <f t="shared" si="681"/>
        <v/>
      </c>
    </row>
    <row r="2494" spans="20:24" x14ac:dyDescent="0.3">
      <c r="T2494" s="13" t="str">
        <f t="shared" si="677"/>
        <v/>
      </c>
      <c r="U2494" s="14" t="str">
        <f t="shared" si="678"/>
        <v/>
      </c>
      <c r="V2494" s="13" t="str">
        <f t="shared" si="679"/>
        <v/>
      </c>
      <c r="W2494" s="13" t="str">
        <f t="shared" si="680"/>
        <v/>
      </c>
      <c r="X2494" s="14" t="str">
        <f t="shared" si="681"/>
        <v/>
      </c>
    </row>
    <row r="2495" spans="20:24" x14ac:dyDescent="0.3">
      <c r="T2495" s="13" t="str">
        <f t="shared" si="677"/>
        <v/>
      </c>
      <c r="U2495" s="14" t="str">
        <f t="shared" si="678"/>
        <v/>
      </c>
      <c r="V2495" s="13" t="str">
        <f t="shared" si="679"/>
        <v/>
      </c>
      <c r="W2495" s="13" t="str">
        <f t="shared" si="680"/>
        <v/>
      </c>
      <c r="X2495" s="14" t="str">
        <f t="shared" si="681"/>
        <v/>
      </c>
    </row>
    <row r="2496" spans="20:24" x14ac:dyDescent="0.3">
      <c r="T2496" s="13" t="str">
        <f t="shared" si="677"/>
        <v/>
      </c>
      <c r="U2496" s="14" t="str">
        <f t="shared" si="678"/>
        <v/>
      </c>
      <c r="V2496" s="13" t="str">
        <f t="shared" si="679"/>
        <v/>
      </c>
      <c r="W2496" s="13" t="str">
        <f t="shared" si="680"/>
        <v/>
      </c>
      <c r="X2496" s="14" t="str">
        <f t="shared" si="681"/>
        <v/>
      </c>
    </row>
    <row r="2497" spans="20:24" x14ac:dyDescent="0.3">
      <c r="T2497" s="13" t="str">
        <f t="shared" si="677"/>
        <v/>
      </c>
      <c r="U2497" s="14" t="str">
        <f t="shared" si="678"/>
        <v/>
      </c>
      <c r="V2497" s="13" t="str">
        <f t="shared" si="679"/>
        <v/>
      </c>
      <c r="W2497" s="13" t="str">
        <f t="shared" si="680"/>
        <v/>
      </c>
      <c r="X2497" s="14" t="str">
        <f t="shared" si="681"/>
        <v/>
      </c>
    </row>
    <row r="2498" spans="20:24" x14ac:dyDescent="0.3">
      <c r="T2498" s="13" t="str">
        <f t="shared" si="677"/>
        <v/>
      </c>
      <c r="U2498" s="14" t="str">
        <f t="shared" si="678"/>
        <v/>
      </c>
      <c r="V2498" s="13" t="str">
        <f t="shared" si="679"/>
        <v/>
      </c>
      <c r="W2498" s="13" t="str">
        <f t="shared" si="680"/>
        <v/>
      </c>
      <c r="X2498" s="14" t="str">
        <f t="shared" si="681"/>
        <v/>
      </c>
    </row>
    <row r="2499" spans="20:24" x14ac:dyDescent="0.3">
      <c r="T2499" s="13" t="str">
        <f t="shared" si="677"/>
        <v/>
      </c>
      <c r="U2499" s="14" t="str">
        <f t="shared" si="678"/>
        <v/>
      </c>
      <c r="V2499" s="13" t="str">
        <f t="shared" si="679"/>
        <v/>
      </c>
      <c r="W2499" s="13" t="str">
        <f t="shared" si="680"/>
        <v/>
      </c>
      <c r="X2499" s="14" t="str">
        <f t="shared" si="681"/>
        <v/>
      </c>
    </row>
    <row r="2500" spans="20:24" x14ac:dyDescent="0.3">
      <c r="T2500" s="13" t="str">
        <f t="shared" si="677"/>
        <v/>
      </c>
      <c r="U2500" s="14" t="str">
        <f t="shared" si="678"/>
        <v/>
      </c>
      <c r="V2500" s="13" t="str">
        <f t="shared" si="679"/>
        <v/>
      </c>
      <c r="W2500" s="13" t="str">
        <f t="shared" si="680"/>
        <v/>
      </c>
      <c r="X2500" s="14" t="str">
        <f t="shared" si="681"/>
        <v/>
      </c>
    </row>
    <row r="2501" spans="20:24" x14ac:dyDescent="0.3">
      <c r="T2501" s="13" t="str">
        <f t="shared" si="677"/>
        <v/>
      </c>
      <c r="U2501" s="14" t="str">
        <f t="shared" si="678"/>
        <v/>
      </c>
      <c r="V2501" s="13" t="str">
        <f t="shared" si="679"/>
        <v/>
      </c>
      <c r="W2501" s="13" t="str">
        <f t="shared" si="680"/>
        <v/>
      </c>
      <c r="X2501" s="14" t="str">
        <f t="shared" si="681"/>
        <v/>
      </c>
    </row>
    <row r="2502" spans="20:24" x14ac:dyDescent="0.3">
      <c r="T2502" s="13" t="str">
        <f t="shared" si="677"/>
        <v/>
      </c>
      <c r="U2502" s="14" t="str">
        <f t="shared" si="678"/>
        <v/>
      </c>
      <c r="V2502" s="13" t="str">
        <f t="shared" si="679"/>
        <v/>
      </c>
      <c r="W2502" s="13" t="str">
        <f t="shared" si="680"/>
        <v/>
      </c>
      <c r="X2502" s="14" t="str">
        <f t="shared" si="681"/>
        <v/>
      </c>
    </row>
    <row r="2503" spans="20:24" x14ac:dyDescent="0.3">
      <c r="T2503" s="13" t="str">
        <f t="shared" si="677"/>
        <v/>
      </c>
      <c r="U2503" s="14" t="str">
        <f t="shared" si="678"/>
        <v/>
      </c>
      <c r="V2503" s="13" t="str">
        <f t="shared" si="679"/>
        <v/>
      </c>
      <c r="W2503" s="13" t="str">
        <f t="shared" si="680"/>
        <v/>
      </c>
      <c r="X2503" s="14" t="str">
        <f t="shared" si="681"/>
        <v/>
      </c>
    </row>
    <row r="2504" spans="20:24" x14ac:dyDescent="0.3">
      <c r="T2504" s="13" t="str">
        <f t="shared" si="677"/>
        <v/>
      </c>
      <c r="U2504" s="14" t="str">
        <f t="shared" si="678"/>
        <v/>
      </c>
      <c r="V2504" s="13" t="str">
        <f t="shared" si="679"/>
        <v/>
      </c>
      <c r="W2504" s="13" t="str">
        <f t="shared" si="680"/>
        <v/>
      </c>
      <c r="X2504" s="14" t="str">
        <f t="shared" si="681"/>
        <v/>
      </c>
    </row>
    <row r="2505" spans="20:24" x14ac:dyDescent="0.3">
      <c r="T2505" s="13" t="str">
        <f t="shared" si="677"/>
        <v/>
      </c>
      <c r="U2505" s="14" t="str">
        <f t="shared" si="678"/>
        <v/>
      </c>
      <c r="V2505" s="13" t="str">
        <f t="shared" si="679"/>
        <v/>
      </c>
      <c r="W2505" s="13" t="str">
        <f t="shared" si="680"/>
        <v/>
      </c>
      <c r="X2505" s="14" t="str">
        <f t="shared" si="681"/>
        <v/>
      </c>
    </row>
    <row r="2506" spans="20:24" x14ac:dyDescent="0.3">
      <c r="T2506" s="13" t="str">
        <f t="shared" si="677"/>
        <v/>
      </c>
      <c r="U2506" s="14" t="str">
        <f t="shared" si="678"/>
        <v/>
      </c>
      <c r="V2506" s="13" t="str">
        <f t="shared" si="679"/>
        <v/>
      </c>
      <c r="W2506" s="13" t="str">
        <f t="shared" si="680"/>
        <v/>
      </c>
      <c r="X2506" s="14" t="str">
        <f t="shared" si="681"/>
        <v/>
      </c>
    </row>
    <row r="2507" spans="20:24" x14ac:dyDescent="0.3">
      <c r="T2507" s="13" t="str">
        <f t="shared" si="677"/>
        <v/>
      </c>
      <c r="U2507" s="14" t="str">
        <f t="shared" si="678"/>
        <v/>
      </c>
      <c r="V2507" s="13" t="str">
        <f t="shared" si="679"/>
        <v/>
      </c>
      <c r="W2507" s="13" t="str">
        <f t="shared" si="680"/>
        <v/>
      </c>
      <c r="X2507" s="14" t="str">
        <f t="shared" si="681"/>
        <v/>
      </c>
    </row>
    <row r="2508" spans="20:24" x14ac:dyDescent="0.3">
      <c r="T2508" s="13" t="str">
        <f t="shared" si="677"/>
        <v/>
      </c>
      <c r="U2508" s="14" t="str">
        <f t="shared" si="678"/>
        <v/>
      </c>
      <c r="V2508" s="13" t="str">
        <f t="shared" si="679"/>
        <v/>
      </c>
      <c r="W2508" s="13" t="str">
        <f t="shared" si="680"/>
        <v/>
      </c>
      <c r="X2508" s="14" t="str">
        <f t="shared" si="681"/>
        <v/>
      </c>
    </row>
    <row r="2509" spans="20:24" x14ac:dyDescent="0.3">
      <c r="T2509" s="13" t="str">
        <f t="shared" si="677"/>
        <v/>
      </c>
      <c r="U2509" s="14" t="str">
        <f t="shared" si="678"/>
        <v/>
      </c>
      <c r="V2509" s="13" t="str">
        <f t="shared" si="679"/>
        <v/>
      </c>
      <c r="W2509" s="13" t="str">
        <f t="shared" si="680"/>
        <v/>
      </c>
      <c r="X2509" s="14" t="str">
        <f t="shared" si="681"/>
        <v/>
      </c>
    </row>
    <row r="2510" spans="20:24" x14ac:dyDescent="0.3">
      <c r="T2510" s="13" t="str">
        <f t="shared" si="677"/>
        <v/>
      </c>
      <c r="U2510" s="14" t="str">
        <f t="shared" si="678"/>
        <v/>
      </c>
      <c r="V2510" s="13" t="str">
        <f t="shared" si="679"/>
        <v/>
      </c>
      <c r="W2510" s="13" t="str">
        <f t="shared" si="680"/>
        <v/>
      </c>
      <c r="X2510" s="14" t="str">
        <f t="shared" si="681"/>
        <v/>
      </c>
    </row>
    <row r="2511" spans="20:24" x14ac:dyDescent="0.3">
      <c r="T2511" s="13" t="str">
        <f t="shared" si="677"/>
        <v/>
      </c>
      <c r="U2511" s="14" t="str">
        <f t="shared" si="678"/>
        <v/>
      </c>
      <c r="V2511" s="13" t="str">
        <f t="shared" si="679"/>
        <v/>
      </c>
      <c r="W2511" s="13" t="str">
        <f t="shared" si="680"/>
        <v/>
      </c>
      <c r="X2511" s="14" t="str">
        <f t="shared" si="681"/>
        <v/>
      </c>
    </row>
    <row r="2512" spans="20:24" x14ac:dyDescent="0.3">
      <c r="T2512" s="13" t="str">
        <f t="shared" si="677"/>
        <v/>
      </c>
      <c r="U2512" s="14" t="str">
        <f t="shared" si="678"/>
        <v/>
      </c>
      <c r="V2512" s="13" t="str">
        <f t="shared" si="679"/>
        <v/>
      </c>
      <c r="W2512" s="13" t="str">
        <f t="shared" si="680"/>
        <v/>
      </c>
      <c r="X2512" s="14" t="str">
        <f t="shared" si="681"/>
        <v/>
      </c>
    </row>
    <row r="2513" spans="20:24" x14ac:dyDescent="0.3">
      <c r="T2513" s="13" t="str">
        <f t="shared" si="677"/>
        <v/>
      </c>
      <c r="U2513" s="14" t="str">
        <f t="shared" si="678"/>
        <v/>
      </c>
      <c r="V2513" s="13" t="str">
        <f t="shared" si="679"/>
        <v/>
      </c>
      <c r="W2513" s="13" t="str">
        <f t="shared" si="680"/>
        <v/>
      </c>
      <c r="X2513" s="14" t="str">
        <f t="shared" si="681"/>
        <v/>
      </c>
    </row>
    <row r="2514" spans="20:24" x14ac:dyDescent="0.3">
      <c r="T2514" s="13" t="str">
        <f t="shared" si="677"/>
        <v/>
      </c>
      <c r="U2514" s="14" t="str">
        <f t="shared" si="678"/>
        <v/>
      </c>
      <c r="V2514" s="13" t="str">
        <f t="shared" si="679"/>
        <v/>
      </c>
      <c r="W2514" s="13" t="str">
        <f t="shared" si="680"/>
        <v/>
      </c>
      <c r="X2514" s="14" t="str">
        <f t="shared" si="681"/>
        <v/>
      </c>
    </row>
    <row r="2515" spans="20:24" x14ac:dyDescent="0.3">
      <c r="T2515" s="13" t="str">
        <f t="shared" ref="T2515:T2578" si="682">IF(A2515="",IF(A2514="","",$T$1),IF(O2515=1,"#",IF(B2515=0,"*",DEC2HEX(R2515))))</f>
        <v/>
      </c>
      <c r="U2515" s="14" t="str">
        <f t="shared" ref="U2515:U2578" si="683">IF(A2515="",IF(A2514="","",$U$1),  IF(B2515=0,Q2515,I2515)  )</f>
        <v/>
      </c>
      <c r="V2515" s="13" t="str">
        <f t="shared" ref="V2515:V2578" si="684">IF(U2515=$U$1,"",IF(A2515="",IF(A2514="","",1),  IF(B2515=0,1,D2515)  ))</f>
        <v/>
      </c>
      <c r="W2515" s="13" t="str">
        <f t="shared" ref="W2515:W2578" si="685">IF(U2515=$U$1,"",IF(A2515="",IF(A2514="","",0),  IF(C2515=0,0,0)  ))</f>
        <v/>
      </c>
      <c r="X2515" s="14" t="str">
        <f t="shared" ref="X2515:X2578" si="686">IF(U2515=$U$1,"",IF(U2515="","",IF(B2515&gt;0,IF(Q2515&lt;&gt;"",Q2515,"No description"),"-")))</f>
        <v/>
      </c>
    </row>
    <row r="2516" spans="20:24" x14ac:dyDescent="0.3">
      <c r="T2516" s="13" t="str">
        <f t="shared" si="682"/>
        <v/>
      </c>
      <c r="U2516" s="14" t="str">
        <f t="shared" si="683"/>
        <v/>
      </c>
      <c r="V2516" s="13" t="str">
        <f t="shared" si="684"/>
        <v/>
      </c>
      <c r="W2516" s="13" t="str">
        <f t="shared" si="685"/>
        <v/>
      </c>
      <c r="X2516" s="14" t="str">
        <f t="shared" si="686"/>
        <v/>
      </c>
    </row>
    <row r="2517" spans="20:24" x14ac:dyDescent="0.3">
      <c r="T2517" s="13" t="str">
        <f t="shared" si="682"/>
        <v/>
      </c>
      <c r="U2517" s="14" t="str">
        <f t="shared" si="683"/>
        <v/>
      </c>
      <c r="V2517" s="13" t="str">
        <f t="shared" si="684"/>
        <v/>
      </c>
      <c r="W2517" s="13" t="str">
        <f t="shared" si="685"/>
        <v/>
      </c>
      <c r="X2517" s="14" t="str">
        <f t="shared" si="686"/>
        <v/>
      </c>
    </row>
    <row r="2518" spans="20:24" x14ac:dyDescent="0.3">
      <c r="T2518" s="13" t="str">
        <f t="shared" si="682"/>
        <v/>
      </c>
      <c r="U2518" s="14" t="str">
        <f t="shared" si="683"/>
        <v/>
      </c>
      <c r="V2518" s="13" t="str">
        <f t="shared" si="684"/>
        <v/>
      </c>
      <c r="W2518" s="13" t="str">
        <f t="shared" si="685"/>
        <v/>
      </c>
      <c r="X2518" s="14" t="str">
        <f t="shared" si="686"/>
        <v/>
      </c>
    </row>
    <row r="2519" spans="20:24" x14ac:dyDescent="0.3">
      <c r="T2519" s="13" t="str">
        <f t="shared" si="682"/>
        <v/>
      </c>
      <c r="U2519" s="14" t="str">
        <f t="shared" si="683"/>
        <v/>
      </c>
      <c r="V2519" s="13" t="str">
        <f t="shared" si="684"/>
        <v/>
      </c>
      <c r="W2519" s="13" t="str">
        <f t="shared" si="685"/>
        <v/>
      </c>
      <c r="X2519" s="14" t="str">
        <f t="shared" si="686"/>
        <v/>
      </c>
    </row>
    <row r="2520" spans="20:24" x14ac:dyDescent="0.3">
      <c r="T2520" s="13" t="str">
        <f t="shared" si="682"/>
        <v/>
      </c>
      <c r="U2520" s="14" t="str">
        <f t="shared" si="683"/>
        <v/>
      </c>
      <c r="V2520" s="13" t="str">
        <f t="shared" si="684"/>
        <v/>
      </c>
      <c r="W2520" s="13" t="str">
        <f t="shared" si="685"/>
        <v/>
      </c>
      <c r="X2520" s="14" t="str">
        <f t="shared" si="686"/>
        <v/>
      </c>
    </row>
    <row r="2521" spans="20:24" x14ac:dyDescent="0.3">
      <c r="T2521" s="13" t="str">
        <f t="shared" si="682"/>
        <v/>
      </c>
      <c r="U2521" s="14" t="str">
        <f t="shared" si="683"/>
        <v/>
      </c>
      <c r="V2521" s="13" t="str">
        <f t="shared" si="684"/>
        <v/>
      </c>
      <c r="W2521" s="13" t="str">
        <f t="shared" si="685"/>
        <v/>
      </c>
      <c r="X2521" s="14" t="str">
        <f t="shared" si="686"/>
        <v/>
      </c>
    </row>
    <row r="2522" spans="20:24" x14ac:dyDescent="0.3">
      <c r="T2522" s="13" t="str">
        <f t="shared" si="682"/>
        <v/>
      </c>
      <c r="U2522" s="14" t="str">
        <f t="shared" si="683"/>
        <v/>
      </c>
      <c r="V2522" s="13" t="str">
        <f t="shared" si="684"/>
        <v/>
      </c>
      <c r="W2522" s="13" t="str">
        <f t="shared" si="685"/>
        <v/>
      </c>
      <c r="X2522" s="14" t="str">
        <f t="shared" si="686"/>
        <v/>
      </c>
    </row>
    <row r="2523" spans="20:24" x14ac:dyDescent="0.3">
      <c r="T2523" s="13" t="str">
        <f t="shared" si="682"/>
        <v/>
      </c>
      <c r="U2523" s="14" t="str">
        <f t="shared" si="683"/>
        <v/>
      </c>
      <c r="V2523" s="13" t="str">
        <f t="shared" si="684"/>
        <v/>
      </c>
      <c r="W2523" s="13" t="str">
        <f t="shared" si="685"/>
        <v/>
      </c>
      <c r="X2523" s="14" t="str">
        <f t="shared" si="686"/>
        <v/>
      </c>
    </row>
    <row r="2524" spans="20:24" x14ac:dyDescent="0.3">
      <c r="T2524" s="13" t="str">
        <f t="shared" si="682"/>
        <v/>
      </c>
      <c r="U2524" s="14" t="str">
        <f t="shared" si="683"/>
        <v/>
      </c>
      <c r="V2524" s="13" t="str">
        <f t="shared" si="684"/>
        <v/>
      </c>
      <c r="W2524" s="13" t="str">
        <f t="shared" si="685"/>
        <v/>
      </c>
      <c r="X2524" s="14" t="str">
        <f t="shared" si="686"/>
        <v/>
      </c>
    </row>
    <row r="2525" spans="20:24" x14ac:dyDescent="0.3">
      <c r="T2525" s="13" t="str">
        <f t="shared" si="682"/>
        <v/>
      </c>
      <c r="U2525" s="14" t="str">
        <f t="shared" si="683"/>
        <v/>
      </c>
      <c r="V2525" s="13" t="str">
        <f t="shared" si="684"/>
        <v/>
      </c>
      <c r="W2525" s="13" t="str">
        <f t="shared" si="685"/>
        <v/>
      </c>
      <c r="X2525" s="14" t="str">
        <f t="shared" si="686"/>
        <v/>
      </c>
    </row>
    <row r="2526" spans="20:24" x14ac:dyDescent="0.3">
      <c r="T2526" s="13" t="str">
        <f t="shared" si="682"/>
        <v/>
      </c>
      <c r="U2526" s="14" t="str">
        <f t="shared" si="683"/>
        <v/>
      </c>
      <c r="V2526" s="13" t="str">
        <f t="shared" si="684"/>
        <v/>
      </c>
      <c r="W2526" s="13" t="str">
        <f t="shared" si="685"/>
        <v/>
      </c>
      <c r="X2526" s="14" t="str">
        <f t="shared" si="686"/>
        <v/>
      </c>
    </row>
    <row r="2527" spans="20:24" x14ac:dyDescent="0.3">
      <c r="T2527" s="13" t="str">
        <f t="shared" si="682"/>
        <v/>
      </c>
      <c r="U2527" s="14" t="str">
        <f t="shared" si="683"/>
        <v/>
      </c>
      <c r="V2527" s="13" t="str">
        <f t="shared" si="684"/>
        <v/>
      </c>
      <c r="W2527" s="13" t="str">
        <f t="shared" si="685"/>
        <v/>
      </c>
      <c r="X2527" s="14" t="str">
        <f t="shared" si="686"/>
        <v/>
      </c>
    </row>
    <row r="2528" spans="20:24" x14ac:dyDescent="0.3">
      <c r="T2528" s="13" t="str">
        <f t="shared" si="682"/>
        <v/>
      </c>
      <c r="U2528" s="14" t="str">
        <f t="shared" si="683"/>
        <v/>
      </c>
      <c r="V2528" s="13" t="str">
        <f t="shared" si="684"/>
        <v/>
      </c>
      <c r="W2528" s="13" t="str">
        <f t="shared" si="685"/>
        <v/>
      </c>
      <c r="X2528" s="14" t="str">
        <f t="shared" si="686"/>
        <v/>
      </c>
    </row>
    <row r="2529" spans="20:24" x14ac:dyDescent="0.3">
      <c r="T2529" s="13" t="str">
        <f t="shared" si="682"/>
        <v/>
      </c>
      <c r="U2529" s="14" t="str">
        <f t="shared" si="683"/>
        <v/>
      </c>
      <c r="V2529" s="13" t="str">
        <f t="shared" si="684"/>
        <v/>
      </c>
      <c r="W2529" s="13" t="str">
        <f t="shared" si="685"/>
        <v/>
      </c>
      <c r="X2529" s="14" t="str">
        <f t="shared" si="686"/>
        <v/>
      </c>
    </row>
    <row r="2530" spans="20:24" x14ac:dyDescent="0.3">
      <c r="T2530" s="13" t="str">
        <f t="shared" si="682"/>
        <v/>
      </c>
      <c r="U2530" s="14" t="str">
        <f t="shared" si="683"/>
        <v/>
      </c>
      <c r="V2530" s="13" t="str">
        <f t="shared" si="684"/>
        <v/>
      </c>
      <c r="W2530" s="13" t="str">
        <f t="shared" si="685"/>
        <v/>
      </c>
      <c r="X2530" s="14" t="str">
        <f t="shared" si="686"/>
        <v/>
      </c>
    </row>
    <row r="2531" spans="20:24" x14ac:dyDescent="0.3">
      <c r="T2531" s="13" t="str">
        <f t="shared" si="682"/>
        <v/>
      </c>
      <c r="U2531" s="14" t="str">
        <f t="shared" si="683"/>
        <v/>
      </c>
      <c r="V2531" s="13" t="str">
        <f t="shared" si="684"/>
        <v/>
      </c>
      <c r="W2531" s="13" t="str">
        <f t="shared" si="685"/>
        <v/>
      </c>
      <c r="X2531" s="14" t="str">
        <f t="shared" si="686"/>
        <v/>
      </c>
    </row>
    <row r="2532" spans="20:24" x14ac:dyDescent="0.3">
      <c r="T2532" s="13" t="str">
        <f t="shared" si="682"/>
        <v/>
      </c>
      <c r="U2532" s="14" t="str">
        <f t="shared" si="683"/>
        <v/>
      </c>
      <c r="V2532" s="13" t="str">
        <f t="shared" si="684"/>
        <v/>
      </c>
      <c r="W2532" s="13" t="str">
        <f t="shared" si="685"/>
        <v/>
      </c>
      <c r="X2532" s="14" t="str">
        <f t="shared" si="686"/>
        <v/>
      </c>
    </row>
    <row r="2533" spans="20:24" x14ac:dyDescent="0.3">
      <c r="T2533" s="13" t="str">
        <f t="shared" si="682"/>
        <v/>
      </c>
      <c r="U2533" s="14" t="str">
        <f t="shared" si="683"/>
        <v/>
      </c>
      <c r="V2533" s="13" t="str">
        <f t="shared" si="684"/>
        <v/>
      </c>
      <c r="W2533" s="13" t="str">
        <f t="shared" si="685"/>
        <v/>
      </c>
      <c r="X2533" s="14" t="str">
        <f t="shared" si="686"/>
        <v/>
      </c>
    </row>
    <row r="2534" spans="20:24" x14ac:dyDescent="0.3">
      <c r="T2534" s="13" t="str">
        <f t="shared" si="682"/>
        <v/>
      </c>
      <c r="U2534" s="14" t="str">
        <f t="shared" si="683"/>
        <v/>
      </c>
      <c r="V2534" s="13" t="str">
        <f t="shared" si="684"/>
        <v/>
      </c>
      <c r="W2534" s="13" t="str">
        <f t="shared" si="685"/>
        <v/>
      </c>
      <c r="X2534" s="14" t="str">
        <f t="shared" si="686"/>
        <v/>
      </c>
    </row>
    <row r="2535" spans="20:24" x14ac:dyDescent="0.3">
      <c r="T2535" s="13" t="str">
        <f t="shared" si="682"/>
        <v/>
      </c>
      <c r="U2535" s="14" t="str">
        <f t="shared" si="683"/>
        <v/>
      </c>
      <c r="V2535" s="13" t="str">
        <f t="shared" si="684"/>
        <v/>
      </c>
      <c r="W2535" s="13" t="str">
        <f t="shared" si="685"/>
        <v/>
      </c>
      <c r="X2535" s="14" t="str">
        <f t="shared" si="686"/>
        <v/>
      </c>
    </row>
    <row r="2536" spans="20:24" x14ac:dyDescent="0.3">
      <c r="T2536" s="13" t="str">
        <f t="shared" si="682"/>
        <v/>
      </c>
      <c r="U2536" s="14" t="str">
        <f t="shared" si="683"/>
        <v/>
      </c>
      <c r="V2536" s="13" t="str">
        <f t="shared" si="684"/>
        <v/>
      </c>
      <c r="W2536" s="13" t="str">
        <f t="shared" si="685"/>
        <v/>
      </c>
      <c r="X2536" s="14" t="str">
        <f t="shared" si="686"/>
        <v/>
      </c>
    </row>
    <row r="2537" spans="20:24" x14ac:dyDescent="0.3">
      <c r="T2537" s="13" t="str">
        <f t="shared" si="682"/>
        <v/>
      </c>
      <c r="U2537" s="14" t="str">
        <f t="shared" si="683"/>
        <v/>
      </c>
      <c r="V2537" s="13" t="str">
        <f t="shared" si="684"/>
        <v/>
      </c>
      <c r="W2537" s="13" t="str">
        <f t="shared" si="685"/>
        <v/>
      </c>
      <c r="X2537" s="14" t="str">
        <f t="shared" si="686"/>
        <v/>
      </c>
    </row>
    <row r="2538" spans="20:24" x14ac:dyDescent="0.3">
      <c r="T2538" s="13" t="str">
        <f t="shared" si="682"/>
        <v/>
      </c>
      <c r="U2538" s="14" t="str">
        <f t="shared" si="683"/>
        <v/>
      </c>
      <c r="V2538" s="13" t="str">
        <f t="shared" si="684"/>
        <v/>
      </c>
      <c r="W2538" s="13" t="str">
        <f t="shared" si="685"/>
        <v/>
      </c>
      <c r="X2538" s="14" t="str">
        <f t="shared" si="686"/>
        <v/>
      </c>
    </row>
    <row r="2539" spans="20:24" x14ac:dyDescent="0.3">
      <c r="T2539" s="13" t="str">
        <f t="shared" si="682"/>
        <v/>
      </c>
      <c r="U2539" s="14" t="str">
        <f t="shared" si="683"/>
        <v/>
      </c>
      <c r="V2539" s="13" t="str">
        <f t="shared" si="684"/>
        <v/>
      </c>
      <c r="W2539" s="13" t="str">
        <f t="shared" si="685"/>
        <v/>
      </c>
      <c r="X2539" s="14" t="str">
        <f t="shared" si="686"/>
        <v/>
      </c>
    </row>
    <row r="2540" spans="20:24" x14ac:dyDescent="0.3">
      <c r="T2540" s="13" t="str">
        <f t="shared" si="682"/>
        <v/>
      </c>
      <c r="U2540" s="14" t="str">
        <f t="shared" si="683"/>
        <v/>
      </c>
      <c r="V2540" s="13" t="str">
        <f t="shared" si="684"/>
        <v/>
      </c>
      <c r="W2540" s="13" t="str">
        <f t="shared" si="685"/>
        <v/>
      </c>
      <c r="X2540" s="14" t="str">
        <f t="shared" si="686"/>
        <v/>
      </c>
    </row>
    <row r="2541" spans="20:24" x14ac:dyDescent="0.3">
      <c r="T2541" s="13" t="str">
        <f t="shared" si="682"/>
        <v/>
      </c>
      <c r="U2541" s="14" t="str">
        <f t="shared" si="683"/>
        <v/>
      </c>
      <c r="V2541" s="13" t="str">
        <f t="shared" si="684"/>
        <v/>
      </c>
      <c r="W2541" s="13" t="str">
        <f t="shared" si="685"/>
        <v/>
      </c>
      <c r="X2541" s="14" t="str">
        <f t="shared" si="686"/>
        <v/>
      </c>
    </row>
    <row r="2542" spans="20:24" x14ac:dyDescent="0.3">
      <c r="T2542" s="13" t="str">
        <f t="shared" si="682"/>
        <v/>
      </c>
      <c r="U2542" s="14" t="str">
        <f t="shared" si="683"/>
        <v/>
      </c>
      <c r="V2542" s="13" t="str">
        <f t="shared" si="684"/>
        <v/>
      </c>
      <c r="W2542" s="13" t="str">
        <f t="shared" si="685"/>
        <v/>
      </c>
      <c r="X2542" s="14" t="str">
        <f t="shared" si="686"/>
        <v/>
      </c>
    </row>
    <row r="2543" spans="20:24" x14ac:dyDescent="0.3">
      <c r="T2543" s="13" t="str">
        <f t="shared" si="682"/>
        <v/>
      </c>
      <c r="U2543" s="14" t="str">
        <f t="shared" si="683"/>
        <v/>
      </c>
      <c r="V2543" s="13" t="str">
        <f t="shared" si="684"/>
        <v/>
      </c>
      <c r="W2543" s="13" t="str">
        <f t="shared" si="685"/>
        <v/>
      </c>
      <c r="X2543" s="14" t="str">
        <f t="shared" si="686"/>
        <v/>
      </c>
    </row>
    <row r="2544" spans="20:24" x14ac:dyDescent="0.3">
      <c r="T2544" s="13" t="str">
        <f t="shared" si="682"/>
        <v/>
      </c>
      <c r="U2544" s="14" t="str">
        <f t="shared" si="683"/>
        <v/>
      </c>
      <c r="V2544" s="13" t="str">
        <f t="shared" si="684"/>
        <v/>
      </c>
      <c r="W2544" s="13" t="str">
        <f t="shared" si="685"/>
        <v/>
      </c>
      <c r="X2544" s="14" t="str">
        <f t="shared" si="686"/>
        <v/>
      </c>
    </row>
    <row r="2545" spans="20:24" x14ac:dyDescent="0.3">
      <c r="T2545" s="13" t="str">
        <f t="shared" si="682"/>
        <v/>
      </c>
      <c r="U2545" s="14" t="str">
        <f t="shared" si="683"/>
        <v/>
      </c>
      <c r="V2545" s="13" t="str">
        <f t="shared" si="684"/>
        <v/>
      </c>
      <c r="W2545" s="13" t="str">
        <f t="shared" si="685"/>
        <v/>
      </c>
      <c r="X2545" s="14" t="str">
        <f t="shared" si="686"/>
        <v/>
      </c>
    </row>
    <row r="2546" spans="20:24" x14ac:dyDescent="0.3">
      <c r="T2546" s="13" t="str">
        <f t="shared" si="682"/>
        <v/>
      </c>
      <c r="U2546" s="14" t="str">
        <f t="shared" si="683"/>
        <v/>
      </c>
      <c r="V2546" s="13" t="str">
        <f t="shared" si="684"/>
        <v/>
      </c>
      <c r="W2546" s="13" t="str">
        <f t="shared" si="685"/>
        <v/>
      </c>
      <c r="X2546" s="14" t="str">
        <f t="shared" si="686"/>
        <v/>
      </c>
    </row>
    <row r="2547" spans="20:24" x14ac:dyDescent="0.3">
      <c r="T2547" s="13" t="str">
        <f t="shared" si="682"/>
        <v/>
      </c>
      <c r="U2547" s="14" t="str">
        <f t="shared" si="683"/>
        <v/>
      </c>
      <c r="V2547" s="13" t="str">
        <f t="shared" si="684"/>
        <v/>
      </c>
      <c r="W2547" s="13" t="str">
        <f t="shared" si="685"/>
        <v/>
      </c>
      <c r="X2547" s="14" t="str">
        <f t="shared" si="686"/>
        <v/>
      </c>
    </row>
    <row r="2548" spans="20:24" x14ac:dyDescent="0.3">
      <c r="T2548" s="13" t="str">
        <f t="shared" si="682"/>
        <v/>
      </c>
      <c r="U2548" s="14" t="str">
        <f t="shared" si="683"/>
        <v/>
      </c>
      <c r="V2548" s="13" t="str">
        <f t="shared" si="684"/>
        <v/>
      </c>
      <c r="W2548" s="13" t="str">
        <f t="shared" si="685"/>
        <v/>
      </c>
      <c r="X2548" s="14" t="str">
        <f t="shared" si="686"/>
        <v/>
      </c>
    </row>
    <row r="2549" spans="20:24" x14ac:dyDescent="0.3">
      <c r="T2549" s="13" t="str">
        <f t="shared" si="682"/>
        <v/>
      </c>
      <c r="U2549" s="14" t="str">
        <f t="shared" si="683"/>
        <v/>
      </c>
      <c r="V2549" s="13" t="str">
        <f t="shared" si="684"/>
        <v/>
      </c>
      <c r="W2549" s="13" t="str">
        <f t="shared" si="685"/>
        <v/>
      </c>
      <c r="X2549" s="14" t="str">
        <f t="shared" si="686"/>
        <v/>
      </c>
    </row>
    <row r="2550" spans="20:24" x14ac:dyDescent="0.3">
      <c r="T2550" s="13" t="str">
        <f t="shared" si="682"/>
        <v/>
      </c>
      <c r="U2550" s="14" t="str">
        <f t="shared" si="683"/>
        <v/>
      </c>
      <c r="V2550" s="13" t="str">
        <f t="shared" si="684"/>
        <v/>
      </c>
      <c r="W2550" s="13" t="str">
        <f t="shared" si="685"/>
        <v/>
      </c>
      <c r="X2550" s="14" t="str">
        <f t="shared" si="686"/>
        <v/>
      </c>
    </row>
    <row r="2551" spans="20:24" x14ac:dyDescent="0.3">
      <c r="T2551" s="13" t="str">
        <f t="shared" si="682"/>
        <v/>
      </c>
      <c r="U2551" s="14" t="str">
        <f t="shared" si="683"/>
        <v/>
      </c>
      <c r="V2551" s="13" t="str">
        <f t="shared" si="684"/>
        <v/>
      </c>
      <c r="W2551" s="13" t="str">
        <f t="shared" si="685"/>
        <v/>
      </c>
      <c r="X2551" s="14" t="str">
        <f t="shared" si="686"/>
        <v/>
      </c>
    </row>
    <row r="2552" spans="20:24" x14ac:dyDescent="0.3">
      <c r="T2552" s="13" t="str">
        <f t="shared" si="682"/>
        <v/>
      </c>
      <c r="U2552" s="14" t="str">
        <f t="shared" si="683"/>
        <v/>
      </c>
      <c r="V2552" s="13" t="str">
        <f t="shared" si="684"/>
        <v/>
      </c>
      <c r="W2552" s="13" t="str">
        <f t="shared" si="685"/>
        <v/>
      </c>
      <c r="X2552" s="14" t="str">
        <f t="shared" si="686"/>
        <v/>
      </c>
    </row>
    <row r="2553" spans="20:24" x14ac:dyDescent="0.3">
      <c r="T2553" s="13" t="str">
        <f t="shared" si="682"/>
        <v/>
      </c>
      <c r="U2553" s="14" t="str">
        <f t="shared" si="683"/>
        <v/>
      </c>
      <c r="V2553" s="13" t="str">
        <f t="shared" si="684"/>
        <v/>
      </c>
      <c r="W2553" s="13" t="str">
        <f t="shared" si="685"/>
        <v/>
      </c>
      <c r="X2553" s="14" t="str">
        <f t="shared" si="686"/>
        <v/>
      </c>
    </row>
    <row r="2554" spans="20:24" x14ac:dyDescent="0.3">
      <c r="T2554" s="13" t="str">
        <f t="shared" si="682"/>
        <v/>
      </c>
      <c r="U2554" s="14" t="str">
        <f t="shared" si="683"/>
        <v/>
      </c>
      <c r="V2554" s="13" t="str">
        <f t="shared" si="684"/>
        <v/>
      </c>
      <c r="W2554" s="13" t="str">
        <f t="shared" si="685"/>
        <v/>
      </c>
      <c r="X2554" s="14" t="str">
        <f t="shared" si="686"/>
        <v/>
      </c>
    </row>
    <row r="2555" spans="20:24" x14ac:dyDescent="0.3">
      <c r="T2555" s="13" t="str">
        <f t="shared" si="682"/>
        <v/>
      </c>
      <c r="U2555" s="14" t="str">
        <f t="shared" si="683"/>
        <v/>
      </c>
      <c r="V2555" s="13" t="str">
        <f t="shared" si="684"/>
        <v/>
      </c>
      <c r="W2555" s="13" t="str">
        <f t="shared" si="685"/>
        <v/>
      </c>
      <c r="X2555" s="14" t="str">
        <f t="shared" si="686"/>
        <v/>
      </c>
    </row>
    <row r="2556" spans="20:24" x14ac:dyDescent="0.3">
      <c r="T2556" s="13" t="str">
        <f t="shared" si="682"/>
        <v/>
      </c>
      <c r="U2556" s="14" t="str">
        <f t="shared" si="683"/>
        <v/>
      </c>
      <c r="V2556" s="13" t="str">
        <f t="shared" si="684"/>
        <v/>
      </c>
      <c r="W2556" s="13" t="str">
        <f t="shared" si="685"/>
        <v/>
      </c>
      <c r="X2556" s="14" t="str">
        <f t="shared" si="686"/>
        <v/>
      </c>
    </row>
    <row r="2557" spans="20:24" x14ac:dyDescent="0.3">
      <c r="T2557" s="13" t="str">
        <f t="shared" si="682"/>
        <v/>
      </c>
      <c r="U2557" s="14" t="str">
        <f t="shared" si="683"/>
        <v/>
      </c>
      <c r="V2557" s="13" t="str">
        <f t="shared" si="684"/>
        <v/>
      </c>
      <c r="W2557" s="13" t="str">
        <f t="shared" si="685"/>
        <v/>
      </c>
      <c r="X2557" s="14" t="str">
        <f t="shared" si="686"/>
        <v/>
      </c>
    </row>
    <row r="2558" spans="20:24" x14ac:dyDescent="0.3">
      <c r="T2558" s="13" t="str">
        <f t="shared" si="682"/>
        <v/>
      </c>
      <c r="U2558" s="14" t="str">
        <f t="shared" si="683"/>
        <v/>
      </c>
      <c r="V2558" s="13" t="str">
        <f t="shared" si="684"/>
        <v/>
      </c>
      <c r="W2558" s="13" t="str">
        <f t="shared" si="685"/>
        <v/>
      </c>
      <c r="X2558" s="14" t="str">
        <f t="shared" si="686"/>
        <v/>
      </c>
    </row>
    <row r="2559" spans="20:24" x14ac:dyDescent="0.3">
      <c r="T2559" s="13" t="str">
        <f t="shared" si="682"/>
        <v/>
      </c>
      <c r="U2559" s="14" t="str">
        <f t="shared" si="683"/>
        <v/>
      </c>
      <c r="V2559" s="13" t="str">
        <f t="shared" si="684"/>
        <v/>
      </c>
      <c r="W2559" s="13" t="str">
        <f t="shared" si="685"/>
        <v/>
      </c>
      <c r="X2559" s="14" t="str">
        <f t="shared" si="686"/>
        <v/>
      </c>
    </row>
    <row r="2560" spans="20:24" x14ac:dyDescent="0.3">
      <c r="T2560" s="13" t="str">
        <f t="shared" si="682"/>
        <v/>
      </c>
      <c r="U2560" s="14" t="str">
        <f t="shared" si="683"/>
        <v/>
      </c>
      <c r="V2560" s="13" t="str">
        <f t="shared" si="684"/>
        <v/>
      </c>
      <c r="W2560" s="13" t="str">
        <f t="shared" si="685"/>
        <v/>
      </c>
      <c r="X2560" s="14" t="str">
        <f t="shared" si="686"/>
        <v/>
      </c>
    </row>
    <row r="2561" spans="20:24" x14ac:dyDescent="0.3">
      <c r="T2561" s="13" t="str">
        <f t="shared" si="682"/>
        <v/>
      </c>
      <c r="U2561" s="14" t="str">
        <f t="shared" si="683"/>
        <v/>
      </c>
      <c r="V2561" s="13" t="str">
        <f t="shared" si="684"/>
        <v/>
      </c>
      <c r="W2561" s="13" t="str">
        <f t="shared" si="685"/>
        <v/>
      </c>
      <c r="X2561" s="14" t="str">
        <f t="shared" si="686"/>
        <v/>
      </c>
    </row>
    <row r="2562" spans="20:24" x14ac:dyDescent="0.3">
      <c r="T2562" s="13" t="str">
        <f t="shared" si="682"/>
        <v/>
      </c>
      <c r="U2562" s="14" t="str">
        <f t="shared" si="683"/>
        <v/>
      </c>
      <c r="V2562" s="13" t="str">
        <f t="shared" si="684"/>
        <v/>
      </c>
      <c r="W2562" s="13" t="str">
        <f t="shared" si="685"/>
        <v/>
      </c>
      <c r="X2562" s="14" t="str">
        <f t="shared" si="686"/>
        <v/>
      </c>
    </row>
    <row r="2563" spans="20:24" x14ac:dyDescent="0.3">
      <c r="T2563" s="13" t="str">
        <f t="shared" si="682"/>
        <v/>
      </c>
      <c r="U2563" s="14" t="str">
        <f t="shared" si="683"/>
        <v/>
      </c>
      <c r="V2563" s="13" t="str">
        <f t="shared" si="684"/>
        <v/>
      </c>
      <c r="W2563" s="13" t="str">
        <f t="shared" si="685"/>
        <v/>
      </c>
      <c r="X2563" s="14" t="str">
        <f t="shared" si="686"/>
        <v/>
      </c>
    </row>
    <row r="2564" spans="20:24" x14ac:dyDescent="0.3">
      <c r="T2564" s="13" t="str">
        <f t="shared" si="682"/>
        <v/>
      </c>
      <c r="U2564" s="14" t="str">
        <f t="shared" si="683"/>
        <v/>
      </c>
      <c r="V2564" s="13" t="str">
        <f t="shared" si="684"/>
        <v/>
      </c>
      <c r="W2564" s="13" t="str">
        <f t="shared" si="685"/>
        <v/>
      </c>
      <c r="X2564" s="14" t="str">
        <f t="shared" si="686"/>
        <v/>
      </c>
    </row>
    <row r="2565" spans="20:24" x14ac:dyDescent="0.3">
      <c r="T2565" s="13" t="str">
        <f t="shared" si="682"/>
        <v/>
      </c>
      <c r="U2565" s="14" t="str">
        <f t="shared" si="683"/>
        <v/>
      </c>
      <c r="V2565" s="13" t="str">
        <f t="shared" si="684"/>
        <v/>
      </c>
      <c r="W2565" s="13" t="str">
        <f t="shared" si="685"/>
        <v/>
      </c>
      <c r="X2565" s="14" t="str">
        <f t="shared" si="686"/>
        <v/>
      </c>
    </row>
    <row r="2566" spans="20:24" x14ac:dyDescent="0.3">
      <c r="T2566" s="13" t="str">
        <f t="shared" si="682"/>
        <v/>
      </c>
      <c r="U2566" s="14" t="str">
        <f t="shared" si="683"/>
        <v/>
      </c>
      <c r="V2566" s="13" t="str">
        <f t="shared" si="684"/>
        <v/>
      </c>
      <c r="W2566" s="13" t="str">
        <f t="shared" si="685"/>
        <v/>
      </c>
      <c r="X2566" s="14" t="str">
        <f t="shared" si="686"/>
        <v/>
      </c>
    </row>
    <row r="2567" spans="20:24" x14ac:dyDescent="0.3">
      <c r="T2567" s="13" t="str">
        <f t="shared" si="682"/>
        <v/>
      </c>
      <c r="U2567" s="14" t="str">
        <f t="shared" si="683"/>
        <v/>
      </c>
      <c r="V2567" s="13" t="str">
        <f t="shared" si="684"/>
        <v/>
      </c>
      <c r="W2567" s="13" t="str">
        <f t="shared" si="685"/>
        <v/>
      </c>
      <c r="X2567" s="14" t="str">
        <f t="shared" si="686"/>
        <v/>
      </c>
    </row>
    <row r="2568" spans="20:24" x14ac:dyDescent="0.3">
      <c r="T2568" s="13" t="str">
        <f t="shared" si="682"/>
        <v/>
      </c>
      <c r="U2568" s="14" t="str">
        <f t="shared" si="683"/>
        <v/>
      </c>
      <c r="V2568" s="13" t="str">
        <f t="shared" si="684"/>
        <v/>
      </c>
      <c r="W2568" s="13" t="str">
        <f t="shared" si="685"/>
        <v/>
      </c>
      <c r="X2568" s="14" t="str">
        <f t="shared" si="686"/>
        <v/>
      </c>
    </row>
    <row r="2569" spans="20:24" x14ac:dyDescent="0.3">
      <c r="T2569" s="13" t="str">
        <f t="shared" si="682"/>
        <v/>
      </c>
      <c r="U2569" s="14" t="str">
        <f t="shared" si="683"/>
        <v/>
      </c>
      <c r="V2569" s="13" t="str">
        <f t="shared" si="684"/>
        <v/>
      </c>
      <c r="W2569" s="13" t="str">
        <f t="shared" si="685"/>
        <v/>
      </c>
      <c r="X2569" s="14" t="str">
        <f t="shared" si="686"/>
        <v/>
      </c>
    </row>
    <row r="2570" spans="20:24" x14ac:dyDescent="0.3">
      <c r="T2570" s="13" t="str">
        <f t="shared" si="682"/>
        <v/>
      </c>
      <c r="U2570" s="14" t="str">
        <f t="shared" si="683"/>
        <v/>
      </c>
      <c r="V2570" s="13" t="str">
        <f t="shared" si="684"/>
        <v/>
      </c>
      <c r="W2570" s="13" t="str">
        <f t="shared" si="685"/>
        <v/>
      </c>
      <c r="X2570" s="14" t="str">
        <f t="shared" si="686"/>
        <v/>
      </c>
    </row>
    <row r="2571" spans="20:24" x14ac:dyDescent="0.3">
      <c r="T2571" s="13" t="str">
        <f t="shared" si="682"/>
        <v/>
      </c>
      <c r="U2571" s="14" t="str">
        <f t="shared" si="683"/>
        <v/>
      </c>
      <c r="V2571" s="13" t="str">
        <f t="shared" si="684"/>
        <v/>
      </c>
      <c r="W2571" s="13" t="str">
        <f t="shared" si="685"/>
        <v/>
      </c>
      <c r="X2571" s="14" t="str">
        <f t="shared" si="686"/>
        <v/>
      </c>
    </row>
    <row r="2572" spans="20:24" x14ac:dyDescent="0.3">
      <c r="T2572" s="13" t="str">
        <f t="shared" si="682"/>
        <v/>
      </c>
      <c r="U2572" s="14" t="str">
        <f t="shared" si="683"/>
        <v/>
      </c>
      <c r="V2572" s="13" t="str">
        <f t="shared" si="684"/>
        <v/>
      </c>
      <c r="W2572" s="13" t="str">
        <f t="shared" si="685"/>
        <v/>
      </c>
      <c r="X2572" s="14" t="str">
        <f t="shared" si="686"/>
        <v/>
      </c>
    </row>
    <row r="2573" spans="20:24" x14ac:dyDescent="0.3">
      <c r="T2573" s="13" t="str">
        <f t="shared" si="682"/>
        <v/>
      </c>
      <c r="U2573" s="14" t="str">
        <f t="shared" si="683"/>
        <v/>
      </c>
      <c r="V2573" s="13" t="str">
        <f t="shared" si="684"/>
        <v/>
      </c>
      <c r="W2573" s="13" t="str">
        <f t="shared" si="685"/>
        <v/>
      </c>
      <c r="X2573" s="14" t="str">
        <f t="shared" si="686"/>
        <v/>
      </c>
    </row>
    <row r="2574" spans="20:24" x14ac:dyDescent="0.3">
      <c r="T2574" s="13" t="str">
        <f t="shared" si="682"/>
        <v/>
      </c>
      <c r="U2574" s="14" t="str">
        <f t="shared" si="683"/>
        <v/>
      </c>
      <c r="V2574" s="13" t="str">
        <f t="shared" si="684"/>
        <v/>
      </c>
      <c r="W2574" s="13" t="str">
        <f t="shared" si="685"/>
        <v/>
      </c>
      <c r="X2574" s="14" t="str">
        <f t="shared" si="686"/>
        <v/>
      </c>
    </row>
    <row r="2575" spans="20:24" x14ac:dyDescent="0.3">
      <c r="T2575" s="13" t="str">
        <f t="shared" si="682"/>
        <v/>
      </c>
      <c r="U2575" s="14" t="str">
        <f t="shared" si="683"/>
        <v/>
      </c>
      <c r="V2575" s="13" t="str">
        <f t="shared" si="684"/>
        <v/>
      </c>
      <c r="W2575" s="13" t="str">
        <f t="shared" si="685"/>
        <v/>
      </c>
      <c r="X2575" s="14" t="str">
        <f t="shared" si="686"/>
        <v/>
      </c>
    </row>
    <row r="2576" spans="20:24" x14ac:dyDescent="0.3">
      <c r="T2576" s="13" t="str">
        <f t="shared" si="682"/>
        <v/>
      </c>
      <c r="U2576" s="14" t="str">
        <f t="shared" si="683"/>
        <v/>
      </c>
      <c r="V2576" s="13" t="str">
        <f t="shared" si="684"/>
        <v/>
      </c>
      <c r="W2576" s="13" t="str">
        <f t="shared" si="685"/>
        <v/>
      </c>
      <c r="X2576" s="14" t="str">
        <f t="shared" si="686"/>
        <v/>
      </c>
    </row>
    <row r="2577" spans="20:24" x14ac:dyDescent="0.3">
      <c r="T2577" s="13" t="str">
        <f t="shared" si="682"/>
        <v/>
      </c>
      <c r="U2577" s="14" t="str">
        <f t="shared" si="683"/>
        <v/>
      </c>
      <c r="V2577" s="13" t="str">
        <f t="shared" si="684"/>
        <v/>
      </c>
      <c r="W2577" s="13" t="str">
        <f t="shared" si="685"/>
        <v/>
      </c>
      <c r="X2577" s="14" t="str">
        <f t="shared" si="686"/>
        <v/>
      </c>
    </row>
    <row r="2578" spans="20:24" x14ac:dyDescent="0.3">
      <c r="T2578" s="13" t="str">
        <f t="shared" si="682"/>
        <v/>
      </c>
      <c r="U2578" s="14" t="str">
        <f t="shared" si="683"/>
        <v/>
      </c>
      <c r="V2578" s="13" t="str">
        <f t="shared" si="684"/>
        <v/>
      </c>
      <c r="W2578" s="13" t="str">
        <f t="shared" si="685"/>
        <v/>
      </c>
      <c r="X2578" s="14" t="str">
        <f t="shared" si="686"/>
        <v/>
      </c>
    </row>
    <row r="2579" spans="20:24" x14ac:dyDescent="0.3">
      <c r="T2579" s="13" t="str">
        <f t="shared" ref="T2579:T2642" si="687">IF(A2579="",IF(A2578="","",$T$1),IF(O2579=1,"#",IF(B2579=0,"*",DEC2HEX(R2579))))</f>
        <v/>
      </c>
      <c r="U2579" s="14" t="str">
        <f t="shared" ref="U2579:U2642" si="688">IF(A2579="",IF(A2578="","",$U$1),  IF(B2579=0,Q2579,I2579)  )</f>
        <v/>
      </c>
      <c r="V2579" s="13" t="str">
        <f t="shared" ref="V2579:V2642" si="689">IF(U2579=$U$1,"",IF(A2579="",IF(A2578="","",1),  IF(B2579=0,1,D2579)  ))</f>
        <v/>
      </c>
      <c r="W2579" s="13" t="str">
        <f t="shared" ref="W2579:W2642" si="690">IF(U2579=$U$1,"",IF(A2579="",IF(A2578="","",0),  IF(C2579=0,0,0)  ))</f>
        <v/>
      </c>
      <c r="X2579" s="14" t="str">
        <f t="shared" ref="X2579:X2642" si="691">IF(U2579=$U$1,"",IF(U2579="","",IF(B2579&gt;0,IF(Q2579&lt;&gt;"",Q2579,"No description"),"-")))</f>
        <v/>
      </c>
    </row>
    <row r="2580" spans="20:24" x14ac:dyDescent="0.3">
      <c r="T2580" s="13" t="str">
        <f t="shared" si="687"/>
        <v/>
      </c>
      <c r="U2580" s="14" t="str">
        <f t="shared" si="688"/>
        <v/>
      </c>
      <c r="V2580" s="13" t="str">
        <f t="shared" si="689"/>
        <v/>
      </c>
      <c r="W2580" s="13" t="str">
        <f t="shared" si="690"/>
        <v/>
      </c>
      <c r="X2580" s="14" t="str">
        <f t="shared" si="691"/>
        <v/>
      </c>
    </row>
    <row r="2581" spans="20:24" x14ac:dyDescent="0.3">
      <c r="T2581" s="13" t="str">
        <f t="shared" si="687"/>
        <v/>
      </c>
      <c r="U2581" s="14" t="str">
        <f t="shared" si="688"/>
        <v/>
      </c>
      <c r="V2581" s="13" t="str">
        <f t="shared" si="689"/>
        <v/>
      </c>
      <c r="W2581" s="13" t="str">
        <f t="shared" si="690"/>
        <v/>
      </c>
      <c r="X2581" s="14" t="str">
        <f t="shared" si="691"/>
        <v/>
      </c>
    </row>
    <row r="2582" spans="20:24" x14ac:dyDescent="0.3">
      <c r="T2582" s="13" t="str">
        <f t="shared" si="687"/>
        <v/>
      </c>
      <c r="U2582" s="14" t="str">
        <f t="shared" si="688"/>
        <v/>
      </c>
      <c r="V2582" s="13" t="str">
        <f t="shared" si="689"/>
        <v/>
      </c>
      <c r="W2582" s="13" t="str">
        <f t="shared" si="690"/>
        <v/>
      </c>
      <c r="X2582" s="14" t="str">
        <f t="shared" si="691"/>
        <v/>
      </c>
    </row>
    <row r="2583" spans="20:24" x14ac:dyDescent="0.3">
      <c r="T2583" s="13" t="str">
        <f t="shared" si="687"/>
        <v/>
      </c>
      <c r="U2583" s="14" t="str">
        <f t="shared" si="688"/>
        <v/>
      </c>
      <c r="V2583" s="13" t="str">
        <f t="shared" si="689"/>
        <v/>
      </c>
      <c r="W2583" s="13" t="str">
        <f t="shared" si="690"/>
        <v/>
      </c>
      <c r="X2583" s="14" t="str">
        <f t="shared" si="691"/>
        <v/>
      </c>
    </row>
    <row r="2584" spans="20:24" x14ac:dyDescent="0.3">
      <c r="T2584" s="13" t="str">
        <f t="shared" si="687"/>
        <v/>
      </c>
      <c r="U2584" s="14" t="str">
        <f t="shared" si="688"/>
        <v/>
      </c>
      <c r="V2584" s="13" t="str">
        <f t="shared" si="689"/>
        <v/>
      </c>
      <c r="W2584" s="13" t="str">
        <f t="shared" si="690"/>
        <v/>
      </c>
      <c r="X2584" s="14" t="str">
        <f t="shared" si="691"/>
        <v/>
      </c>
    </row>
    <row r="2585" spans="20:24" x14ac:dyDescent="0.3">
      <c r="T2585" s="13" t="str">
        <f t="shared" si="687"/>
        <v/>
      </c>
      <c r="U2585" s="14" t="str">
        <f t="shared" si="688"/>
        <v/>
      </c>
      <c r="V2585" s="13" t="str">
        <f t="shared" si="689"/>
        <v/>
      </c>
      <c r="W2585" s="13" t="str">
        <f t="shared" si="690"/>
        <v/>
      </c>
      <c r="X2585" s="14" t="str">
        <f t="shared" si="691"/>
        <v/>
      </c>
    </row>
    <row r="2586" spans="20:24" x14ac:dyDescent="0.3">
      <c r="T2586" s="13" t="str">
        <f t="shared" si="687"/>
        <v/>
      </c>
      <c r="U2586" s="14" t="str">
        <f t="shared" si="688"/>
        <v/>
      </c>
      <c r="V2586" s="13" t="str">
        <f t="shared" si="689"/>
        <v/>
      </c>
      <c r="W2586" s="13" t="str">
        <f t="shared" si="690"/>
        <v/>
      </c>
      <c r="X2586" s="14" t="str">
        <f t="shared" si="691"/>
        <v/>
      </c>
    </row>
    <row r="2587" spans="20:24" x14ac:dyDescent="0.3">
      <c r="T2587" s="13" t="str">
        <f t="shared" si="687"/>
        <v/>
      </c>
      <c r="U2587" s="14" t="str">
        <f t="shared" si="688"/>
        <v/>
      </c>
      <c r="V2587" s="13" t="str">
        <f t="shared" si="689"/>
        <v/>
      </c>
      <c r="W2587" s="13" t="str">
        <f t="shared" si="690"/>
        <v/>
      </c>
      <c r="X2587" s="14" t="str">
        <f t="shared" si="691"/>
        <v/>
      </c>
    </row>
    <row r="2588" spans="20:24" x14ac:dyDescent="0.3">
      <c r="T2588" s="13" t="str">
        <f t="shared" si="687"/>
        <v/>
      </c>
      <c r="U2588" s="14" t="str">
        <f t="shared" si="688"/>
        <v/>
      </c>
      <c r="V2588" s="13" t="str">
        <f t="shared" si="689"/>
        <v/>
      </c>
      <c r="W2588" s="13" t="str">
        <f t="shared" si="690"/>
        <v/>
      </c>
      <c r="X2588" s="14" t="str">
        <f t="shared" si="691"/>
        <v/>
      </c>
    </row>
    <row r="2589" spans="20:24" x14ac:dyDescent="0.3">
      <c r="T2589" s="13" t="str">
        <f t="shared" si="687"/>
        <v/>
      </c>
      <c r="U2589" s="14" t="str">
        <f t="shared" si="688"/>
        <v/>
      </c>
      <c r="V2589" s="13" t="str">
        <f t="shared" si="689"/>
        <v/>
      </c>
      <c r="W2589" s="13" t="str">
        <f t="shared" si="690"/>
        <v/>
      </c>
      <c r="X2589" s="14" t="str">
        <f t="shared" si="691"/>
        <v/>
      </c>
    </row>
    <row r="2590" spans="20:24" x14ac:dyDescent="0.3">
      <c r="T2590" s="13" t="str">
        <f t="shared" si="687"/>
        <v/>
      </c>
      <c r="U2590" s="14" t="str">
        <f t="shared" si="688"/>
        <v/>
      </c>
      <c r="V2590" s="13" t="str">
        <f t="shared" si="689"/>
        <v/>
      </c>
      <c r="W2590" s="13" t="str">
        <f t="shared" si="690"/>
        <v/>
      </c>
      <c r="X2590" s="14" t="str">
        <f t="shared" si="691"/>
        <v/>
      </c>
    </row>
    <row r="2591" spans="20:24" x14ac:dyDescent="0.3">
      <c r="T2591" s="13" t="str">
        <f t="shared" si="687"/>
        <v/>
      </c>
      <c r="U2591" s="14" t="str">
        <f t="shared" si="688"/>
        <v/>
      </c>
      <c r="V2591" s="13" t="str">
        <f t="shared" si="689"/>
        <v/>
      </c>
      <c r="W2591" s="13" t="str">
        <f t="shared" si="690"/>
        <v/>
      </c>
      <c r="X2591" s="14" t="str">
        <f t="shared" si="691"/>
        <v/>
      </c>
    </row>
    <row r="2592" spans="20:24" x14ac:dyDescent="0.3">
      <c r="T2592" s="13" t="str">
        <f t="shared" si="687"/>
        <v/>
      </c>
      <c r="U2592" s="14" t="str">
        <f t="shared" si="688"/>
        <v/>
      </c>
      <c r="V2592" s="13" t="str">
        <f t="shared" si="689"/>
        <v/>
      </c>
      <c r="W2592" s="13" t="str">
        <f t="shared" si="690"/>
        <v/>
      </c>
      <c r="X2592" s="14" t="str">
        <f t="shared" si="691"/>
        <v/>
      </c>
    </row>
    <row r="2593" spans="20:24" x14ac:dyDescent="0.3">
      <c r="T2593" s="13" t="str">
        <f t="shared" si="687"/>
        <v/>
      </c>
      <c r="U2593" s="14" t="str">
        <f t="shared" si="688"/>
        <v/>
      </c>
      <c r="V2593" s="13" t="str">
        <f t="shared" si="689"/>
        <v/>
      </c>
      <c r="W2593" s="13" t="str">
        <f t="shared" si="690"/>
        <v/>
      </c>
      <c r="X2593" s="14" t="str">
        <f t="shared" si="691"/>
        <v/>
      </c>
    </row>
    <row r="2594" spans="20:24" x14ac:dyDescent="0.3">
      <c r="T2594" s="13" t="str">
        <f t="shared" si="687"/>
        <v/>
      </c>
      <c r="U2594" s="14" t="str">
        <f t="shared" si="688"/>
        <v/>
      </c>
      <c r="V2594" s="13" t="str">
        <f t="shared" si="689"/>
        <v/>
      </c>
      <c r="W2594" s="13" t="str">
        <f t="shared" si="690"/>
        <v/>
      </c>
      <c r="X2594" s="14" t="str">
        <f t="shared" si="691"/>
        <v/>
      </c>
    </row>
    <row r="2595" spans="20:24" x14ac:dyDescent="0.3">
      <c r="T2595" s="13" t="str">
        <f t="shared" si="687"/>
        <v/>
      </c>
      <c r="U2595" s="14" t="str">
        <f t="shared" si="688"/>
        <v/>
      </c>
      <c r="V2595" s="13" t="str">
        <f t="shared" si="689"/>
        <v/>
      </c>
      <c r="W2595" s="13" t="str">
        <f t="shared" si="690"/>
        <v/>
      </c>
      <c r="X2595" s="14" t="str">
        <f t="shared" si="691"/>
        <v/>
      </c>
    </row>
    <row r="2596" spans="20:24" x14ac:dyDescent="0.3">
      <c r="T2596" s="13" t="str">
        <f t="shared" si="687"/>
        <v/>
      </c>
      <c r="U2596" s="14" t="str">
        <f t="shared" si="688"/>
        <v/>
      </c>
      <c r="V2596" s="13" t="str">
        <f t="shared" si="689"/>
        <v/>
      </c>
      <c r="W2596" s="13" t="str">
        <f t="shared" si="690"/>
        <v/>
      </c>
      <c r="X2596" s="14" t="str">
        <f t="shared" si="691"/>
        <v/>
      </c>
    </row>
    <row r="2597" spans="20:24" x14ac:dyDescent="0.3">
      <c r="T2597" s="13" t="str">
        <f t="shared" si="687"/>
        <v/>
      </c>
      <c r="U2597" s="14" t="str">
        <f t="shared" si="688"/>
        <v/>
      </c>
      <c r="V2597" s="13" t="str">
        <f t="shared" si="689"/>
        <v/>
      </c>
      <c r="W2597" s="13" t="str">
        <f t="shared" si="690"/>
        <v/>
      </c>
      <c r="X2597" s="14" t="str">
        <f t="shared" si="691"/>
        <v/>
      </c>
    </row>
    <row r="2598" spans="20:24" x14ac:dyDescent="0.3">
      <c r="T2598" s="13" t="str">
        <f t="shared" si="687"/>
        <v/>
      </c>
      <c r="U2598" s="14" t="str">
        <f t="shared" si="688"/>
        <v/>
      </c>
      <c r="V2598" s="13" t="str">
        <f t="shared" si="689"/>
        <v/>
      </c>
      <c r="W2598" s="13" t="str">
        <f t="shared" si="690"/>
        <v/>
      </c>
      <c r="X2598" s="14" t="str">
        <f t="shared" si="691"/>
        <v/>
      </c>
    </row>
    <row r="2599" spans="20:24" x14ac:dyDescent="0.3">
      <c r="T2599" s="13" t="str">
        <f t="shared" si="687"/>
        <v/>
      </c>
      <c r="U2599" s="14" t="str">
        <f t="shared" si="688"/>
        <v/>
      </c>
      <c r="V2599" s="13" t="str">
        <f t="shared" si="689"/>
        <v/>
      </c>
      <c r="W2599" s="13" t="str">
        <f t="shared" si="690"/>
        <v/>
      </c>
      <c r="X2599" s="14" t="str">
        <f t="shared" si="691"/>
        <v/>
      </c>
    </row>
    <row r="2600" spans="20:24" x14ac:dyDescent="0.3">
      <c r="T2600" s="13" t="str">
        <f t="shared" si="687"/>
        <v/>
      </c>
      <c r="U2600" s="14" t="str">
        <f t="shared" si="688"/>
        <v/>
      </c>
      <c r="V2600" s="13" t="str">
        <f t="shared" si="689"/>
        <v/>
      </c>
      <c r="W2600" s="13" t="str">
        <f t="shared" si="690"/>
        <v/>
      </c>
      <c r="X2600" s="14" t="str">
        <f t="shared" si="691"/>
        <v/>
      </c>
    </row>
    <row r="2601" spans="20:24" x14ac:dyDescent="0.3">
      <c r="T2601" s="13" t="str">
        <f t="shared" si="687"/>
        <v/>
      </c>
      <c r="U2601" s="14" t="str">
        <f t="shared" si="688"/>
        <v/>
      </c>
      <c r="V2601" s="13" t="str">
        <f t="shared" si="689"/>
        <v/>
      </c>
      <c r="W2601" s="13" t="str">
        <f t="shared" si="690"/>
        <v/>
      </c>
      <c r="X2601" s="14" t="str">
        <f t="shared" si="691"/>
        <v/>
      </c>
    </row>
    <row r="2602" spans="20:24" x14ac:dyDescent="0.3">
      <c r="T2602" s="13" t="str">
        <f t="shared" si="687"/>
        <v/>
      </c>
      <c r="U2602" s="14" t="str">
        <f t="shared" si="688"/>
        <v/>
      </c>
      <c r="V2602" s="13" t="str">
        <f t="shared" si="689"/>
        <v/>
      </c>
      <c r="W2602" s="13" t="str">
        <f t="shared" si="690"/>
        <v/>
      </c>
      <c r="X2602" s="14" t="str">
        <f t="shared" si="691"/>
        <v/>
      </c>
    </row>
    <row r="2603" spans="20:24" x14ac:dyDescent="0.3">
      <c r="T2603" s="13" t="str">
        <f t="shared" si="687"/>
        <v/>
      </c>
      <c r="U2603" s="14" t="str">
        <f t="shared" si="688"/>
        <v/>
      </c>
      <c r="V2603" s="13" t="str">
        <f t="shared" si="689"/>
        <v/>
      </c>
      <c r="W2603" s="13" t="str">
        <f t="shared" si="690"/>
        <v/>
      </c>
      <c r="X2603" s="14" t="str">
        <f t="shared" si="691"/>
        <v/>
      </c>
    </row>
    <row r="2604" spans="20:24" x14ac:dyDescent="0.3">
      <c r="T2604" s="13" t="str">
        <f t="shared" si="687"/>
        <v/>
      </c>
      <c r="U2604" s="14" t="str">
        <f t="shared" si="688"/>
        <v/>
      </c>
      <c r="V2604" s="13" t="str">
        <f t="shared" si="689"/>
        <v/>
      </c>
      <c r="W2604" s="13" t="str">
        <f t="shared" si="690"/>
        <v/>
      </c>
      <c r="X2604" s="14" t="str">
        <f t="shared" si="691"/>
        <v/>
      </c>
    </row>
    <row r="2605" spans="20:24" x14ac:dyDescent="0.3">
      <c r="T2605" s="13" t="str">
        <f t="shared" si="687"/>
        <v/>
      </c>
      <c r="U2605" s="14" t="str">
        <f t="shared" si="688"/>
        <v/>
      </c>
      <c r="V2605" s="13" t="str">
        <f t="shared" si="689"/>
        <v/>
      </c>
      <c r="W2605" s="13" t="str">
        <f t="shared" si="690"/>
        <v/>
      </c>
      <c r="X2605" s="14" t="str">
        <f t="shared" si="691"/>
        <v/>
      </c>
    </row>
    <row r="2606" spans="20:24" x14ac:dyDescent="0.3">
      <c r="T2606" s="13" t="str">
        <f t="shared" si="687"/>
        <v/>
      </c>
      <c r="U2606" s="14" t="str">
        <f t="shared" si="688"/>
        <v/>
      </c>
      <c r="V2606" s="13" t="str">
        <f t="shared" si="689"/>
        <v/>
      </c>
      <c r="W2606" s="13" t="str">
        <f t="shared" si="690"/>
        <v/>
      </c>
      <c r="X2606" s="14" t="str">
        <f t="shared" si="691"/>
        <v/>
      </c>
    </row>
    <row r="2607" spans="20:24" x14ac:dyDescent="0.3">
      <c r="T2607" s="13" t="str">
        <f t="shared" si="687"/>
        <v/>
      </c>
      <c r="U2607" s="14" t="str">
        <f t="shared" si="688"/>
        <v/>
      </c>
      <c r="V2607" s="13" t="str">
        <f t="shared" si="689"/>
        <v/>
      </c>
      <c r="W2607" s="13" t="str">
        <f t="shared" si="690"/>
        <v/>
      </c>
      <c r="X2607" s="14" t="str">
        <f t="shared" si="691"/>
        <v/>
      </c>
    </row>
    <row r="2608" spans="20:24" x14ac:dyDescent="0.3">
      <c r="T2608" s="13" t="str">
        <f t="shared" si="687"/>
        <v/>
      </c>
      <c r="U2608" s="14" t="str">
        <f t="shared" si="688"/>
        <v/>
      </c>
      <c r="V2608" s="13" t="str">
        <f t="shared" si="689"/>
        <v/>
      </c>
      <c r="W2608" s="13" t="str">
        <f t="shared" si="690"/>
        <v/>
      </c>
      <c r="X2608" s="14" t="str">
        <f t="shared" si="691"/>
        <v/>
      </c>
    </row>
    <row r="2609" spans="20:24" x14ac:dyDescent="0.3">
      <c r="T2609" s="13" t="str">
        <f t="shared" si="687"/>
        <v/>
      </c>
      <c r="U2609" s="14" t="str">
        <f t="shared" si="688"/>
        <v/>
      </c>
      <c r="V2609" s="13" t="str">
        <f t="shared" si="689"/>
        <v/>
      </c>
      <c r="W2609" s="13" t="str">
        <f t="shared" si="690"/>
        <v/>
      </c>
      <c r="X2609" s="14" t="str">
        <f t="shared" si="691"/>
        <v/>
      </c>
    </row>
    <row r="2610" spans="20:24" x14ac:dyDescent="0.3">
      <c r="T2610" s="13" t="str">
        <f t="shared" si="687"/>
        <v/>
      </c>
      <c r="U2610" s="14" t="str">
        <f t="shared" si="688"/>
        <v/>
      </c>
      <c r="V2610" s="13" t="str">
        <f t="shared" si="689"/>
        <v/>
      </c>
      <c r="W2610" s="13" t="str">
        <f t="shared" si="690"/>
        <v/>
      </c>
      <c r="X2610" s="14" t="str">
        <f t="shared" si="691"/>
        <v/>
      </c>
    </row>
    <row r="2611" spans="20:24" x14ac:dyDescent="0.3">
      <c r="T2611" s="13" t="str">
        <f t="shared" si="687"/>
        <v/>
      </c>
      <c r="U2611" s="14" t="str">
        <f t="shared" si="688"/>
        <v/>
      </c>
      <c r="V2611" s="13" t="str">
        <f t="shared" si="689"/>
        <v/>
      </c>
      <c r="W2611" s="13" t="str">
        <f t="shared" si="690"/>
        <v/>
      </c>
      <c r="X2611" s="14" t="str">
        <f t="shared" si="691"/>
        <v/>
      </c>
    </row>
    <row r="2612" spans="20:24" x14ac:dyDescent="0.3">
      <c r="T2612" s="13" t="str">
        <f t="shared" si="687"/>
        <v/>
      </c>
      <c r="U2612" s="14" t="str">
        <f t="shared" si="688"/>
        <v/>
      </c>
      <c r="V2612" s="13" t="str">
        <f t="shared" si="689"/>
        <v/>
      </c>
      <c r="W2612" s="13" t="str">
        <f t="shared" si="690"/>
        <v/>
      </c>
      <c r="X2612" s="14" t="str">
        <f t="shared" si="691"/>
        <v/>
      </c>
    </row>
    <row r="2613" spans="20:24" x14ac:dyDescent="0.3">
      <c r="T2613" s="13" t="str">
        <f t="shared" si="687"/>
        <v/>
      </c>
      <c r="U2613" s="14" t="str">
        <f t="shared" si="688"/>
        <v/>
      </c>
      <c r="V2613" s="13" t="str">
        <f t="shared" si="689"/>
        <v/>
      </c>
      <c r="W2613" s="13" t="str">
        <f t="shared" si="690"/>
        <v/>
      </c>
      <c r="X2613" s="14" t="str">
        <f t="shared" si="691"/>
        <v/>
      </c>
    </row>
    <row r="2614" spans="20:24" x14ac:dyDescent="0.3">
      <c r="T2614" s="13" t="str">
        <f t="shared" si="687"/>
        <v/>
      </c>
      <c r="U2614" s="14" t="str">
        <f t="shared" si="688"/>
        <v/>
      </c>
      <c r="V2614" s="13" t="str">
        <f t="shared" si="689"/>
        <v/>
      </c>
      <c r="W2614" s="13" t="str">
        <f t="shared" si="690"/>
        <v/>
      </c>
      <c r="X2614" s="14" t="str">
        <f t="shared" si="691"/>
        <v/>
      </c>
    </row>
    <row r="2615" spans="20:24" x14ac:dyDescent="0.3">
      <c r="T2615" s="13" t="str">
        <f t="shared" si="687"/>
        <v/>
      </c>
      <c r="U2615" s="14" t="str">
        <f t="shared" si="688"/>
        <v/>
      </c>
      <c r="V2615" s="13" t="str">
        <f t="shared" si="689"/>
        <v/>
      </c>
      <c r="W2615" s="13" t="str">
        <f t="shared" si="690"/>
        <v/>
      </c>
      <c r="X2615" s="14" t="str">
        <f t="shared" si="691"/>
        <v/>
      </c>
    </row>
    <row r="2616" spans="20:24" x14ac:dyDescent="0.3">
      <c r="T2616" s="13" t="str">
        <f t="shared" si="687"/>
        <v/>
      </c>
      <c r="U2616" s="14" t="str">
        <f t="shared" si="688"/>
        <v/>
      </c>
      <c r="V2616" s="13" t="str">
        <f t="shared" si="689"/>
        <v/>
      </c>
      <c r="W2616" s="13" t="str">
        <f t="shared" si="690"/>
        <v/>
      </c>
      <c r="X2616" s="14" t="str">
        <f t="shared" si="691"/>
        <v/>
      </c>
    </row>
    <row r="2617" spans="20:24" x14ac:dyDescent="0.3">
      <c r="T2617" s="13" t="str">
        <f t="shared" si="687"/>
        <v/>
      </c>
      <c r="U2617" s="14" t="str">
        <f t="shared" si="688"/>
        <v/>
      </c>
      <c r="V2617" s="13" t="str">
        <f t="shared" si="689"/>
        <v/>
      </c>
      <c r="W2617" s="13" t="str">
        <f t="shared" si="690"/>
        <v/>
      </c>
      <c r="X2617" s="14" t="str">
        <f t="shared" si="691"/>
        <v/>
      </c>
    </row>
    <row r="2618" spans="20:24" x14ac:dyDescent="0.3">
      <c r="T2618" s="13" t="str">
        <f t="shared" si="687"/>
        <v/>
      </c>
      <c r="U2618" s="14" t="str">
        <f t="shared" si="688"/>
        <v/>
      </c>
      <c r="V2618" s="13" t="str">
        <f t="shared" si="689"/>
        <v/>
      </c>
      <c r="W2618" s="13" t="str">
        <f t="shared" si="690"/>
        <v/>
      </c>
      <c r="X2618" s="14" t="str">
        <f t="shared" si="691"/>
        <v/>
      </c>
    </row>
    <row r="2619" spans="20:24" x14ac:dyDescent="0.3">
      <c r="T2619" s="13" t="str">
        <f t="shared" si="687"/>
        <v/>
      </c>
      <c r="U2619" s="14" t="str">
        <f t="shared" si="688"/>
        <v/>
      </c>
      <c r="V2619" s="13" t="str">
        <f t="shared" si="689"/>
        <v/>
      </c>
      <c r="W2619" s="13" t="str">
        <f t="shared" si="690"/>
        <v/>
      </c>
      <c r="X2619" s="14" t="str">
        <f t="shared" si="691"/>
        <v/>
      </c>
    </row>
    <row r="2620" spans="20:24" x14ac:dyDescent="0.3">
      <c r="T2620" s="13" t="str">
        <f t="shared" si="687"/>
        <v/>
      </c>
      <c r="U2620" s="14" t="str">
        <f t="shared" si="688"/>
        <v/>
      </c>
      <c r="V2620" s="13" t="str">
        <f t="shared" si="689"/>
        <v/>
      </c>
      <c r="W2620" s="13" t="str">
        <f t="shared" si="690"/>
        <v/>
      </c>
      <c r="X2620" s="14" t="str">
        <f t="shared" si="691"/>
        <v/>
      </c>
    </row>
    <row r="2621" spans="20:24" x14ac:dyDescent="0.3">
      <c r="T2621" s="13" t="str">
        <f t="shared" si="687"/>
        <v/>
      </c>
      <c r="U2621" s="14" t="str">
        <f t="shared" si="688"/>
        <v/>
      </c>
      <c r="V2621" s="13" t="str">
        <f t="shared" si="689"/>
        <v/>
      </c>
      <c r="W2621" s="13" t="str">
        <f t="shared" si="690"/>
        <v/>
      </c>
      <c r="X2621" s="14" t="str">
        <f t="shared" si="691"/>
        <v/>
      </c>
    </row>
    <row r="2622" spans="20:24" x14ac:dyDescent="0.3">
      <c r="T2622" s="13" t="str">
        <f t="shared" si="687"/>
        <v/>
      </c>
      <c r="U2622" s="14" t="str">
        <f t="shared" si="688"/>
        <v/>
      </c>
      <c r="V2622" s="13" t="str">
        <f t="shared" si="689"/>
        <v/>
      </c>
      <c r="W2622" s="13" t="str">
        <f t="shared" si="690"/>
        <v/>
      </c>
      <c r="X2622" s="14" t="str">
        <f t="shared" si="691"/>
        <v/>
      </c>
    </row>
    <row r="2623" spans="20:24" x14ac:dyDescent="0.3">
      <c r="T2623" s="13" t="str">
        <f t="shared" si="687"/>
        <v/>
      </c>
      <c r="U2623" s="14" t="str">
        <f t="shared" si="688"/>
        <v/>
      </c>
      <c r="V2623" s="13" t="str">
        <f t="shared" si="689"/>
        <v/>
      </c>
      <c r="W2623" s="13" t="str">
        <f t="shared" si="690"/>
        <v/>
      </c>
      <c r="X2623" s="14" t="str">
        <f t="shared" si="691"/>
        <v/>
      </c>
    </row>
    <row r="2624" spans="20:24" x14ac:dyDescent="0.3">
      <c r="T2624" s="13" t="str">
        <f t="shared" si="687"/>
        <v/>
      </c>
      <c r="U2624" s="14" t="str">
        <f t="shared" si="688"/>
        <v/>
      </c>
      <c r="V2624" s="13" t="str">
        <f t="shared" si="689"/>
        <v/>
      </c>
      <c r="W2624" s="13" t="str">
        <f t="shared" si="690"/>
        <v/>
      </c>
      <c r="X2624" s="14" t="str">
        <f t="shared" si="691"/>
        <v/>
      </c>
    </row>
    <row r="2625" spans="20:24" x14ac:dyDescent="0.3">
      <c r="T2625" s="13" t="str">
        <f t="shared" si="687"/>
        <v/>
      </c>
      <c r="U2625" s="14" t="str">
        <f t="shared" si="688"/>
        <v/>
      </c>
      <c r="V2625" s="13" t="str">
        <f t="shared" si="689"/>
        <v/>
      </c>
      <c r="W2625" s="13" t="str">
        <f t="shared" si="690"/>
        <v/>
      </c>
      <c r="X2625" s="14" t="str">
        <f t="shared" si="691"/>
        <v/>
      </c>
    </row>
    <row r="2626" spans="20:24" x14ac:dyDescent="0.3">
      <c r="T2626" s="13" t="str">
        <f t="shared" si="687"/>
        <v/>
      </c>
      <c r="U2626" s="14" t="str">
        <f t="shared" si="688"/>
        <v/>
      </c>
      <c r="V2626" s="13" t="str">
        <f t="shared" si="689"/>
        <v/>
      </c>
      <c r="W2626" s="13" t="str">
        <f t="shared" si="690"/>
        <v/>
      </c>
      <c r="X2626" s="14" t="str">
        <f t="shared" si="691"/>
        <v/>
      </c>
    </row>
    <row r="2627" spans="20:24" x14ac:dyDescent="0.3">
      <c r="T2627" s="13" t="str">
        <f t="shared" si="687"/>
        <v/>
      </c>
      <c r="U2627" s="14" t="str">
        <f t="shared" si="688"/>
        <v/>
      </c>
      <c r="V2627" s="13" t="str">
        <f t="shared" si="689"/>
        <v/>
      </c>
      <c r="W2627" s="13" t="str">
        <f t="shared" si="690"/>
        <v/>
      </c>
      <c r="X2627" s="14" t="str">
        <f t="shared" si="691"/>
        <v/>
      </c>
    </row>
    <row r="2628" spans="20:24" x14ac:dyDescent="0.3">
      <c r="T2628" s="13" t="str">
        <f t="shared" si="687"/>
        <v/>
      </c>
      <c r="U2628" s="14" t="str">
        <f t="shared" si="688"/>
        <v/>
      </c>
      <c r="V2628" s="13" t="str">
        <f t="shared" si="689"/>
        <v/>
      </c>
      <c r="W2628" s="13" t="str">
        <f t="shared" si="690"/>
        <v/>
      </c>
      <c r="X2628" s="14" t="str">
        <f t="shared" si="691"/>
        <v/>
      </c>
    </row>
    <row r="2629" spans="20:24" x14ac:dyDescent="0.3">
      <c r="T2629" s="13" t="str">
        <f t="shared" si="687"/>
        <v/>
      </c>
      <c r="U2629" s="14" t="str">
        <f t="shared" si="688"/>
        <v/>
      </c>
      <c r="V2629" s="13" t="str">
        <f t="shared" si="689"/>
        <v/>
      </c>
      <c r="W2629" s="13" t="str">
        <f t="shared" si="690"/>
        <v/>
      </c>
      <c r="X2629" s="14" t="str">
        <f t="shared" si="691"/>
        <v/>
      </c>
    </row>
    <row r="2630" spans="20:24" x14ac:dyDescent="0.3">
      <c r="T2630" s="13" t="str">
        <f t="shared" si="687"/>
        <v/>
      </c>
      <c r="U2630" s="14" t="str">
        <f t="shared" si="688"/>
        <v/>
      </c>
      <c r="V2630" s="13" t="str">
        <f t="shared" si="689"/>
        <v/>
      </c>
      <c r="W2630" s="13" t="str">
        <f t="shared" si="690"/>
        <v/>
      </c>
      <c r="X2630" s="14" t="str">
        <f t="shared" si="691"/>
        <v/>
      </c>
    </row>
    <row r="2631" spans="20:24" x14ac:dyDescent="0.3">
      <c r="T2631" s="13" t="str">
        <f t="shared" si="687"/>
        <v/>
      </c>
      <c r="U2631" s="14" t="str">
        <f t="shared" si="688"/>
        <v/>
      </c>
      <c r="V2631" s="13" t="str">
        <f t="shared" si="689"/>
        <v/>
      </c>
      <c r="W2631" s="13" t="str">
        <f t="shared" si="690"/>
        <v/>
      </c>
      <c r="X2631" s="14" t="str">
        <f t="shared" si="691"/>
        <v/>
      </c>
    </row>
    <row r="2632" spans="20:24" x14ac:dyDescent="0.3">
      <c r="T2632" s="13" t="str">
        <f t="shared" si="687"/>
        <v/>
      </c>
      <c r="U2632" s="14" t="str">
        <f t="shared" si="688"/>
        <v/>
      </c>
      <c r="V2632" s="13" t="str">
        <f t="shared" si="689"/>
        <v/>
      </c>
      <c r="W2632" s="13" t="str">
        <f t="shared" si="690"/>
        <v/>
      </c>
      <c r="X2632" s="14" t="str">
        <f t="shared" si="691"/>
        <v/>
      </c>
    </row>
    <row r="2633" spans="20:24" x14ac:dyDescent="0.3">
      <c r="T2633" s="13" t="str">
        <f t="shared" si="687"/>
        <v/>
      </c>
      <c r="U2633" s="14" t="str">
        <f t="shared" si="688"/>
        <v/>
      </c>
      <c r="V2633" s="13" t="str">
        <f t="shared" si="689"/>
        <v/>
      </c>
      <c r="W2633" s="13" t="str">
        <f t="shared" si="690"/>
        <v/>
      </c>
      <c r="X2633" s="14" t="str">
        <f t="shared" si="691"/>
        <v/>
      </c>
    </row>
    <row r="2634" spans="20:24" x14ac:dyDescent="0.3">
      <c r="T2634" s="13" t="str">
        <f t="shared" si="687"/>
        <v/>
      </c>
      <c r="U2634" s="14" t="str">
        <f t="shared" si="688"/>
        <v/>
      </c>
      <c r="V2634" s="13" t="str">
        <f t="shared" si="689"/>
        <v/>
      </c>
      <c r="W2634" s="13" t="str">
        <f t="shared" si="690"/>
        <v/>
      </c>
      <c r="X2634" s="14" t="str">
        <f t="shared" si="691"/>
        <v/>
      </c>
    </row>
    <row r="2635" spans="20:24" x14ac:dyDescent="0.3">
      <c r="T2635" s="13" t="str">
        <f t="shared" si="687"/>
        <v/>
      </c>
      <c r="U2635" s="14" t="str">
        <f t="shared" si="688"/>
        <v/>
      </c>
      <c r="V2635" s="13" t="str">
        <f t="shared" si="689"/>
        <v/>
      </c>
      <c r="W2635" s="13" t="str">
        <f t="shared" si="690"/>
        <v/>
      </c>
      <c r="X2635" s="14" t="str">
        <f t="shared" si="691"/>
        <v/>
      </c>
    </row>
    <row r="2636" spans="20:24" x14ac:dyDescent="0.3">
      <c r="T2636" s="13" t="str">
        <f t="shared" si="687"/>
        <v/>
      </c>
      <c r="U2636" s="14" t="str">
        <f t="shared" si="688"/>
        <v/>
      </c>
      <c r="V2636" s="13" t="str">
        <f t="shared" si="689"/>
        <v/>
      </c>
      <c r="W2636" s="13" t="str">
        <f t="shared" si="690"/>
        <v/>
      </c>
      <c r="X2636" s="14" t="str">
        <f t="shared" si="691"/>
        <v/>
      </c>
    </row>
    <row r="2637" spans="20:24" x14ac:dyDescent="0.3">
      <c r="T2637" s="13" t="str">
        <f t="shared" si="687"/>
        <v/>
      </c>
      <c r="U2637" s="14" t="str">
        <f t="shared" si="688"/>
        <v/>
      </c>
      <c r="V2637" s="13" t="str">
        <f t="shared" si="689"/>
        <v/>
      </c>
      <c r="W2637" s="13" t="str">
        <f t="shared" si="690"/>
        <v/>
      </c>
      <c r="X2637" s="14" t="str">
        <f t="shared" si="691"/>
        <v/>
      </c>
    </row>
    <row r="2638" spans="20:24" x14ac:dyDescent="0.3">
      <c r="T2638" s="13" t="str">
        <f t="shared" si="687"/>
        <v/>
      </c>
      <c r="U2638" s="14" t="str">
        <f t="shared" si="688"/>
        <v/>
      </c>
      <c r="V2638" s="13" t="str">
        <f t="shared" si="689"/>
        <v/>
      </c>
      <c r="W2638" s="13" t="str">
        <f t="shared" si="690"/>
        <v/>
      </c>
      <c r="X2638" s="14" t="str">
        <f t="shared" si="691"/>
        <v/>
      </c>
    </row>
    <row r="2639" spans="20:24" x14ac:dyDescent="0.3">
      <c r="T2639" s="13" t="str">
        <f t="shared" si="687"/>
        <v/>
      </c>
      <c r="U2639" s="14" t="str">
        <f t="shared" si="688"/>
        <v/>
      </c>
      <c r="V2639" s="13" t="str">
        <f t="shared" si="689"/>
        <v/>
      </c>
      <c r="W2639" s="13" t="str">
        <f t="shared" si="690"/>
        <v/>
      </c>
      <c r="X2639" s="14" t="str">
        <f t="shared" si="691"/>
        <v/>
      </c>
    </row>
    <row r="2640" spans="20:24" x14ac:dyDescent="0.3">
      <c r="T2640" s="13" t="str">
        <f t="shared" si="687"/>
        <v/>
      </c>
      <c r="U2640" s="14" t="str">
        <f t="shared" si="688"/>
        <v/>
      </c>
      <c r="V2640" s="13" t="str">
        <f t="shared" si="689"/>
        <v/>
      </c>
      <c r="W2640" s="13" t="str">
        <f t="shared" si="690"/>
        <v/>
      </c>
      <c r="X2640" s="14" t="str">
        <f t="shared" si="691"/>
        <v/>
      </c>
    </row>
    <row r="2641" spans="20:24" x14ac:dyDescent="0.3">
      <c r="T2641" s="13" t="str">
        <f t="shared" si="687"/>
        <v/>
      </c>
      <c r="U2641" s="14" t="str">
        <f t="shared" si="688"/>
        <v/>
      </c>
      <c r="V2641" s="13" t="str">
        <f t="shared" si="689"/>
        <v/>
      </c>
      <c r="W2641" s="13" t="str">
        <f t="shared" si="690"/>
        <v/>
      </c>
      <c r="X2641" s="14" t="str">
        <f t="shared" si="691"/>
        <v/>
      </c>
    </row>
    <row r="2642" spans="20:24" x14ac:dyDescent="0.3">
      <c r="T2642" s="13" t="str">
        <f t="shared" si="687"/>
        <v/>
      </c>
      <c r="U2642" s="14" t="str">
        <f t="shared" si="688"/>
        <v/>
      </c>
      <c r="V2642" s="13" t="str">
        <f t="shared" si="689"/>
        <v/>
      </c>
      <c r="W2642" s="13" t="str">
        <f t="shared" si="690"/>
        <v/>
      </c>
      <c r="X2642" s="14" t="str">
        <f t="shared" si="691"/>
        <v/>
      </c>
    </row>
    <row r="2643" spans="20:24" x14ac:dyDescent="0.3">
      <c r="T2643" s="13" t="str">
        <f t="shared" ref="T2643:T2706" si="692">IF(A2643="",IF(A2642="","",$T$1),IF(O2643=1,"#",IF(B2643=0,"*",DEC2HEX(R2643))))</f>
        <v/>
      </c>
      <c r="U2643" s="14" t="str">
        <f t="shared" ref="U2643:U2706" si="693">IF(A2643="",IF(A2642="","",$U$1),  IF(B2643=0,Q2643,I2643)  )</f>
        <v/>
      </c>
      <c r="V2643" s="13" t="str">
        <f t="shared" ref="V2643:V2706" si="694">IF(U2643=$U$1,"",IF(A2643="",IF(A2642="","",1),  IF(B2643=0,1,D2643)  ))</f>
        <v/>
      </c>
      <c r="W2643" s="13" t="str">
        <f t="shared" ref="W2643:W2706" si="695">IF(U2643=$U$1,"",IF(A2643="",IF(A2642="","",0),  IF(C2643=0,0,0)  ))</f>
        <v/>
      </c>
      <c r="X2643" s="14" t="str">
        <f t="shared" ref="X2643:X2706" si="696">IF(U2643=$U$1,"",IF(U2643="","",IF(B2643&gt;0,IF(Q2643&lt;&gt;"",Q2643,"No description"),"-")))</f>
        <v/>
      </c>
    </row>
    <row r="2644" spans="20:24" x14ac:dyDescent="0.3">
      <c r="T2644" s="13" t="str">
        <f t="shared" si="692"/>
        <v/>
      </c>
      <c r="U2644" s="14" t="str">
        <f t="shared" si="693"/>
        <v/>
      </c>
      <c r="V2644" s="13" t="str">
        <f t="shared" si="694"/>
        <v/>
      </c>
      <c r="W2644" s="13" t="str">
        <f t="shared" si="695"/>
        <v/>
      </c>
      <c r="X2644" s="14" t="str">
        <f t="shared" si="696"/>
        <v/>
      </c>
    </row>
    <row r="2645" spans="20:24" x14ac:dyDescent="0.3">
      <c r="T2645" s="13" t="str">
        <f t="shared" si="692"/>
        <v/>
      </c>
      <c r="U2645" s="14" t="str">
        <f t="shared" si="693"/>
        <v/>
      </c>
      <c r="V2645" s="13" t="str">
        <f t="shared" si="694"/>
        <v/>
      </c>
      <c r="W2645" s="13" t="str">
        <f t="shared" si="695"/>
        <v/>
      </c>
      <c r="X2645" s="14" t="str">
        <f t="shared" si="696"/>
        <v/>
      </c>
    </row>
    <row r="2646" spans="20:24" x14ac:dyDescent="0.3">
      <c r="T2646" s="13" t="str">
        <f t="shared" si="692"/>
        <v/>
      </c>
      <c r="U2646" s="14" t="str">
        <f t="shared" si="693"/>
        <v/>
      </c>
      <c r="V2646" s="13" t="str">
        <f t="shared" si="694"/>
        <v/>
      </c>
      <c r="W2646" s="13" t="str">
        <f t="shared" si="695"/>
        <v/>
      </c>
      <c r="X2646" s="14" t="str">
        <f t="shared" si="696"/>
        <v/>
      </c>
    </row>
    <row r="2647" spans="20:24" x14ac:dyDescent="0.3">
      <c r="T2647" s="13" t="str">
        <f t="shared" si="692"/>
        <v/>
      </c>
      <c r="U2647" s="14" t="str">
        <f t="shared" si="693"/>
        <v/>
      </c>
      <c r="V2647" s="13" t="str">
        <f t="shared" si="694"/>
        <v/>
      </c>
      <c r="W2647" s="13" t="str">
        <f t="shared" si="695"/>
        <v/>
      </c>
      <c r="X2647" s="14" t="str">
        <f t="shared" si="696"/>
        <v/>
      </c>
    </row>
    <row r="2648" spans="20:24" x14ac:dyDescent="0.3">
      <c r="T2648" s="13" t="str">
        <f t="shared" si="692"/>
        <v/>
      </c>
      <c r="U2648" s="14" t="str">
        <f t="shared" si="693"/>
        <v/>
      </c>
      <c r="V2648" s="13" t="str">
        <f t="shared" si="694"/>
        <v/>
      </c>
      <c r="W2648" s="13" t="str">
        <f t="shared" si="695"/>
        <v/>
      </c>
      <c r="X2648" s="14" t="str">
        <f t="shared" si="696"/>
        <v/>
      </c>
    </row>
    <row r="2649" spans="20:24" x14ac:dyDescent="0.3">
      <c r="T2649" s="13" t="str">
        <f t="shared" si="692"/>
        <v/>
      </c>
      <c r="U2649" s="14" t="str">
        <f t="shared" si="693"/>
        <v/>
      </c>
      <c r="V2649" s="13" t="str">
        <f t="shared" si="694"/>
        <v/>
      </c>
      <c r="W2649" s="13" t="str">
        <f t="shared" si="695"/>
        <v/>
      </c>
      <c r="X2649" s="14" t="str">
        <f t="shared" si="696"/>
        <v/>
      </c>
    </row>
    <row r="2650" spans="20:24" x14ac:dyDescent="0.3">
      <c r="T2650" s="13" t="str">
        <f t="shared" si="692"/>
        <v/>
      </c>
      <c r="U2650" s="14" t="str">
        <f t="shared" si="693"/>
        <v/>
      </c>
      <c r="V2650" s="13" t="str">
        <f t="shared" si="694"/>
        <v/>
      </c>
      <c r="W2650" s="13" t="str">
        <f t="shared" si="695"/>
        <v/>
      </c>
      <c r="X2650" s="14" t="str">
        <f t="shared" si="696"/>
        <v/>
      </c>
    </row>
    <row r="2651" spans="20:24" x14ac:dyDescent="0.3">
      <c r="T2651" s="13" t="str">
        <f t="shared" si="692"/>
        <v/>
      </c>
      <c r="U2651" s="14" t="str">
        <f t="shared" si="693"/>
        <v/>
      </c>
      <c r="V2651" s="13" t="str">
        <f t="shared" si="694"/>
        <v/>
      </c>
      <c r="W2651" s="13" t="str">
        <f t="shared" si="695"/>
        <v/>
      </c>
      <c r="X2651" s="14" t="str">
        <f t="shared" si="696"/>
        <v/>
      </c>
    </row>
    <row r="2652" spans="20:24" x14ac:dyDescent="0.3">
      <c r="T2652" s="13" t="str">
        <f t="shared" si="692"/>
        <v/>
      </c>
      <c r="U2652" s="14" t="str">
        <f t="shared" si="693"/>
        <v/>
      </c>
      <c r="V2652" s="13" t="str">
        <f t="shared" si="694"/>
        <v/>
      </c>
      <c r="W2652" s="13" t="str">
        <f t="shared" si="695"/>
        <v/>
      </c>
      <c r="X2652" s="14" t="str">
        <f t="shared" si="696"/>
        <v/>
      </c>
    </row>
    <row r="2653" spans="20:24" x14ac:dyDescent="0.3">
      <c r="T2653" s="13" t="str">
        <f t="shared" si="692"/>
        <v/>
      </c>
      <c r="U2653" s="14" t="str">
        <f t="shared" si="693"/>
        <v/>
      </c>
      <c r="V2653" s="13" t="str">
        <f t="shared" si="694"/>
        <v/>
      </c>
      <c r="W2653" s="13" t="str">
        <f t="shared" si="695"/>
        <v/>
      </c>
      <c r="X2653" s="14" t="str">
        <f t="shared" si="696"/>
        <v/>
      </c>
    </row>
    <row r="2654" spans="20:24" x14ac:dyDescent="0.3">
      <c r="T2654" s="13" t="str">
        <f t="shared" si="692"/>
        <v/>
      </c>
      <c r="U2654" s="14" t="str">
        <f t="shared" si="693"/>
        <v/>
      </c>
      <c r="V2654" s="13" t="str">
        <f t="shared" si="694"/>
        <v/>
      </c>
      <c r="W2654" s="13" t="str">
        <f t="shared" si="695"/>
        <v/>
      </c>
      <c r="X2654" s="14" t="str">
        <f t="shared" si="696"/>
        <v/>
      </c>
    </row>
    <row r="2655" spans="20:24" x14ac:dyDescent="0.3">
      <c r="T2655" s="13" t="str">
        <f t="shared" si="692"/>
        <v/>
      </c>
      <c r="U2655" s="14" t="str">
        <f t="shared" si="693"/>
        <v/>
      </c>
      <c r="V2655" s="13" t="str">
        <f t="shared" si="694"/>
        <v/>
      </c>
      <c r="W2655" s="13" t="str">
        <f t="shared" si="695"/>
        <v/>
      </c>
      <c r="X2655" s="14" t="str">
        <f t="shared" si="696"/>
        <v/>
      </c>
    </row>
    <row r="2656" spans="20:24" x14ac:dyDescent="0.3">
      <c r="T2656" s="13" t="str">
        <f t="shared" si="692"/>
        <v/>
      </c>
      <c r="U2656" s="14" t="str">
        <f t="shared" si="693"/>
        <v/>
      </c>
      <c r="V2656" s="13" t="str">
        <f t="shared" si="694"/>
        <v/>
      </c>
      <c r="W2656" s="13" t="str">
        <f t="shared" si="695"/>
        <v/>
      </c>
      <c r="X2656" s="14" t="str">
        <f t="shared" si="696"/>
        <v/>
      </c>
    </row>
    <row r="2657" spans="20:24" x14ac:dyDescent="0.3">
      <c r="T2657" s="13" t="str">
        <f t="shared" si="692"/>
        <v/>
      </c>
      <c r="U2657" s="14" t="str">
        <f t="shared" si="693"/>
        <v/>
      </c>
      <c r="V2657" s="13" t="str">
        <f t="shared" si="694"/>
        <v/>
      </c>
      <c r="W2657" s="13" t="str">
        <f t="shared" si="695"/>
        <v/>
      </c>
      <c r="X2657" s="14" t="str">
        <f t="shared" si="696"/>
        <v/>
      </c>
    </row>
    <row r="2658" spans="20:24" x14ac:dyDescent="0.3">
      <c r="T2658" s="13" t="str">
        <f t="shared" si="692"/>
        <v/>
      </c>
      <c r="U2658" s="14" t="str">
        <f t="shared" si="693"/>
        <v/>
      </c>
      <c r="V2658" s="13" t="str">
        <f t="shared" si="694"/>
        <v/>
      </c>
      <c r="W2658" s="13" t="str">
        <f t="shared" si="695"/>
        <v/>
      </c>
      <c r="X2658" s="14" t="str">
        <f t="shared" si="696"/>
        <v/>
      </c>
    </row>
    <row r="2659" spans="20:24" x14ac:dyDescent="0.3">
      <c r="T2659" s="13" t="str">
        <f t="shared" si="692"/>
        <v/>
      </c>
      <c r="U2659" s="14" t="str">
        <f t="shared" si="693"/>
        <v/>
      </c>
      <c r="V2659" s="13" t="str">
        <f t="shared" si="694"/>
        <v/>
      </c>
      <c r="W2659" s="13" t="str">
        <f t="shared" si="695"/>
        <v/>
      </c>
      <c r="X2659" s="14" t="str">
        <f t="shared" si="696"/>
        <v/>
      </c>
    </row>
    <row r="2660" spans="20:24" x14ac:dyDescent="0.3">
      <c r="T2660" s="13" t="str">
        <f t="shared" si="692"/>
        <v/>
      </c>
      <c r="U2660" s="14" t="str">
        <f t="shared" si="693"/>
        <v/>
      </c>
      <c r="V2660" s="13" t="str">
        <f t="shared" si="694"/>
        <v/>
      </c>
      <c r="W2660" s="13" t="str">
        <f t="shared" si="695"/>
        <v/>
      </c>
      <c r="X2660" s="14" t="str">
        <f t="shared" si="696"/>
        <v/>
      </c>
    </row>
    <row r="2661" spans="20:24" x14ac:dyDescent="0.3">
      <c r="T2661" s="13" t="str">
        <f t="shared" si="692"/>
        <v/>
      </c>
      <c r="U2661" s="14" t="str">
        <f t="shared" si="693"/>
        <v/>
      </c>
      <c r="V2661" s="13" t="str">
        <f t="shared" si="694"/>
        <v/>
      </c>
      <c r="W2661" s="13" t="str">
        <f t="shared" si="695"/>
        <v/>
      </c>
      <c r="X2661" s="14" t="str">
        <f t="shared" si="696"/>
        <v/>
      </c>
    </row>
    <row r="2662" spans="20:24" x14ac:dyDescent="0.3">
      <c r="T2662" s="13" t="str">
        <f t="shared" si="692"/>
        <v/>
      </c>
      <c r="U2662" s="14" t="str">
        <f t="shared" si="693"/>
        <v/>
      </c>
      <c r="V2662" s="13" t="str">
        <f t="shared" si="694"/>
        <v/>
      </c>
      <c r="W2662" s="13" t="str">
        <f t="shared" si="695"/>
        <v/>
      </c>
      <c r="X2662" s="14" t="str">
        <f t="shared" si="696"/>
        <v/>
      </c>
    </row>
    <row r="2663" spans="20:24" x14ac:dyDescent="0.3">
      <c r="T2663" s="13" t="str">
        <f t="shared" si="692"/>
        <v/>
      </c>
      <c r="U2663" s="14" t="str">
        <f t="shared" si="693"/>
        <v/>
      </c>
      <c r="V2663" s="13" t="str">
        <f t="shared" si="694"/>
        <v/>
      </c>
      <c r="W2663" s="13" t="str">
        <f t="shared" si="695"/>
        <v/>
      </c>
      <c r="X2663" s="14" t="str">
        <f t="shared" si="696"/>
        <v/>
      </c>
    </row>
    <row r="2664" spans="20:24" x14ac:dyDescent="0.3">
      <c r="T2664" s="13" t="str">
        <f t="shared" si="692"/>
        <v/>
      </c>
      <c r="U2664" s="14" t="str">
        <f t="shared" si="693"/>
        <v/>
      </c>
      <c r="V2664" s="13" t="str">
        <f t="shared" si="694"/>
        <v/>
      </c>
      <c r="W2664" s="13" t="str">
        <f t="shared" si="695"/>
        <v/>
      </c>
      <c r="X2664" s="14" t="str">
        <f t="shared" si="696"/>
        <v/>
      </c>
    </row>
    <row r="2665" spans="20:24" x14ac:dyDescent="0.3">
      <c r="T2665" s="13" t="str">
        <f t="shared" si="692"/>
        <v/>
      </c>
      <c r="U2665" s="14" t="str">
        <f t="shared" si="693"/>
        <v/>
      </c>
      <c r="V2665" s="13" t="str">
        <f t="shared" si="694"/>
        <v/>
      </c>
      <c r="W2665" s="13" t="str">
        <f t="shared" si="695"/>
        <v/>
      </c>
      <c r="X2665" s="14" t="str">
        <f t="shared" si="696"/>
        <v/>
      </c>
    </row>
    <row r="2666" spans="20:24" x14ac:dyDescent="0.3">
      <c r="T2666" s="13" t="str">
        <f t="shared" si="692"/>
        <v/>
      </c>
      <c r="U2666" s="14" t="str">
        <f t="shared" si="693"/>
        <v/>
      </c>
      <c r="V2666" s="13" t="str">
        <f t="shared" si="694"/>
        <v/>
      </c>
      <c r="W2666" s="13" t="str">
        <f t="shared" si="695"/>
        <v/>
      </c>
      <c r="X2666" s="14" t="str">
        <f t="shared" si="696"/>
        <v/>
      </c>
    </row>
    <row r="2667" spans="20:24" x14ac:dyDescent="0.3">
      <c r="T2667" s="13" t="str">
        <f t="shared" si="692"/>
        <v/>
      </c>
      <c r="U2667" s="14" t="str">
        <f t="shared" si="693"/>
        <v/>
      </c>
      <c r="V2667" s="13" t="str">
        <f t="shared" si="694"/>
        <v/>
      </c>
      <c r="W2667" s="13" t="str">
        <f t="shared" si="695"/>
        <v/>
      </c>
      <c r="X2667" s="14" t="str">
        <f t="shared" si="696"/>
        <v/>
      </c>
    </row>
    <row r="2668" spans="20:24" x14ac:dyDescent="0.3">
      <c r="T2668" s="13" t="str">
        <f t="shared" si="692"/>
        <v/>
      </c>
      <c r="U2668" s="14" t="str">
        <f t="shared" si="693"/>
        <v/>
      </c>
      <c r="V2668" s="13" t="str">
        <f t="shared" si="694"/>
        <v/>
      </c>
      <c r="W2668" s="13" t="str">
        <f t="shared" si="695"/>
        <v/>
      </c>
      <c r="X2668" s="14" t="str">
        <f t="shared" si="696"/>
        <v/>
      </c>
    </row>
    <row r="2669" spans="20:24" x14ac:dyDescent="0.3">
      <c r="T2669" s="13" t="str">
        <f t="shared" si="692"/>
        <v/>
      </c>
      <c r="U2669" s="14" t="str">
        <f t="shared" si="693"/>
        <v/>
      </c>
      <c r="V2669" s="13" t="str">
        <f t="shared" si="694"/>
        <v/>
      </c>
      <c r="W2669" s="13" t="str">
        <f t="shared" si="695"/>
        <v/>
      </c>
      <c r="X2669" s="14" t="str">
        <f t="shared" si="696"/>
        <v/>
      </c>
    </row>
    <row r="2670" spans="20:24" x14ac:dyDescent="0.3">
      <c r="T2670" s="13" t="str">
        <f t="shared" si="692"/>
        <v/>
      </c>
      <c r="U2670" s="14" t="str">
        <f t="shared" si="693"/>
        <v/>
      </c>
      <c r="V2670" s="13" t="str">
        <f t="shared" si="694"/>
        <v/>
      </c>
      <c r="W2670" s="13" t="str">
        <f t="shared" si="695"/>
        <v/>
      </c>
      <c r="X2670" s="14" t="str">
        <f t="shared" si="696"/>
        <v/>
      </c>
    </row>
    <row r="2671" spans="20:24" x14ac:dyDescent="0.3">
      <c r="T2671" s="13" t="str">
        <f t="shared" si="692"/>
        <v/>
      </c>
      <c r="U2671" s="14" t="str">
        <f t="shared" si="693"/>
        <v/>
      </c>
      <c r="V2671" s="13" t="str">
        <f t="shared" si="694"/>
        <v/>
      </c>
      <c r="W2671" s="13" t="str">
        <f t="shared" si="695"/>
        <v/>
      </c>
      <c r="X2671" s="14" t="str">
        <f t="shared" si="696"/>
        <v/>
      </c>
    </row>
    <row r="2672" spans="20:24" x14ac:dyDescent="0.3">
      <c r="T2672" s="13" t="str">
        <f t="shared" si="692"/>
        <v/>
      </c>
      <c r="U2672" s="14" t="str">
        <f t="shared" si="693"/>
        <v/>
      </c>
      <c r="V2672" s="13" t="str">
        <f t="shared" si="694"/>
        <v/>
      </c>
      <c r="W2672" s="13" t="str">
        <f t="shared" si="695"/>
        <v/>
      </c>
      <c r="X2672" s="14" t="str">
        <f t="shared" si="696"/>
        <v/>
      </c>
    </row>
    <row r="2673" spans="20:24" x14ac:dyDescent="0.3">
      <c r="T2673" s="13" t="str">
        <f t="shared" si="692"/>
        <v/>
      </c>
      <c r="U2673" s="14" t="str">
        <f t="shared" si="693"/>
        <v/>
      </c>
      <c r="V2673" s="13" t="str">
        <f t="shared" si="694"/>
        <v/>
      </c>
      <c r="W2673" s="13" t="str">
        <f t="shared" si="695"/>
        <v/>
      </c>
      <c r="X2673" s="14" t="str">
        <f t="shared" si="696"/>
        <v/>
      </c>
    </row>
    <row r="2674" spans="20:24" x14ac:dyDescent="0.3">
      <c r="T2674" s="13" t="str">
        <f t="shared" si="692"/>
        <v/>
      </c>
      <c r="U2674" s="14" t="str">
        <f t="shared" si="693"/>
        <v/>
      </c>
      <c r="V2674" s="13" t="str">
        <f t="shared" si="694"/>
        <v/>
      </c>
      <c r="W2674" s="13" t="str">
        <f t="shared" si="695"/>
        <v/>
      </c>
      <c r="X2674" s="14" t="str">
        <f t="shared" si="696"/>
        <v/>
      </c>
    </row>
    <row r="2675" spans="20:24" x14ac:dyDescent="0.3">
      <c r="T2675" s="13" t="str">
        <f t="shared" si="692"/>
        <v/>
      </c>
      <c r="U2675" s="14" t="str">
        <f t="shared" si="693"/>
        <v/>
      </c>
      <c r="V2675" s="13" t="str">
        <f t="shared" si="694"/>
        <v/>
      </c>
      <c r="W2675" s="13" t="str">
        <f t="shared" si="695"/>
        <v/>
      </c>
      <c r="X2675" s="14" t="str">
        <f t="shared" si="696"/>
        <v/>
      </c>
    </row>
    <row r="2676" spans="20:24" x14ac:dyDescent="0.3">
      <c r="T2676" s="13" t="str">
        <f t="shared" si="692"/>
        <v/>
      </c>
      <c r="U2676" s="14" t="str">
        <f t="shared" si="693"/>
        <v/>
      </c>
      <c r="V2676" s="13" t="str">
        <f t="shared" si="694"/>
        <v/>
      </c>
      <c r="W2676" s="13" t="str">
        <f t="shared" si="695"/>
        <v/>
      </c>
      <c r="X2676" s="14" t="str">
        <f t="shared" si="696"/>
        <v/>
      </c>
    </row>
    <row r="2677" spans="20:24" x14ac:dyDescent="0.3">
      <c r="T2677" s="13" t="str">
        <f t="shared" si="692"/>
        <v/>
      </c>
      <c r="U2677" s="14" t="str">
        <f t="shared" si="693"/>
        <v/>
      </c>
      <c r="V2677" s="13" t="str">
        <f t="shared" si="694"/>
        <v/>
      </c>
      <c r="W2677" s="13" t="str">
        <f t="shared" si="695"/>
        <v/>
      </c>
      <c r="X2677" s="14" t="str">
        <f t="shared" si="696"/>
        <v/>
      </c>
    </row>
    <row r="2678" spans="20:24" x14ac:dyDescent="0.3">
      <c r="T2678" s="13" t="str">
        <f t="shared" si="692"/>
        <v/>
      </c>
      <c r="U2678" s="14" t="str">
        <f t="shared" si="693"/>
        <v/>
      </c>
      <c r="V2678" s="13" t="str">
        <f t="shared" si="694"/>
        <v/>
      </c>
      <c r="W2678" s="13" t="str">
        <f t="shared" si="695"/>
        <v/>
      </c>
      <c r="X2678" s="14" t="str">
        <f t="shared" si="696"/>
        <v/>
      </c>
    </row>
    <row r="2679" spans="20:24" x14ac:dyDescent="0.3">
      <c r="T2679" s="13" t="str">
        <f t="shared" si="692"/>
        <v/>
      </c>
      <c r="U2679" s="14" t="str">
        <f t="shared" si="693"/>
        <v/>
      </c>
      <c r="V2679" s="13" t="str">
        <f t="shared" si="694"/>
        <v/>
      </c>
      <c r="W2679" s="13" t="str">
        <f t="shared" si="695"/>
        <v/>
      </c>
      <c r="X2679" s="14" t="str">
        <f t="shared" si="696"/>
        <v/>
      </c>
    </row>
    <row r="2680" spans="20:24" x14ac:dyDescent="0.3">
      <c r="T2680" s="13" t="str">
        <f t="shared" si="692"/>
        <v/>
      </c>
      <c r="U2680" s="14" t="str">
        <f t="shared" si="693"/>
        <v/>
      </c>
      <c r="V2680" s="13" t="str">
        <f t="shared" si="694"/>
        <v/>
      </c>
      <c r="W2680" s="13" t="str">
        <f t="shared" si="695"/>
        <v/>
      </c>
      <c r="X2680" s="14" t="str">
        <f t="shared" si="696"/>
        <v/>
      </c>
    </row>
    <row r="2681" spans="20:24" x14ac:dyDescent="0.3">
      <c r="T2681" s="13" t="str">
        <f t="shared" si="692"/>
        <v/>
      </c>
      <c r="U2681" s="14" t="str">
        <f t="shared" si="693"/>
        <v/>
      </c>
      <c r="V2681" s="13" t="str">
        <f t="shared" si="694"/>
        <v/>
      </c>
      <c r="W2681" s="13" t="str">
        <f t="shared" si="695"/>
        <v/>
      </c>
      <c r="X2681" s="14" t="str">
        <f t="shared" si="696"/>
        <v/>
      </c>
    </row>
    <row r="2682" spans="20:24" x14ac:dyDescent="0.3">
      <c r="T2682" s="13" t="str">
        <f t="shared" si="692"/>
        <v/>
      </c>
      <c r="U2682" s="14" t="str">
        <f t="shared" si="693"/>
        <v/>
      </c>
      <c r="V2682" s="13" t="str">
        <f t="shared" si="694"/>
        <v/>
      </c>
      <c r="W2682" s="13" t="str">
        <f t="shared" si="695"/>
        <v/>
      </c>
      <c r="X2682" s="14" t="str">
        <f t="shared" si="696"/>
        <v/>
      </c>
    </row>
    <row r="2683" spans="20:24" x14ac:dyDescent="0.3">
      <c r="T2683" s="13" t="str">
        <f t="shared" si="692"/>
        <v/>
      </c>
      <c r="U2683" s="14" t="str">
        <f t="shared" si="693"/>
        <v/>
      </c>
      <c r="V2683" s="13" t="str">
        <f t="shared" si="694"/>
        <v/>
      </c>
      <c r="W2683" s="13" t="str">
        <f t="shared" si="695"/>
        <v/>
      </c>
      <c r="X2683" s="14" t="str">
        <f t="shared" si="696"/>
        <v/>
      </c>
    </row>
    <row r="2684" spans="20:24" x14ac:dyDescent="0.3">
      <c r="T2684" s="13" t="str">
        <f t="shared" si="692"/>
        <v/>
      </c>
      <c r="U2684" s="14" t="str">
        <f t="shared" si="693"/>
        <v/>
      </c>
      <c r="V2684" s="13" t="str">
        <f t="shared" si="694"/>
        <v/>
      </c>
      <c r="W2684" s="13" t="str">
        <f t="shared" si="695"/>
        <v/>
      </c>
      <c r="X2684" s="14" t="str">
        <f t="shared" si="696"/>
        <v/>
      </c>
    </row>
    <row r="2685" spans="20:24" x14ac:dyDescent="0.3">
      <c r="T2685" s="13" t="str">
        <f t="shared" si="692"/>
        <v/>
      </c>
      <c r="U2685" s="14" t="str">
        <f t="shared" si="693"/>
        <v/>
      </c>
      <c r="V2685" s="13" t="str">
        <f t="shared" si="694"/>
        <v/>
      </c>
      <c r="W2685" s="13" t="str">
        <f t="shared" si="695"/>
        <v/>
      </c>
      <c r="X2685" s="14" t="str">
        <f t="shared" si="696"/>
        <v/>
      </c>
    </row>
    <row r="2686" spans="20:24" x14ac:dyDescent="0.3">
      <c r="T2686" s="13" t="str">
        <f t="shared" si="692"/>
        <v/>
      </c>
      <c r="U2686" s="14" t="str">
        <f t="shared" si="693"/>
        <v/>
      </c>
      <c r="V2686" s="13" t="str">
        <f t="shared" si="694"/>
        <v/>
      </c>
      <c r="W2686" s="13" t="str">
        <f t="shared" si="695"/>
        <v/>
      </c>
      <c r="X2686" s="14" t="str">
        <f t="shared" si="696"/>
        <v/>
      </c>
    </row>
    <row r="2687" spans="20:24" x14ac:dyDescent="0.3">
      <c r="T2687" s="13" t="str">
        <f t="shared" si="692"/>
        <v/>
      </c>
      <c r="U2687" s="14" t="str">
        <f t="shared" si="693"/>
        <v/>
      </c>
      <c r="V2687" s="13" t="str">
        <f t="shared" si="694"/>
        <v/>
      </c>
      <c r="W2687" s="13" t="str">
        <f t="shared" si="695"/>
        <v/>
      </c>
      <c r="X2687" s="14" t="str">
        <f t="shared" si="696"/>
        <v/>
      </c>
    </row>
    <row r="2688" spans="20:24" x14ac:dyDescent="0.3">
      <c r="T2688" s="13" t="str">
        <f t="shared" si="692"/>
        <v/>
      </c>
      <c r="U2688" s="14" t="str">
        <f t="shared" si="693"/>
        <v/>
      </c>
      <c r="V2688" s="13" t="str">
        <f t="shared" si="694"/>
        <v/>
      </c>
      <c r="W2688" s="13" t="str">
        <f t="shared" si="695"/>
        <v/>
      </c>
      <c r="X2688" s="14" t="str">
        <f t="shared" si="696"/>
        <v/>
      </c>
    </row>
    <row r="2689" spans="20:24" x14ac:dyDescent="0.3">
      <c r="T2689" s="13" t="str">
        <f t="shared" si="692"/>
        <v/>
      </c>
      <c r="U2689" s="14" t="str">
        <f t="shared" si="693"/>
        <v/>
      </c>
      <c r="V2689" s="13" t="str">
        <f t="shared" si="694"/>
        <v/>
      </c>
      <c r="W2689" s="13" t="str">
        <f t="shared" si="695"/>
        <v/>
      </c>
      <c r="X2689" s="14" t="str">
        <f t="shared" si="696"/>
        <v/>
      </c>
    </row>
    <row r="2690" spans="20:24" x14ac:dyDescent="0.3">
      <c r="T2690" s="13" t="str">
        <f t="shared" si="692"/>
        <v/>
      </c>
      <c r="U2690" s="14" t="str">
        <f t="shared" si="693"/>
        <v/>
      </c>
      <c r="V2690" s="13" t="str">
        <f t="shared" si="694"/>
        <v/>
      </c>
      <c r="W2690" s="13" t="str">
        <f t="shared" si="695"/>
        <v/>
      </c>
      <c r="X2690" s="14" t="str">
        <f t="shared" si="696"/>
        <v/>
      </c>
    </row>
    <row r="2691" spans="20:24" x14ac:dyDescent="0.3">
      <c r="T2691" s="13" t="str">
        <f t="shared" si="692"/>
        <v/>
      </c>
      <c r="U2691" s="14" t="str">
        <f t="shared" si="693"/>
        <v/>
      </c>
      <c r="V2691" s="13" t="str">
        <f t="shared" si="694"/>
        <v/>
      </c>
      <c r="W2691" s="13" t="str">
        <f t="shared" si="695"/>
        <v/>
      </c>
      <c r="X2691" s="14" t="str">
        <f t="shared" si="696"/>
        <v/>
      </c>
    </row>
    <row r="2692" spans="20:24" x14ac:dyDescent="0.3">
      <c r="T2692" s="13" t="str">
        <f t="shared" si="692"/>
        <v/>
      </c>
      <c r="U2692" s="14" t="str">
        <f t="shared" si="693"/>
        <v/>
      </c>
      <c r="V2692" s="13" t="str">
        <f t="shared" si="694"/>
        <v/>
      </c>
      <c r="W2692" s="13" t="str">
        <f t="shared" si="695"/>
        <v/>
      </c>
      <c r="X2692" s="14" t="str">
        <f t="shared" si="696"/>
        <v/>
      </c>
    </row>
    <row r="2693" spans="20:24" x14ac:dyDescent="0.3">
      <c r="T2693" s="13" t="str">
        <f t="shared" si="692"/>
        <v/>
      </c>
      <c r="U2693" s="14" t="str">
        <f t="shared" si="693"/>
        <v/>
      </c>
      <c r="V2693" s="13" t="str">
        <f t="shared" si="694"/>
        <v/>
      </c>
      <c r="W2693" s="13" t="str">
        <f t="shared" si="695"/>
        <v/>
      </c>
      <c r="X2693" s="14" t="str">
        <f t="shared" si="696"/>
        <v/>
      </c>
    </row>
    <row r="2694" spans="20:24" x14ac:dyDescent="0.3">
      <c r="T2694" s="13" t="str">
        <f t="shared" si="692"/>
        <v/>
      </c>
      <c r="U2694" s="14" t="str">
        <f t="shared" si="693"/>
        <v/>
      </c>
      <c r="V2694" s="13" t="str">
        <f t="shared" si="694"/>
        <v/>
      </c>
      <c r="W2694" s="13" t="str">
        <f t="shared" si="695"/>
        <v/>
      </c>
      <c r="X2694" s="14" t="str">
        <f t="shared" si="696"/>
        <v/>
      </c>
    </row>
    <row r="2695" spans="20:24" x14ac:dyDescent="0.3">
      <c r="T2695" s="13" t="str">
        <f t="shared" si="692"/>
        <v/>
      </c>
      <c r="U2695" s="14" t="str">
        <f t="shared" si="693"/>
        <v/>
      </c>
      <c r="V2695" s="13" t="str">
        <f t="shared" si="694"/>
        <v/>
      </c>
      <c r="W2695" s="13" t="str">
        <f t="shared" si="695"/>
        <v/>
      </c>
      <c r="X2695" s="14" t="str">
        <f t="shared" si="696"/>
        <v/>
      </c>
    </row>
    <row r="2696" spans="20:24" x14ac:dyDescent="0.3">
      <c r="T2696" s="13" t="str">
        <f t="shared" si="692"/>
        <v/>
      </c>
      <c r="U2696" s="14" t="str">
        <f t="shared" si="693"/>
        <v/>
      </c>
      <c r="V2696" s="13" t="str">
        <f t="shared" si="694"/>
        <v/>
      </c>
      <c r="W2696" s="13" t="str">
        <f t="shared" si="695"/>
        <v/>
      </c>
      <c r="X2696" s="14" t="str">
        <f t="shared" si="696"/>
        <v/>
      </c>
    </row>
    <row r="2697" spans="20:24" x14ac:dyDescent="0.3">
      <c r="T2697" s="13" t="str">
        <f t="shared" si="692"/>
        <v/>
      </c>
      <c r="U2697" s="14" t="str">
        <f t="shared" si="693"/>
        <v/>
      </c>
      <c r="V2697" s="13" t="str">
        <f t="shared" si="694"/>
        <v/>
      </c>
      <c r="W2697" s="13" t="str">
        <f t="shared" si="695"/>
        <v/>
      </c>
      <c r="X2697" s="14" t="str">
        <f t="shared" si="696"/>
        <v/>
      </c>
    </row>
    <row r="2698" spans="20:24" x14ac:dyDescent="0.3">
      <c r="T2698" s="13" t="str">
        <f t="shared" si="692"/>
        <v/>
      </c>
      <c r="U2698" s="14" t="str">
        <f t="shared" si="693"/>
        <v/>
      </c>
      <c r="V2698" s="13" t="str">
        <f t="shared" si="694"/>
        <v/>
      </c>
      <c r="W2698" s="13" t="str">
        <f t="shared" si="695"/>
        <v/>
      </c>
      <c r="X2698" s="14" t="str">
        <f t="shared" si="696"/>
        <v/>
      </c>
    </row>
    <row r="2699" spans="20:24" x14ac:dyDescent="0.3">
      <c r="T2699" s="13" t="str">
        <f t="shared" si="692"/>
        <v/>
      </c>
      <c r="U2699" s="14" t="str">
        <f t="shared" si="693"/>
        <v/>
      </c>
      <c r="V2699" s="13" t="str">
        <f t="shared" si="694"/>
        <v/>
      </c>
      <c r="W2699" s="13" t="str">
        <f t="shared" si="695"/>
        <v/>
      </c>
      <c r="X2699" s="14" t="str">
        <f t="shared" si="696"/>
        <v/>
      </c>
    </row>
    <row r="2700" spans="20:24" x14ac:dyDescent="0.3">
      <c r="T2700" s="13" t="str">
        <f t="shared" si="692"/>
        <v/>
      </c>
      <c r="U2700" s="14" t="str">
        <f t="shared" si="693"/>
        <v/>
      </c>
      <c r="V2700" s="13" t="str">
        <f t="shared" si="694"/>
        <v/>
      </c>
      <c r="W2700" s="13" t="str">
        <f t="shared" si="695"/>
        <v/>
      </c>
      <c r="X2700" s="14" t="str">
        <f t="shared" si="696"/>
        <v/>
      </c>
    </row>
    <row r="2701" spans="20:24" x14ac:dyDescent="0.3">
      <c r="T2701" s="13" t="str">
        <f t="shared" si="692"/>
        <v/>
      </c>
      <c r="U2701" s="14" t="str">
        <f t="shared" si="693"/>
        <v/>
      </c>
      <c r="V2701" s="13" t="str">
        <f t="shared" si="694"/>
        <v/>
      </c>
      <c r="W2701" s="13" t="str">
        <f t="shared" si="695"/>
        <v/>
      </c>
      <c r="X2701" s="14" t="str">
        <f t="shared" si="696"/>
        <v/>
      </c>
    </row>
    <row r="2702" spans="20:24" x14ac:dyDescent="0.3">
      <c r="T2702" s="13" t="str">
        <f t="shared" si="692"/>
        <v/>
      </c>
      <c r="U2702" s="14" t="str">
        <f t="shared" si="693"/>
        <v/>
      </c>
      <c r="V2702" s="13" t="str">
        <f t="shared" si="694"/>
        <v/>
      </c>
      <c r="W2702" s="13" t="str">
        <f t="shared" si="695"/>
        <v/>
      </c>
      <c r="X2702" s="14" t="str">
        <f t="shared" si="696"/>
        <v/>
      </c>
    </row>
    <row r="2703" spans="20:24" x14ac:dyDescent="0.3">
      <c r="T2703" s="13" t="str">
        <f t="shared" si="692"/>
        <v/>
      </c>
      <c r="U2703" s="14" t="str">
        <f t="shared" si="693"/>
        <v/>
      </c>
      <c r="V2703" s="13" t="str">
        <f t="shared" si="694"/>
        <v/>
      </c>
      <c r="W2703" s="13" t="str">
        <f t="shared" si="695"/>
        <v/>
      </c>
      <c r="X2703" s="14" t="str">
        <f t="shared" si="696"/>
        <v/>
      </c>
    </row>
    <row r="2704" spans="20:24" x14ac:dyDescent="0.3">
      <c r="T2704" s="13" t="str">
        <f t="shared" si="692"/>
        <v/>
      </c>
      <c r="U2704" s="14" t="str">
        <f t="shared" si="693"/>
        <v/>
      </c>
      <c r="V2704" s="13" t="str">
        <f t="shared" si="694"/>
        <v/>
      </c>
      <c r="W2704" s="13" t="str">
        <f t="shared" si="695"/>
        <v/>
      </c>
      <c r="X2704" s="14" t="str">
        <f t="shared" si="696"/>
        <v/>
      </c>
    </row>
    <row r="2705" spans="20:24" x14ac:dyDescent="0.3">
      <c r="T2705" s="13" t="str">
        <f t="shared" si="692"/>
        <v/>
      </c>
      <c r="U2705" s="14" t="str">
        <f t="shared" si="693"/>
        <v/>
      </c>
      <c r="V2705" s="13" t="str">
        <f t="shared" si="694"/>
        <v/>
      </c>
      <c r="W2705" s="13" t="str">
        <f t="shared" si="695"/>
        <v/>
      </c>
      <c r="X2705" s="14" t="str">
        <f t="shared" si="696"/>
        <v/>
      </c>
    </row>
    <row r="2706" spans="20:24" x14ac:dyDescent="0.3">
      <c r="T2706" s="13" t="str">
        <f t="shared" si="692"/>
        <v/>
      </c>
      <c r="U2706" s="14" t="str">
        <f t="shared" si="693"/>
        <v/>
      </c>
      <c r="V2706" s="13" t="str">
        <f t="shared" si="694"/>
        <v/>
      </c>
      <c r="W2706" s="13" t="str">
        <f t="shared" si="695"/>
        <v/>
      </c>
      <c r="X2706" s="14" t="str">
        <f t="shared" si="696"/>
        <v/>
      </c>
    </row>
    <row r="2707" spans="20:24" x14ac:dyDescent="0.3">
      <c r="T2707" s="13" t="str">
        <f t="shared" ref="T2707:T2770" si="697">IF(A2707="",IF(A2706="","",$T$1),IF(O2707=1,"#",IF(B2707=0,"*",DEC2HEX(R2707))))</f>
        <v/>
      </c>
      <c r="U2707" s="14" t="str">
        <f t="shared" ref="U2707:U2770" si="698">IF(A2707="",IF(A2706="","",$U$1),  IF(B2707=0,Q2707,I2707)  )</f>
        <v/>
      </c>
      <c r="V2707" s="13" t="str">
        <f t="shared" ref="V2707:V2770" si="699">IF(U2707=$U$1,"",IF(A2707="",IF(A2706="","",1),  IF(B2707=0,1,D2707)  ))</f>
        <v/>
      </c>
      <c r="W2707" s="13" t="str">
        <f t="shared" ref="W2707:W2770" si="700">IF(U2707=$U$1,"",IF(A2707="",IF(A2706="","",0),  IF(C2707=0,0,0)  ))</f>
        <v/>
      </c>
      <c r="X2707" s="14" t="str">
        <f t="shared" ref="X2707:X2770" si="701">IF(U2707=$U$1,"",IF(U2707="","",IF(B2707&gt;0,IF(Q2707&lt;&gt;"",Q2707,"No description"),"-")))</f>
        <v/>
      </c>
    </row>
    <row r="2708" spans="20:24" x14ac:dyDescent="0.3">
      <c r="T2708" s="13" t="str">
        <f t="shared" si="697"/>
        <v/>
      </c>
      <c r="U2708" s="14" t="str">
        <f t="shared" si="698"/>
        <v/>
      </c>
      <c r="V2708" s="13" t="str">
        <f t="shared" si="699"/>
        <v/>
      </c>
      <c r="W2708" s="13" t="str">
        <f t="shared" si="700"/>
        <v/>
      </c>
      <c r="X2708" s="14" t="str">
        <f t="shared" si="701"/>
        <v/>
      </c>
    </row>
    <row r="2709" spans="20:24" x14ac:dyDescent="0.3">
      <c r="T2709" s="13" t="str">
        <f t="shared" si="697"/>
        <v/>
      </c>
      <c r="U2709" s="14" t="str">
        <f t="shared" si="698"/>
        <v/>
      </c>
      <c r="V2709" s="13" t="str">
        <f t="shared" si="699"/>
        <v/>
      </c>
      <c r="W2709" s="13" t="str">
        <f t="shared" si="700"/>
        <v/>
      </c>
      <c r="X2709" s="14" t="str">
        <f t="shared" si="701"/>
        <v/>
      </c>
    </row>
    <row r="2710" spans="20:24" x14ac:dyDescent="0.3">
      <c r="T2710" s="13" t="str">
        <f t="shared" si="697"/>
        <v/>
      </c>
      <c r="U2710" s="14" t="str">
        <f t="shared" si="698"/>
        <v/>
      </c>
      <c r="V2710" s="13" t="str">
        <f t="shared" si="699"/>
        <v/>
      </c>
      <c r="W2710" s="13" t="str">
        <f t="shared" si="700"/>
        <v/>
      </c>
      <c r="X2710" s="14" t="str">
        <f t="shared" si="701"/>
        <v/>
      </c>
    </row>
    <row r="2711" spans="20:24" x14ac:dyDescent="0.3">
      <c r="T2711" s="13" t="str">
        <f t="shared" si="697"/>
        <v/>
      </c>
      <c r="U2711" s="14" t="str">
        <f t="shared" si="698"/>
        <v/>
      </c>
      <c r="V2711" s="13" t="str">
        <f t="shared" si="699"/>
        <v/>
      </c>
      <c r="W2711" s="13" t="str">
        <f t="shared" si="700"/>
        <v/>
      </c>
      <c r="X2711" s="14" t="str">
        <f t="shared" si="701"/>
        <v/>
      </c>
    </row>
    <row r="2712" spans="20:24" x14ac:dyDescent="0.3">
      <c r="T2712" s="13" t="str">
        <f t="shared" si="697"/>
        <v/>
      </c>
      <c r="U2712" s="14" t="str">
        <f t="shared" si="698"/>
        <v/>
      </c>
      <c r="V2712" s="13" t="str">
        <f t="shared" si="699"/>
        <v/>
      </c>
      <c r="W2712" s="13" t="str">
        <f t="shared" si="700"/>
        <v/>
      </c>
      <c r="X2712" s="14" t="str">
        <f t="shared" si="701"/>
        <v/>
      </c>
    </row>
    <row r="2713" spans="20:24" x14ac:dyDescent="0.3">
      <c r="T2713" s="13" t="str">
        <f t="shared" si="697"/>
        <v/>
      </c>
      <c r="U2713" s="14" t="str">
        <f t="shared" si="698"/>
        <v/>
      </c>
      <c r="V2713" s="13" t="str">
        <f t="shared" si="699"/>
        <v/>
      </c>
      <c r="W2713" s="13" t="str">
        <f t="shared" si="700"/>
        <v/>
      </c>
      <c r="X2713" s="14" t="str">
        <f t="shared" si="701"/>
        <v/>
      </c>
    </row>
    <row r="2714" spans="20:24" x14ac:dyDescent="0.3">
      <c r="T2714" s="13" t="str">
        <f t="shared" si="697"/>
        <v/>
      </c>
      <c r="U2714" s="14" t="str">
        <f t="shared" si="698"/>
        <v/>
      </c>
      <c r="V2714" s="13" t="str">
        <f t="shared" si="699"/>
        <v/>
      </c>
      <c r="W2714" s="13" t="str">
        <f t="shared" si="700"/>
        <v/>
      </c>
      <c r="X2714" s="14" t="str">
        <f t="shared" si="701"/>
        <v/>
      </c>
    </row>
    <row r="2715" spans="20:24" x14ac:dyDescent="0.3">
      <c r="T2715" s="13" t="str">
        <f t="shared" si="697"/>
        <v/>
      </c>
      <c r="U2715" s="14" t="str">
        <f t="shared" si="698"/>
        <v/>
      </c>
      <c r="V2715" s="13" t="str">
        <f t="shared" si="699"/>
        <v/>
      </c>
      <c r="W2715" s="13" t="str">
        <f t="shared" si="700"/>
        <v/>
      </c>
      <c r="X2715" s="14" t="str">
        <f t="shared" si="701"/>
        <v/>
      </c>
    </row>
    <row r="2716" spans="20:24" x14ac:dyDescent="0.3">
      <c r="T2716" s="13" t="str">
        <f t="shared" si="697"/>
        <v/>
      </c>
      <c r="U2716" s="14" t="str">
        <f t="shared" si="698"/>
        <v/>
      </c>
      <c r="V2716" s="13" t="str">
        <f t="shared" si="699"/>
        <v/>
      </c>
      <c r="W2716" s="13" t="str">
        <f t="shared" si="700"/>
        <v/>
      </c>
      <c r="X2716" s="14" t="str">
        <f t="shared" si="701"/>
        <v/>
      </c>
    </row>
    <row r="2717" spans="20:24" x14ac:dyDescent="0.3">
      <c r="T2717" s="13" t="str">
        <f t="shared" si="697"/>
        <v/>
      </c>
      <c r="U2717" s="14" t="str">
        <f t="shared" si="698"/>
        <v/>
      </c>
      <c r="V2717" s="13" t="str">
        <f t="shared" si="699"/>
        <v/>
      </c>
      <c r="W2717" s="13" t="str">
        <f t="shared" si="700"/>
        <v/>
      </c>
      <c r="X2717" s="14" t="str">
        <f t="shared" si="701"/>
        <v/>
      </c>
    </row>
    <row r="2718" spans="20:24" x14ac:dyDescent="0.3">
      <c r="T2718" s="13" t="str">
        <f t="shared" si="697"/>
        <v/>
      </c>
      <c r="U2718" s="14" t="str">
        <f t="shared" si="698"/>
        <v/>
      </c>
      <c r="V2718" s="13" t="str">
        <f t="shared" si="699"/>
        <v/>
      </c>
      <c r="W2718" s="13" t="str">
        <f t="shared" si="700"/>
        <v/>
      </c>
      <c r="X2718" s="14" t="str">
        <f t="shared" si="701"/>
        <v/>
      </c>
    </row>
    <row r="2719" spans="20:24" x14ac:dyDescent="0.3">
      <c r="T2719" s="13" t="str">
        <f t="shared" si="697"/>
        <v/>
      </c>
      <c r="U2719" s="14" t="str">
        <f t="shared" si="698"/>
        <v/>
      </c>
      <c r="V2719" s="13" t="str">
        <f t="shared" si="699"/>
        <v/>
      </c>
      <c r="W2719" s="13" t="str">
        <f t="shared" si="700"/>
        <v/>
      </c>
      <c r="X2719" s="14" t="str">
        <f t="shared" si="701"/>
        <v/>
      </c>
    </row>
    <row r="2720" spans="20:24" x14ac:dyDescent="0.3">
      <c r="T2720" s="13" t="str">
        <f t="shared" si="697"/>
        <v/>
      </c>
      <c r="U2720" s="14" t="str">
        <f t="shared" si="698"/>
        <v/>
      </c>
      <c r="V2720" s="13" t="str">
        <f t="shared" si="699"/>
        <v/>
      </c>
      <c r="W2720" s="13" t="str">
        <f t="shared" si="700"/>
        <v/>
      </c>
      <c r="X2720" s="14" t="str">
        <f t="shared" si="701"/>
        <v/>
      </c>
    </row>
    <row r="2721" spans="20:24" x14ac:dyDescent="0.3">
      <c r="T2721" s="13" t="str">
        <f t="shared" si="697"/>
        <v/>
      </c>
      <c r="U2721" s="14" t="str">
        <f t="shared" si="698"/>
        <v/>
      </c>
      <c r="V2721" s="13" t="str">
        <f t="shared" si="699"/>
        <v/>
      </c>
      <c r="W2721" s="13" t="str">
        <f t="shared" si="700"/>
        <v/>
      </c>
      <c r="X2721" s="14" t="str">
        <f t="shared" si="701"/>
        <v/>
      </c>
    </row>
    <row r="2722" spans="20:24" x14ac:dyDescent="0.3">
      <c r="T2722" s="13" t="str">
        <f t="shared" si="697"/>
        <v/>
      </c>
      <c r="U2722" s="14" t="str">
        <f t="shared" si="698"/>
        <v/>
      </c>
      <c r="V2722" s="13" t="str">
        <f t="shared" si="699"/>
        <v/>
      </c>
      <c r="W2722" s="13" t="str">
        <f t="shared" si="700"/>
        <v/>
      </c>
      <c r="X2722" s="14" t="str">
        <f t="shared" si="701"/>
        <v/>
      </c>
    </row>
    <row r="2723" spans="20:24" x14ac:dyDescent="0.3">
      <c r="T2723" s="13" t="str">
        <f t="shared" si="697"/>
        <v/>
      </c>
      <c r="U2723" s="14" t="str">
        <f t="shared" si="698"/>
        <v/>
      </c>
      <c r="V2723" s="13" t="str">
        <f t="shared" si="699"/>
        <v/>
      </c>
      <c r="W2723" s="13" t="str">
        <f t="shared" si="700"/>
        <v/>
      </c>
      <c r="X2723" s="14" t="str">
        <f t="shared" si="701"/>
        <v/>
      </c>
    </row>
    <row r="2724" spans="20:24" x14ac:dyDescent="0.3">
      <c r="T2724" s="13" t="str">
        <f t="shared" si="697"/>
        <v/>
      </c>
      <c r="U2724" s="14" t="str">
        <f t="shared" si="698"/>
        <v/>
      </c>
      <c r="V2724" s="13" t="str">
        <f t="shared" si="699"/>
        <v/>
      </c>
      <c r="W2724" s="13" t="str">
        <f t="shared" si="700"/>
        <v/>
      </c>
      <c r="X2724" s="14" t="str">
        <f t="shared" si="701"/>
        <v/>
      </c>
    </row>
    <row r="2725" spans="20:24" x14ac:dyDescent="0.3">
      <c r="T2725" s="13" t="str">
        <f t="shared" si="697"/>
        <v/>
      </c>
      <c r="U2725" s="14" t="str">
        <f t="shared" si="698"/>
        <v/>
      </c>
      <c r="V2725" s="13" t="str">
        <f t="shared" si="699"/>
        <v/>
      </c>
      <c r="W2725" s="13" t="str">
        <f t="shared" si="700"/>
        <v/>
      </c>
      <c r="X2725" s="14" t="str">
        <f t="shared" si="701"/>
        <v/>
      </c>
    </row>
    <row r="2726" spans="20:24" x14ac:dyDescent="0.3">
      <c r="T2726" s="13" t="str">
        <f t="shared" si="697"/>
        <v/>
      </c>
      <c r="U2726" s="14" t="str">
        <f t="shared" si="698"/>
        <v/>
      </c>
      <c r="V2726" s="13" t="str">
        <f t="shared" si="699"/>
        <v/>
      </c>
      <c r="W2726" s="13" t="str">
        <f t="shared" si="700"/>
        <v/>
      </c>
      <c r="X2726" s="14" t="str">
        <f t="shared" si="701"/>
        <v/>
      </c>
    </row>
    <row r="2727" spans="20:24" x14ac:dyDescent="0.3">
      <c r="T2727" s="13" t="str">
        <f t="shared" si="697"/>
        <v/>
      </c>
      <c r="U2727" s="14" t="str">
        <f t="shared" si="698"/>
        <v/>
      </c>
      <c r="V2727" s="13" t="str">
        <f t="shared" si="699"/>
        <v/>
      </c>
      <c r="W2727" s="13" t="str">
        <f t="shared" si="700"/>
        <v/>
      </c>
      <c r="X2727" s="14" t="str">
        <f t="shared" si="701"/>
        <v/>
      </c>
    </row>
    <row r="2728" spans="20:24" x14ac:dyDescent="0.3">
      <c r="T2728" s="13" t="str">
        <f t="shared" si="697"/>
        <v/>
      </c>
      <c r="U2728" s="14" t="str">
        <f t="shared" si="698"/>
        <v/>
      </c>
      <c r="V2728" s="13" t="str">
        <f t="shared" si="699"/>
        <v/>
      </c>
      <c r="W2728" s="13" t="str">
        <f t="shared" si="700"/>
        <v/>
      </c>
      <c r="X2728" s="14" t="str">
        <f t="shared" si="701"/>
        <v/>
      </c>
    </row>
    <row r="2729" spans="20:24" x14ac:dyDescent="0.3">
      <c r="T2729" s="13" t="str">
        <f t="shared" si="697"/>
        <v/>
      </c>
      <c r="U2729" s="14" t="str">
        <f t="shared" si="698"/>
        <v/>
      </c>
      <c r="V2729" s="13" t="str">
        <f t="shared" si="699"/>
        <v/>
      </c>
      <c r="W2729" s="13" t="str">
        <f t="shared" si="700"/>
        <v/>
      </c>
      <c r="X2729" s="14" t="str">
        <f t="shared" si="701"/>
        <v/>
      </c>
    </row>
    <row r="2730" spans="20:24" x14ac:dyDescent="0.3">
      <c r="T2730" s="13" t="str">
        <f t="shared" si="697"/>
        <v/>
      </c>
      <c r="U2730" s="14" t="str">
        <f t="shared" si="698"/>
        <v/>
      </c>
      <c r="V2730" s="13" t="str">
        <f t="shared" si="699"/>
        <v/>
      </c>
      <c r="W2730" s="13" t="str">
        <f t="shared" si="700"/>
        <v/>
      </c>
      <c r="X2730" s="14" t="str">
        <f t="shared" si="701"/>
        <v/>
      </c>
    </row>
    <row r="2731" spans="20:24" x14ac:dyDescent="0.3">
      <c r="T2731" s="13" t="str">
        <f t="shared" si="697"/>
        <v/>
      </c>
      <c r="U2731" s="14" t="str">
        <f t="shared" si="698"/>
        <v/>
      </c>
      <c r="V2731" s="13" t="str">
        <f t="shared" si="699"/>
        <v/>
      </c>
      <c r="W2731" s="13" t="str">
        <f t="shared" si="700"/>
        <v/>
      </c>
      <c r="X2731" s="14" t="str">
        <f t="shared" si="701"/>
        <v/>
      </c>
    </row>
    <row r="2732" spans="20:24" x14ac:dyDescent="0.3">
      <c r="T2732" s="13" t="str">
        <f t="shared" si="697"/>
        <v/>
      </c>
      <c r="U2732" s="14" t="str">
        <f t="shared" si="698"/>
        <v/>
      </c>
      <c r="V2732" s="13" t="str">
        <f t="shared" si="699"/>
        <v/>
      </c>
      <c r="W2732" s="13" t="str">
        <f t="shared" si="700"/>
        <v/>
      </c>
      <c r="X2732" s="14" t="str">
        <f t="shared" si="701"/>
        <v/>
      </c>
    </row>
    <row r="2733" spans="20:24" x14ac:dyDescent="0.3">
      <c r="T2733" s="13" t="str">
        <f t="shared" si="697"/>
        <v/>
      </c>
      <c r="U2733" s="14" t="str">
        <f t="shared" si="698"/>
        <v/>
      </c>
      <c r="V2733" s="13" t="str">
        <f t="shared" si="699"/>
        <v/>
      </c>
      <c r="W2733" s="13" t="str">
        <f t="shared" si="700"/>
        <v/>
      </c>
      <c r="X2733" s="14" t="str">
        <f t="shared" si="701"/>
        <v/>
      </c>
    </row>
    <row r="2734" spans="20:24" x14ac:dyDescent="0.3">
      <c r="T2734" s="13" t="str">
        <f t="shared" si="697"/>
        <v/>
      </c>
      <c r="U2734" s="14" t="str">
        <f t="shared" si="698"/>
        <v/>
      </c>
      <c r="V2734" s="13" t="str">
        <f t="shared" si="699"/>
        <v/>
      </c>
      <c r="W2734" s="13" t="str">
        <f t="shared" si="700"/>
        <v/>
      </c>
      <c r="X2734" s="14" t="str">
        <f t="shared" si="701"/>
        <v/>
      </c>
    </row>
    <row r="2735" spans="20:24" x14ac:dyDescent="0.3">
      <c r="T2735" s="13" t="str">
        <f t="shared" si="697"/>
        <v/>
      </c>
      <c r="U2735" s="14" t="str">
        <f t="shared" si="698"/>
        <v/>
      </c>
      <c r="V2735" s="13" t="str">
        <f t="shared" si="699"/>
        <v/>
      </c>
      <c r="W2735" s="13" t="str">
        <f t="shared" si="700"/>
        <v/>
      </c>
      <c r="X2735" s="14" t="str">
        <f t="shared" si="701"/>
        <v/>
      </c>
    </row>
    <row r="2736" spans="20:24" x14ac:dyDescent="0.3">
      <c r="T2736" s="13" t="str">
        <f t="shared" si="697"/>
        <v/>
      </c>
      <c r="U2736" s="14" t="str">
        <f t="shared" si="698"/>
        <v/>
      </c>
      <c r="V2736" s="13" t="str">
        <f t="shared" si="699"/>
        <v/>
      </c>
      <c r="W2736" s="13" t="str">
        <f t="shared" si="700"/>
        <v/>
      </c>
      <c r="X2736" s="14" t="str">
        <f t="shared" si="701"/>
        <v/>
      </c>
    </row>
    <row r="2737" spans="20:24" x14ac:dyDescent="0.3">
      <c r="T2737" s="13" t="str">
        <f t="shared" si="697"/>
        <v/>
      </c>
      <c r="U2737" s="14" t="str">
        <f t="shared" si="698"/>
        <v/>
      </c>
      <c r="V2737" s="13" t="str">
        <f t="shared" si="699"/>
        <v/>
      </c>
      <c r="W2737" s="13" t="str">
        <f t="shared" si="700"/>
        <v/>
      </c>
      <c r="X2737" s="14" t="str">
        <f t="shared" si="701"/>
        <v/>
      </c>
    </row>
    <row r="2738" spans="20:24" x14ac:dyDescent="0.3">
      <c r="T2738" s="13" t="str">
        <f t="shared" si="697"/>
        <v/>
      </c>
      <c r="U2738" s="14" t="str">
        <f t="shared" si="698"/>
        <v/>
      </c>
      <c r="V2738" s="13" t="str">
        <f t="shared" si="699"/>
        <v/>
      </c>
      <c r="W2738" s="13" t="str">
        <f t="shared" si="700"/>
        <v/>
      </c>
      <c r="X2738" s="14" t="str">
        <f t="shared" si="701"/>
        <v/>
      </c>
    </row>
    <row r="2739" spans="20:24" x14ac:dyDescent="0.3">
      <c r="T2739" s="13" t="str">
        <f t="shared" si="697"/>
        <v/>
      </c>
      <c r="U2739" s="14" t="str">
        <f t="shared" si="698"/>
        <v/>
      </c>
      <c r="V2739" s="13" t="str">
        <f t="shared" si="699"/>
        <v/>
      </c>
      <c r="W2739" s="13" t="str">
        <f t="shared" si="700"/>
        <v/>
      </c>
      <c r="X2739" s="14" t="str">
        <f t="shared" si="701"/>
        <v/>
      </c>
    </row>
    <row r="2740" spans="20:24" x14ac:dyDescent="0.3">
      <c r="T2740" s="13" t="str">
        <f t="shared" si="697"/>
        <v/>
      </c>
      <c r="U2740" s="14" t="str">
        <f t="shared" si="698"/>
        <v/>
      </c>
      <c r="V2740" s="13" t="str">
        <f t="shared" si="699"/>
        <v/>
      </c>
      <c r="W2740" s="13" t="str">
        <f t="shared" si="700"/>
        <v/>
      </c>
      <c r="X2740" s="14" t="str">
        <f t="shared" si="701"/>
        <v/>
      </c>
    </row>
    <row r="2741" spans="20:24" x14ac:dyDescent="0.3">
      <c r="T2741" s="13" t="str">
        <f t="shared" si="697"/>
        <v/>
      </c>
      <c r="U2741" s="14" t="str">
        <f t="shared" si="698"/>
        <v/>
      </c>
      <c r="V2741" s="13" t="str">
        <f t="shared" si="699"/>
        <v/>
      </c>
      <c r="W2741" s="13" t="str">
        <f t="shared" si="700"/>
        <v/>
      </c>
      <c r="X2741" s="14" t="str">
        <f t="shared" si="701"/>
        <v/>
      </c>
    </row>
    <row r="2742" spans="20:24" x14ac:dyDescent="0.3">
      <c r="T2742" s="13" t="str">
        <f t="shared" si="697"/>
        <v/>
      </c>
      <c r="U2742" s="14" t="str">
        <f t="shared" si="698"/>
        <v/>
      </c>
      <c r="V2742" s="13" t="str">
        <f t="shared" si="699"/>
        <v/>
      </c>
      <c r="W2742" s="13" t="str">
        <f t="shared" si="700"/>
        <v/>
      </c>
      <c r="X2742" s="14" t="str">
        <f t="shared" si="701"/>
        <v/>
      </c>
    </row>
    <row r="2743" spans="20:24" x14ac:dyDescent="0.3">
      <c r="T2743" s="13" t="str">
        <f t="shared" si="697"/>
        <v/>
      </c>
      <c r="U2743" s="14" t="str">
        <f t="shared" si="698"/>
        <v/>
      </c>
      <c r="V2743" s="13" t="str">
        <f t="shared" si="699"/>
        <v/>
      </c>
      <c r="W2743" s="13" t="str">
        <f t="shared" si="700"/>
        <v/>
      </c>
      <c r="X2743" s="14" t="str">
        <f t="shared" si="701"/>
        <v/>
      </c>
    </row>
    <row r="2744" spans="20:24" x14ac:dyDescent="0.3">
      <c r="T2744" s="13" t="str">
        <f t="shared" si="697"/>
        <v/>
      </c>
      <c r="U2744" s="14" t="str">
        <f t="shared" si="698"/>
        <v/>
      </c>
      <c r="V2744" s="13" t="str">
        <f t="shared" si="699"/>
        <v/>
      </c>
      <c r="W2744" s="13" t="str">
        <f t="shared" si="700"/>
        <v/>
      </c>
      <c r="X2744" s="14" t="str">
        <f t="shared" si="701"/>
        <v/>
      </c>
    </row>
    <row r="2745" spans="20:24" x14ac:dyDescent="0.3">
      <c r="T2745" s="13" t="str">
        <f t="shared" si="697"/>
        <v/>
      </c>
      <c r="U2745" s="14" t="str">
        <f t="shared" si="698"/>
        <v/>
      </c>
      <c r="V2745" s="13" t="str">
        <f t="shared" si="699"/>
        <v/>
      </c>
      <c r="W2745" s="13" t="str">
        <f t="shared" si="700"/>
        <v/>
      </c>
      <c r="X2745" s="14" t="str">
        <f t="shared" si="701"/>
        <v/>
      </c>
    </row>
    <row r="2746" spans="20:24" x14ac:dyDescent="0.3">
      <c r="T2746" s="13" t="str">
        <f t="shared" si="697"/>
        <v/>
      </c>
      <c r="U2746" s="14" t="str">
        <f t="shared" si="698"/>
        <v/>
      </c>
      <c r="V2746" s="13" t="str">
        <f t="shared" si="699"/>
        <v/>
      </c>
      <c r="W2746" s="13" t="str">
        <f t="shared" si="700"/>
        <v/>
      </c>
      <c r="X2746" s="14" t="str">
        <f t="shared" si="701"/>
        <v/>
      </c>
    </row>
    <row r="2747" spans="20:24" x14ac:dyDescent="0.3">
      <c r="T2747" s="13" t="str">
        <f t="shared" si="697"/>
        <v/>
      </c>
      <c r="U2747" s="14" t="str">
        <f t="shared" si="698"/>
        <v/>
      </c>
      <c r="V2747" s="13" t="str">
        <f t="shared" si="699"/>
        <v/>
      </c>
      <c r="W2747" s="13" t="str">
        <f t="shared" si="700"/>
        <v/>
      </c>
      <c r="X2747" s="14" t="str">
        <f t="shared" si="701"/>
        <v/>
      </c>
    </row>
    <row r="2748" spans="20:24" x14ac:dyDescent="0.3">
      <c r="T2748" s="13" t="str">
        <f t="shared" si="697"/>
        <v/>
      </c>
      <c r="U2748" s="14" t="str">
        <f t="shared" si="698"/>
        <v/>
      </c>
      <c r="V2748" s="13" t="str">
        <f t="shared" si="699"/>
        <v/>
      </c>
      <c r="W2748" s="13" t="str">
        <f t="shared" si="700"/>
        <v/>
      </c>
      <c r="X2748" s="14" t="str">
        <f t="shared" si="701"/>
        <v/>
      </c>
    </row>
    <row r="2749" spans="20:24" x14ac:dyDescent="0.3">
      <c r="T2749" s="13" t="str">
        <f t="shared" si="697"/>
        <v/>
      </c>
      <c r="U2749" s="14" t="str">
        <f t="shared" si="698"/>
        <v/>
      </c>
      <c r="V2749" s="13" t="str">
        <f t="shared" si="699"/>
        <v/>
      </c>
      <c r="W2749" s="13" t="str">
        <f t="shared" si="700"/>
        <v/>
      </c>
      <c r="X2749" s="14" t="str">
        <f t="shared" si="701"/>
        <v/>
      </c>
    </row>
    <row r="2750" spans="20:24" x14ac:dyDescent="0.3">
      <c r="T2750" s="13" t="str">
        <f t="shared" si="697"/>
        <v/>
      </c>
      <c r="U2750" s="14" t="str">
        <f t="shared" si="698"/>
        <v/>
      </c>
      <c r="V2750" s="13" t="str">
        <f t="shared" si="699"/>
        <v/>
      </c>
      <c r="W2750" s="13" t="str">
        <f t="shared" si="700"/>
        <v/>
      </c>
      <c r="X2750" s="14" t="str">
        <f t="shared" si="701"/>
        <v/>
      </c>
    </row>
    <row r="2751" spans="20:24" x14ac:dyDescent="0.3">
      <c r="T2751" s="13" t="str">
        <f t="shared" si="697"/>
        <v/>
      </c>
      <c r="U2751" s="14" t="str">
        <f t="shared" si="698"/>
        <v/>
      </c>
      <c r="V2751" s="13" t="str">
        <f t="shared" si="699"/>
        <v/>
      </c>
      <c r="W2751" s="13" t="str">
        <f t="shared" si="700"/>
        <v/>
      </c>
      <c r="X2751" s="14" t="str">
        <f t="shared" si="701"/>
        <v/>
      </c>
    </row>
    <row r="2752" spans="20:24" x14ac:dyDescent="0.3">
      <c r="T2752" s="13" t="str">
        <f t="shared" si="697"/>
        <v/>
      </c>
      <c r="U2752" s="14" t="str">
        <f t="shared" si="698"/>
        <v/>
      </c>
      <c r="V2752" s="13" t="str">
        <f t="shared" si="699"/>
        <v/>
      </c>
      <c r="W2752" s="13" t="str">
        <f t="shared" si="700"/>
        <v/>
      </c>
      <c r="X2752" s="14" t="str">
        <f t="shared" si="701"/>
        <v/>
      </c>
    </row>
    <row r="2753" spans="20:24" x14ac:dyDescent="0.3">
      <c r="T2753" s="13" t="str">
        <f t="shared" si="697"/>
        <v/>
      </c>
      <c r="U2753" s="14" t="str">
        <f t="shared" si="698"/>
        <v/>
      </c>
      <c r="V2753" s="13" t="str">
        <f t="shared" si="699"/>
        <v/>
      </c>
      <c r="W2753" s="13" t="str">
        <f t="shared" si="700"/>
        <v/>
      </c>
      <c r="X2753" s="14" t="str">
        <f t="shared" si="701"/>
        <v/>
      </c>
    </row>
    <row r="2754" spans="20:24" x14ac:dyDescent="0.3">
      <c r="T2754" s="13" t="str">
        <f t="shared" si="697"/>
        <v/>
      </c>
      <c r="U2754" s="14" t="str">
        <f t="shared" si="698"/>
        <v/>
      </c>
      <c r="V2754" s="13" t="str">
        <f t="shared" si="699"/>
        <v/>
      </c>
      <c r="W2754" s="13" t="str">
        <f t="shared" si="700"/>
        <v/>
      </c>
      <c r="X2754" s="14" t="str">
        <f t="shared" si="701"/>
        <v/>
      </c>
    </row>
    <row r="2755" spans="20:24" x14ac:dyDescent="0.3">
      <c r="T2755" s="13" t="str">
        <f t="shared" si="697"/>
        <v/>
      </c>
      <c r="U2755" s="14" t="str">
        <f t="shared" si="698"/>
        <v/>
      </c>
      <c r="V2755" s="13" t="str">
        <f t="shared" si="699"/>
        <v/>
      </c>
      <c r="W2755" s="13" t="str">
        <f t="shared" si="700"/>
        <v/>
      </c>
      <c r="X2755" s="14" t="str">
        <f t="shared" si="701"/>
        <v/>
      </c>
    </row>
    <row r="2756" spans="20:24" x14ac:dyDescent="0.3">
      <c r="T2756" s="13" t="str">
        <f t="shared" si="697"/>
        <v/>
      </c>
      <c r="U2756" s="14" t="str">
        <f t="shared" si="698"/>
        <v/>
      </c>
      <c r="V2756" s="13" t="str">
        <f t="shared" si="699"/>
        <v/>
      </c>
      <c r="W2756" s="13" t="str">
        <f t="shared" si="700"/>
        <v/>
      </c>
      <c r="X2756" s="14" t="str">
        <f t="shared" si="701"/>
        <v/>
      </c>
    </row>
    <row r="2757" spans="20:24" x14ac:dyDescent="0.3">
      <c r="T2757" s="13" t="str">
        <f t="shared" si="697"/>
        <v/>
      </c>
      <c r="U2757" s="14" t="str">
        <f t="shared" si="698"/>
        <v/>
      </c>
      <c r="V2757" s="13" t="str">
        <f t="shared" si="699"/>
        <v/>
      </c>
      <c r="W2757" s="13" t="str">
        <f t="shared" si="700"/>
        <v/>
      </c>
      <c r="X2757" s="14" t="str">
        <f t="shared" si="701"/>
        <v/>
      </c>
    </row>
    <row r="2758" spans="20:24" x14ac:dyDescent="0.3">
      <c r="T2758" s="13" t="str">
        <f t="shared" si="697"/>
        <v/>
      </c>
      <c r="U2758" s="14" t="str">
        <f t="shared" si="698"/>
        <v/>
      </c>
      <c r="V2758" s="13" t="str">
        <f t="shared" si="699"/>
        <v/>
      </c>
      <c r="W2758" s="13" t="str">
        <f t="shared" si="700"/>
        <v/>
      </c>
      <c r="X2758" s="14" t="str">
        <f t="shared" si="701"/>
        <v/>
      </c>
    </row>
    <row r="2759" spans="20:24" x14ac:dyDescent="0.3">
      <c r="T2759" s="13" t="str">
        <f t="shared" si="697"/>
        <v/>
      </c>
      <c r="U2759" s="14" t="str">
        <f t="shared" si="698"/>
        <v/>
      </c>
      <c r="V2759" s="13" t="str">
        <f t="shared" si="699"/>
        <v/>
      </c>
      <c r="W2759" s="13" t="str">
        <f t="shared" si="700"/>
        <v/>
      </c>
      <c r="X2759" s="14" t="str">
        <f t="shared" si="701"/>
        <v/>
      </c>
    </row>
    <row r="2760" spans="20:24" x14ac:dyDescent="0.3">
      <c r="T2760" s="13" t="str">
        <f t="shared" si="697"/>
        <v/>
      </c>
      <c r="U2760" s="14" t="str">
        <f t="shared" si="698"/>
        <v/>
      </c>
      <c r="V2760" s="13" t="str">
        <f t="shared" si="699"/>
        <v/>
      </c>
      <c r="W2760" s="13" t="str">
        <f t="shared" si="700"/>
        <v/>
      </c>
      <c r="X2760" s="14" t="str">
        <f t="shared" si="701"/>
        <v/>
      </c>
    </row>
    <row r="2761" spans="20:24" x14ac:dyDescent="0.3">
      <c r="T2761" s="13" t="str">
        <f t="shared" si="697"/>
        <v/>
      </c>
      <c r="U2761" s="14" t="str">
        <f t="shared" si="698"/>
        <v/>
      </c>
      <c r="V2761" s="13" t="str">
        <f t="shared" si="699"/>
        <v/>
      </c>
      <c r="W2761" s="13" t="str">
        <f t="shared" si="700"/>
        <v/>
      </c>
      <c r="X2761" s="14" t="str">
        <f t="shared" si="701"/>
        <v/>
      </c>
    </row>
    <row r="2762" spans="20:24" x14ac:dyDescent="0.3">
      <c r="T2762" s="13" t="str">
        <f t="shared" si="697"/>
        <v/>
      </c>
      <c r="U2762" s="14" t="str">
        <f t="shared" si="698"/>
        <v/>
      </c>
      <c r="V2762" s="13" t="str">
        <f t="shared" si="699"/>
        <v/>
      </c>
      <c r="W2762" s="13" t="str">
        <f t="shared" si="700"/>
        <v/>
      </c>
      <c r="X2762" s="14" t="str">
        <f t="shared" si="701"/>
        <v/>
      </c>
    </row>
    <row r="2763" spans="20:24" x14ac:dyDescent="0.3">
      <c r="T2763" s="13" t="str">
        <f t="shared" si="697"/>
        <v/>
      </c>
      <c r="U2763" s="14" t="str">
        <f t="shared" si="698"/>
        <v/>
      </c>
      <c r="V2763" s="13" t="str">
        <f t="shared" si="699"/>
        <v/>
      </c>
      <c r="W2763" s="13" t="str">
        <f t="shared" si="700"/>
        <v/>
      </c>
      <c r="X2763" s="14" t="str">
        <f t="shared" si="701"/>
        <v/>
      </c>
    </row>
    <row r="2764" spans="20:24" x14ac:dyDescent="0.3">
      <c r="T2764" s="13" t="str">
        <f t="shared" si="697"/>
        <v/>
      </c>
      <c r="U2764" s="14" t="str">
        <f t="shared" si="698"/>
        <v/>
      </c>
      <c r="V2764" s="13" t="str">
        <f t="shared" si="699"/>
        <v/>
      </c>
      <c r="W2764" s="13" t="str">
        <f t="shared" si="700"/>
        <v/>
      </c>
      <c r="X2764" s="14" t="str">
        <f t="shared" si="701"/>
        <v/>
      </c>
    </row>
    <row r="2765" spans="20:24" x14ac:dyDescent="0.3">
      <c r="T2765" s="13" t="str">
        <f t="shared" si="697"/>
        <v/>
      </c>
      <c r="U2765" s="14" t="str">
        <f t="shared" si="698"/>
        <v/>
      </c>
      <c r="V2765" s="13" t="str">
        <f t="shared" si="699"/>
        <v/>
      </c>
      <c r="W2765" s="13" t="str">
        <f t="shared" si="700"/>
        <v/>
      </c>
      <c r="X2765" s="14" t="str">
        <f t="shared" si="701"/>
        <v/>
      </c>
    </row>
    <row r="2766" spans="20:24" x14ac:dyDescent="0.3">
      <c r="T2766" s="13" t="str">
        <f t="shared" si="697"/>
        <v/>
      </c>
      <c r="U2766" s="14" t="str">
        <f t="shared" si="698"/>
        <v/>
      </c>
      <c r="V2766" s="13" t="str">
        <f t="shared" si="699"/>
        <v/>
      </c>
      <c r="W2766" s="13" t="str">
        <f t="shared" si="700"/>
        <v/>
      </c>
      <c r="X2766" s="14" t="str">
        <f t="shared" si="701"/>
        <v/>
      </c>
    </row>
    <row r="2767" spans="20:24" x14ac:dyDescent="0.3">
      <c r="T2767" s="13" t="str">
        <f t="shared" si="697"/>
        <v/>
      </c>
      <c r="U2767" s="14" t="str">
        <f t="shared" si="698"/>
        <v/>
      </c>
      <c r="V2767" s="13" t="str">
        <f t="shared" si="699"/>
        <v/>
      </c>
      <c r="W2767" s="13" t="str">
        <f t="shared" si="700"/>
        <v/>
      </c>
      <c r="X2767" s="14" t="str">
        <f t="shared" si="701"/>
        <v/>
      </c>
    </row>
    <row r="2768" spans="20:24" x14ac:dyDescent="0.3">
      <c r="T2768" s="13" t="str">
        <f t="shared" si="697"/>
        <v/>
      </c>
      <c r="U2768" s="14" t="str">
        <f t="shared" si="698"/>
        <v/>
      </c>
      <c r="V2768" s="13" t="str">
        <f t="shared" si="699"/>
        <v/>
      </c>
      <c r="W2768" s="13" t="str">
        <f t="shared" si="700"/>
        <v/>
      </c>
      <c r="X2768" s="14" t="str">
        <f t="shared" si="701"/>
        <v/>
      </c>
    </row>
    <row r="2769" spans="20:24" x14ac:dyDescent="0.3">
      <c r="T2769" s="13" t="str">
        <f t="shared" si="697"/>
        <v/>
      </c>
      <c r="U2769" s="14" t="str">
        <f t="shared" si="698"/>
        <v/>
      </c>
      <c r="V2769" s="13" t="str">
        <f t="shared" si="699"/>
        <v/>
      </c>
      <c r="W2769" s="13" t="str">
        <f t="shared" si="700"/>
        <v/>
      </c>
      <c r="X2769" s="14" t="str">
        <f t="shared" si="701"/>
        <v/>
      </c>
    </row>
    <row r="2770" spans="20:24" x14ac:dyDescent="0.3">
      <c r="T2770" s="13" t="str">
        <f t="shared" si="697"/>
        <v/>
      </c>
      <c r="U2770" s="14" t="str">
        <f t="shared" si="698"/>
        <v/>
      </c>
      <c r="V2770" s="13" t="str">
        <f t="shared" si="699"/>
        <v/>
      </c>
      <c r="W2770" s="13" t="str">
        <f t="shared" si="700"/>
        <v/>
      </c>
      <c r="X2770" s="14" t="str">
        <f t="shared" si="701"/>
        <v/>
      </c>
    </row>
    <row r="2771" spans="20:24" x14ac:dyDescent="0.3">
      <c r="T2771" s="13" t="str">
        <f t="shared" ref="T2771:T2834" si="702">IF(A2771="",IF(A2770="","",$T$1),IF(O2771=1,"#",IF(B2771=0,"*",DEC2HEX(R2771))))</f>
        <v/>
      </c>
      <c r="U2771" s="14" t="str">
        <f t="shared" ref="U2771:U2834" si="703">IF(A2771="",IF(A2770="","",$U$1),  IF(B2771=0,Q2771,I2771)  )</f>
        <v/>
      </c>
      <c r="V2771" s="13" t="str">
        <f t="shared" ref="V2771:V2834" si="704">IF(U2771=$U$1,"",IF(A2771="",IF(A2770="","",1),  IF(B2771=0,1,D2771)  ))</f>
        <v/>
      </c>
      <c r="W2771" s="13" t="str">
        <f t="shared" ref="W2771:W2834" si="705">IF(U2771=$U$1,"",IF(A2771="",IF(A2770="","",0),  IF(C2771=0,0,0)  ))</f>
        <v/>
      </c>
      <c r="X2771" s="14" t="str">
        <f t="shared" ref="X2771:X2834" si="706">IF(U2771=$U$1,"",IF(U2771="","",IF(B2771&gt;0,IF(Q2771&lt;&gt;"",Q2771,"No description"),"-")))</f>
        <v/>
      </c>
    </row>
    <row r="2772" spans="20:24" x14ac:dyDescent="0.3">
      <c r="T2772" s="13" t="str">
        <f t="shared" si="702"/>
        <v/>
      </c>
      <c r="U2772" s="14" t="str">
        <f t="shared" si="703"/>
        <v/>
      </c>
      <c r="V2772" s="13" t="str">
        <f t="shared" si="704"/>
        <v/>
      </c>
      <c r="W2772" s="13" t="str">
        <f t="shared" si="705"/>
        <v/>
      </c>
      <c r="X2772" s="14" t="str">
        <f t="shared" si="706"/>
        <v/>
      </c>
    </row>
    <row r="2773" spans="20:24" x14ac:dyDescent="0.3">
      <c r="T2773" s="13" t="str">
        <f t="shared" si="702"/>
        <v/>
      </c>
      <c r="U2773" s="14" t="str">
        <f t="shared" si="703"/>
        <v/>
      </c>
      <c r="V2773" s="13" t="str">
        <f t="shared" si="704"/>
        <v/>
      </c>
      <c r="W2773" s="13" t="str">
        <f t="shared" si="705"/>
        <v/>
      </c>
      <c r="X2773" s="14" t="str">
        <f t="shared" si="706"/>
        <v/>
      </c>
    </row>
    <row r="2774" spans="20:24" x14ac:dyDescent="0.3">
      <c r="T2774" s="13" t="str">
        <f t="shared" si="702"/>
        <v/>
      </c>
      <c r="U2774" s="14" t="str">
        <f t="shared" si="703"/>
        <v/>
      </c>
      <c r="V2774" s="13" t="str">
        <f t="shared" si="704"/>
        <v/>
      </c>
      <c r="W2774" s="13" t="str">
        <f t="shared" si="705"/>
        <v/>
      </c>
      <c r="X2774" s="14" t="str">
        <f t="shared" si="706"/>
        <v/>
      </c>
    </row>
    <row r="2775" spans="20:24" x14ac:dyDescent="0.3">
      <c r="T2775" s="13" t="str">
        <f t="shared" si="702"/>
        <v/>
      </c>
      <c r="U2775" s="14" t="str">
        <f t="shared" si="703"/>
        <v/>
      </c>
      <c r="V2775" s="13" t="str">
        <f t="shared" si="704"/>
        <v/>
      </c>
      <c r="W2775" s="13" t="str">
        <f t="shared" si="705"/>
        <v/>
      </c>
      <c r="X2775" s="14" t="str">
        <f t="shared" si="706"/>
        <v/>
      </c>
    </row>
    <row r="2776" spans="20:24" x14ac:dyDescent="0.3">
      <c r="T2776" s="13" t="str">
        <f t="shared" si="702"/>
        <v/>
      </c>
      <c r="U2776" s="14" t="str">
        <f t="shared" si="703"/>
        <v/>
      </c>
      <c r="V2776" s="13" t="str">
        <f t="shared" si="704"/>
        <v/>
      </c>
      <c r="W2776" s="13" t="str">
        <f t="shared" si="705"/>
        <v/>
      </c>
      <c r="X2776" s="14" t="str">
        <f t="shared" si="706"/>
        <v/>
      </c>
    </row>
    <row r="2777" spans="20:24" x14ac:dyDescent="0.3">
      <c r="T2777" s="13" t="str">
        <f t="shared" si="702"/>
        <v/>
      </c>
      <c r="U2777" s="14" t="str">
        <f t="shared" si="703"/>
        <v/>
      </c>
      <c r="V2777" s="13" t="str">
        <f t="shared" si="704"/>
        <v/>
      </c>
      <c r="W2777" s="13" t="str">
        <f t="shared" si="705"/>
        <v/>
      </c>
      <c r="X2777" s="14" t="str">
        <f t="shared" si="706"/>
        <v/>
      </c>
    </row>
    <row r="2778" spans="20:24" x14ac:dyDescent="0.3">
      <c r="T2778" s="13" t="str">
        <f t="shared" si="702"/>
        <v/>
      </c>
      <c r="U2778" s="14" t="str">
        <f t="shared" si="703"/>
        <v/>
      </c>
      <c r="V2778" s="13" t="str">
        <f t="shared" si="704"/>
        <v/>
      </c>
      <c r="W2778" s="13" t="str">
        <f t="shared" si="705"/>
        <v/>
      </c>
      <c r="X2778" s="14" t="str">
        <f t="shared" si="706"/>
        <v/>
      </c>
    </row>
    <row r="2779" spans="20:24" x14ac:dyDescent="0.3">
      <c r="T2779" s="13" t="str">
        <f t="shared" si="702"/>
        <v/>
      </c>
      <c r="U2779" s="14" t="str">
        <f t="shared" si="703"/>
        <v/>
      </c>
      <c r="V2779" s="13" t="str">
        <f t="shared" si="704"/>
        <v/>
      </c>
      <c r="W2779" s="13" t="str">
        <f t="shared" si="705"/>
        <v/>
      </c>
      <c r="X2779" s="14" t="str">
        <f t="shared" si="706"/>
        <v/>
      </c>
    </row>
    <row r="2780" spans="20:24" x14ac:dyDescent="0.3">
      <c r="T2780" s="13" t="str">
        <f t="shared" si="702"/>
        <v/>
      </c>
      <c r="U2780" s="14" t="str">
        <f t="shared" si="703"/>
        <v/>
      </c>
      <c r="V2780" s="13" t="str">
        <f t="shared" si="704"/>
        <v/>
      </c>
      <c r="W2780" s="13" t="str">
        <f t="shared" si="705"/>
        <v/>
      </c>
      <c r="X2780" s="14" t="str">
        <f t="shared" si="706"/>
        <v/>
      </c>
    </row>
    <row r="2781" spans="20:24" x14ac:dyDescent="0.3">
      <c r="T2781" s="13" t="str">
        <f t="shared" si="702"/>
        <v/>
      </c>
      <c r="U2781" s="14" t="str">
        <f t="shared" si="703"/>
        <v/>
      </c>
      <c r="V2781" s="13" t="str">
        <f t="shared" si="704"/>
        <v/>
      </c>
      <c r="W2781" s="13" t="str">
        <f t="shared" si="705"/>
        <v/>
      </c>
      <c r="X2781" s="14" t="str">
        <f t="shared" si="706"/>
        <v/>
      </c>
    </row>
    <row r="2782" spans="20:24" x14ac:dyDescent="0.3">
      <c r="T2782" s="13" t="str">
        <f t="shared" si="702"/>
        <v/>
      </c>
      <c r="U2782" s="14" t="str">
        <f t="shared" si="703"/>
        <v/>
      </c>
      <c r="V2782" s="13" t="str">
        <f t="shared" si="704"/>
        <v/>
      </c>
      <c r="W2782" s="13" t="str">
        <f t="shared" si="705"/>
        <v/>
      </c>
      <c r="X2782" s="14" t="str">
        <f t="shared" si="706"/>
        <v/>
      </c>
    </row>
    <row r="2783" spans="20:24" x14ac:dyDescent="0.3">
      <c r="T2783" s="13" t="str">
        <f t="shared" si="702"/>
        <v/>
      </c>
      <c r="U2783" s="14" t="str">
        <f t="shared" si="703"/>
        <v/>
      </c>
      <c r="V2783" s="13" t="str">
        <f t="shared" si="704"/>
        <v/>
      </c>
      <c r="W2783" s="13" t="str">
        <f t="shared" si="705"/>
        <v/>
      </c>
      <c r="X2783" s="14" t="str">
        <f t="shared" si="706"/>
        <v/>
      </c>
    </row>
    <row r="2784" spans="20:24" x14ac:dyDescent="0.3">
      <c r="T2784" s="13" t="str">
        <f t="shared" si="702"/>
        <v/>
      </c>
      <c r="U2784" s="14" t="str">
        <f t="shared" si="703"/>
        <v/>
      </c>
      <c r="V2784" s="13" t="str">
        <f t="shared" si="704"/>
        <v/>
      </c>
      <c r="W2784" s="13" t="str">
        <f t="shared" si="705"/>
        <v/>
      </c>
      <c r="X2784" s="14" t="str">
        <f t="shared" si="706"/>
        <v/>
      </c>
    </row>
    <row r="2785" spans="20:24" x14ac:dyDescent="0.3">
      <c r="T2785" s="13" t="str">
        <f t="shared" si="702"/>
        <v/>
      </c>
      <c r="U2785" s="14" t="str">
        <f t="shared" si="703"/>
        <v/>
      </c>
      <c r="V2785" s="13" t="str">
        <f t="shared" si="704"/>
        <v/>
      </c>
      <c r="W2785" s="13" t="str">
        <f t="shared" si="705"/>
        <v/>
      </c>
      <c r="X2785" s="14" t="str">
        <f t="shared" si="706"/>
        <v/>
      </c>
    </row>
    <row r="2786" spans="20:24" x14ac:dyDescent="0.3">
      <c r="T2786" s="13" t="str">
        <f t="shared" si="702"/>
        <v/>
      </c>
      <c r="U2786" s="14" t="str">
        <f t="shared" si="703"/>
        <v/>
      </c>
      <c r="V2786" s="13" t="str">
        <f t="shared" si="704"/>
        <v/>
      </c>
      <c r="W2786" s="13" t="str">
        <f t="shared" si="705"/>
        <v/>
      </c>
      <c r="X2786" s="14" t="str">
        <f t="shared" si="706"/>
        <v/>
      </c>
    </row>
    <row r="2787" spans="20:24" x14ac:dyDescent="0.3">
      <c r="T2787" s="13" t="str">
        <f t="shared" si="702"/>
        <v/>
      </c>
      <c r="U2787" s="14" t="str">
        <f t="shared" si="703"/>
        <v/>
      </c>
      <c r="V2787" s="13" t="str">
        <f t="shared" si="704"/>
        <v/>
      </c>
      <c r="W2787" s="13" t="str">
        <f t="shared" si="705"/>
        <v/>
      </c>
      <c r="X2787" s="14" t="str">
        <f t="shared" si="706"/>
        <v/>
      </c>
    </row>
    <row r="2788" spans="20:24" x14ac:dyDescent="0.3">
      <c r="T2788" s="13" t="str">
        <f t="shared" si="702"/>
        <v/>
      </c>
      <c r="U2788" s="14" t="str">
        <f t="shared" si="703"/>
        <v/>
      </c>
      <c r="V2788" s="13" t="str">
        <f t="shared" si="704"/>
        <v/>
      </c>
      <c r="W2788" s="13" t="str">
        <f t="shared" si="705"/>
        <v/>
      </c>
      <c r="X2788" s="14" t="str">
        <f t="shared" si="706"/>
        <v/>
      </c>
    </row>
    <row r="2789" spans="20:24" x14ac:dyDescent="0.3">
      <c r="T2789" s="13" t="str">
        <f t="shared" si="702"/>
        <v/>
      </c>
      <c r="U2789" s="14" t="str">
        <f t="shared" si="703"/>
        <v/>
      </c>
      <c r="V2789" s="13" t="str">
        <f t="shared" si="704"/>
        <v/>
      </c>
      <c r="W2789" s="13" t="str">
        <f t="shared" si="705"/>
        <v/>
      </c>
      <c r="X2789" s="14" t="str">
        <f t="shared" si="706"/>
        <v/>
      </c>
    </row>
    <row r="2790" spans="20:24" x14ac:dyDescent="0.3">
      <c r="T2790" s="13" t="str">
        <f t="shared" si="702"/>
        <v/>
      </c>
      <c r="U2790" s="14" t="str">
        <f t="shared" si="703"/>
        <v/>
      </c>
      <c r="V2790" s="13" t="str">
        <f t="shared" si="704"/>
        <v/>
      </c>
      <c r="W2790" s="13" t="str">
        <f t="shared" si="705"/>
        <v/>
      </c>
      <c r="X2790" s="14" t="str">
        <f t="shared" si="706"/>
        <v/>
      </c>
    </row>
    <row r="2791" spans="20:24" x14ac:dyDescent="0.3">
      <c r="T2791" s="13" t="str">
        <f t="shared" si="702"/>
        <v/>
      </c>
      <c r="U2791" s="14" t="str">
        <f t="shared" si="703"/>
        <v/>
      </c>
      <c r="V2791" s="13" t="str">
        <f t="shared" si="704"/>
        <v/>
      </c>
      <c r="W2791" s="13" t="str">
        <f t="shared" si="705"/>
        <v/>
      </c>
      <c r="X2791" s="14" t="str">
        <f t="shared" si="706"/>
        <v/>
      </c>
    </row>
    <row r="2792" spans="20:24" x14ac:dyDescent="0.3">
      <c r="T2792" s="13" t="str">
        <f t="shared" si="702"/>
        <v/>
      </c>
      <c r="U2792" s="14" t="str">
        <f t="shared" si="703"/>
        <v/>
      </c>
      <c r="V2792" s="13" t="str">
        <f t="shared" si="704"/>
        <v/>
      </c>
      <c r="W2792" s="13" t="str">
        <f t="shared" si="705"/>
        <v/>
      </c>
      <c r="X2792" s="14" t="str">
        <f t="shared" si="706"/>
        <v/>
      </c>
    </row>
    <row r="2793" spans="20:24" x14ac:dyDescent="0.3">
      <c r="T2793" s="13" t="str">
        <f t="shared" si="702"/>
        <v/>
      </c>
      <c r="U2793" s="14" t="str">
        <f t="shared" si="703"/>
        <v/>
      </c>
      <c r="V2793" s="13" t="str">
        <f t="shared" si="704"/>
        <v/>
      </c>
      <c r="W2793" s="13" t="str">
        <f t="shared" si="705"/>
        <v/>
      </c>
      <c r="X2793" s="14" t="str">
        <f t="shared" si="706"/>
        <v/>
      </c>
    </row>
    <row r="2794" spans="20:24" x14ac:dyDescent="0.3">
      <c r="T2794" s="13" t="str">
        <f t="shared" si="702"/>
        <v/>
      </c>
      <c r="U2794" s="14" t="str">
        <f t="shared" si="703"/>
        <v/>
      </c>
      <c r="V2794" s="13" t="str">
        <f t="shared" si="704"/>
        <v/>
      </c>
      <c r="W2794" s="13" t="str">
        <f t="shared" si="705"/>
        <v/>
      </c>
      <c r="X2794" s="14" t="str">
        <f t="shared" si="706"/>
        <v/>
      </c>
    </row>
    <row r="2795" spans="20:24" x14ac:dyDescent="0.3">
      <c r="T2795" s="13" t="str">
        <f t="shared" si="702"/>
        <v/>
      </c>
      <c r="U2795" s="14" t="str">
        <f t="shared" si="703"/>
        <v/>
      </c>
      <c r="V2795" s="13" t="str">
        <f t="shared" si="704"/>
        <v/>
      </c>
      <c r="W2795" s="13" t="str">
        <f t="shared" si="705"/>
        <v/>
      </c>
      <c r="X2795" s="14" t="str">
        <f t="shared" si="706"/>
        <v/>
      </c>
    </row>
    <row r="2796" spans="20:24" x14ac:dyDescent="0.3">
      <c r="T2796" s="13" t="str">
        <f t="shared" si="702"/>
        <v/>
      </c>
      <c r="U2796" s="14" t="str">
        <f t="shared" si="703"/>
        <v/>
      </c>
      <c r="V2796" s="13" t="str">
        <f t="shared" si="704"/>
        <v/>
      </c>
      <c r="W2796" s="13" t="str">
        <f t="shared" si="705"/>
        <v/>
      </c>
      <c r="X2796" s="14" t="str">
        <f t="shared" si="706"/>
        <v/>
      </c>
    </row>
    <row r="2797" spans="20:24" x14ac:dyDescent="0.3">
      <c r="T2797" s="13" t="str">
        <f t="shared" si="702"/>
        <v/>
      </c>
      <c r="U2797" s="14" t="str">
        <f t="shared" si="703"/>
        <v/>
      </c>
      <c r="V2797" s="13" t="str">
        <f t="shared" si="704"/>
        <v/>
      </c>
      <c r="W2797" s="13" t="str">
        <f t="shared" si="705"/>
        <v/>
      </c>
      <c r="X2797" s="14" t="str">
        <f t="shared" si="706"/>
        <v/>
      </c>
    </row>
    <row r="2798" spans="20:24" x14ac:dyDescent="0.3">
      <c r="T2798" s="13" t="str">
        <f t="shared" si="702"/>
        <v/>
      </c>
      <c r="U2798" s="14" t="str">
        <f t="shared" si="703"/>
        <v/>
      </c>
      <c r="V2798" s="13" t="str">
        <f t="shared" si="704"/>
        <v/>
      </c>
      <c r="W2798" s="13" t="str">
        <f t="shared" si="705"/>
        <v/>
      </c>
      <c r="X2798" s="14" t="str">
        <f t="shared" si="706"/>
        <v/>
      </c>
    </row>
    <row r="2799" spans="20:24" x14ac:dyDescent="0.3">
      <c r="T2799" s="13" t="str">
        <f t="shared" si="702"/>
        <v/>
      </c>
      <c r="U2799" s="14" t="str">
        <f t="shared" si="703"/>
        <v/>
      </c>
      <c r="V2799" s="13" t="str">
        <f t="shared" si="704"/>
        <v/>
      </c>
      <c r="W2799" s="13" t="str">
        <f t="shared" si="705"/>
        <v/>
      </c>
      <c r="X2799" s="14" t="str">
        <f t="shared" si="706"/>
        <v/>
      </c>
    </row>
    <row r="2800" spans="20:24" x14ac:dyDescent="0.3">
      <c r="T2800" s="13" t="str">
        <f t="shared" si="702"/>
        <v/>
      </c>
      <c r="U2800" s="14" t="str">
        <f t="shared" si="703"/>
        <v/>
      </c>
      <c r="V2800" s="13" t="str">
        <f t="shared" si="704"/>
        <v/>
      </c>
      <c r="W2800" s="13" t="str">
        <f t="shared" si="705"/>
        <v/>
      </c>
      <c r="X2800" s="14" t="str">
        <f t="shared" si="706"/>
        <v/>
      </c>
    </row>
    <row r="2801" spans="20:24" x14ac:dyDescent="0.3">
      <c r="T2801" s="13" t="str">
        <f t="shared" si="702"/>
        <v/>
      </c>
      <c r="U2801" s="14" t="str">
        <f t="shared" si="703"/>
        <v/>
      </c>
      <c r="V2801" s="13" t="str">
        <f t="shared" si="704"/>
        <v/>
      </c>
      <c r="W2801" s="13" t="str">
        <f t="shared" si="705"/>
        <v/>
      </c>
      <c r="X2801" s="14" t="str">
        <f t="shared" si="706"/>
        <v/>
      </c>
    </row>
    <row r="2802" spans="20:24" x14ac:dyDescent="0.3">
      <c r="T2802" s="13" t="str">
        <f t="shared" si="702"/>
        <v/>
      </c>
      <c r="U2802" s="14" t="str">
        <f t="shared" si="703"/>
        <v/>
      </c>
      <c r="V2802" s="13" t="str">
        <f t="shared" si="704"/>
        <v/>
      </c>
      <c r="W2802" s="13" t="str">
        <f t="shared" si="705"/>
        <v/>
      </c>
      <c r="X2802" s="14" t="str">
        <f t="shared" si="706"/>
        <v/>
      </c>
    </row>
    <row r="2803" spans="20:24" x14ac:dyDescent="0.3">
      <c r="T2803" s="13" t="str">
        <f t="shared" si="702"/>
        <v/>
      </c>
      <c r="U2803" s="14" t="str">
        <f t="shared" si="703"/>
        <v/>
      </c>
      <c r="V2803" s="13" t="str">
        <f t="shared" si="704"/>
        <v/>
      </c>
      <c r="W2803" s="13" t="str">
        <f t="shared" si="705"/>
        <v/>
      </c>
      <c r="X2803" s="14" t="str">
        <f t="shared" si="706"/>
        <v/>
      </c>
    </row>
    <row r="2804" spans="20:24" x14ac:dyDescent="0.3">
      <c r="T2804" s="13" t="str">
        <f t="shared" si="702"/>
        <v/>
      </c>
      <c r="U2804" s="14" t="str">
        <f t="shared" si="703"/>
        <v/>
      </c>
      <c r="V2804" s="13" t="str">
        <f t="shared" si="704"/>
        <v/>
      </c>
      <c r="W2804" s="13" t="str">
        <f t="shared" si="705"/>
        <v/>
      </c>
      <c r="X2804" s="14" t="str">
        <f t="shared" si="706"/>
        <v/>
      </c>
    </row>
    <row r="2805" spans="20:24" x14ac:dyDescent="0.3">
      <c r="T2805" s="13" t="str">
        <f t="shared" si="702"/>
        <v/>
      </c>
      <c r="U2805" s="14" t="str">
        <f t="shared" si="703"/>
        <v/>
      </c>
      <c r="V2805" s="13" t="str">
        <f t="shared" si="704"/>
        <v/>
      </c>
      <c r="W2805" s="13" t="str">
        <f t="shared" si="705"/>
        <v/>
      </c>
      <c r="X2805" s="14" t="str">
        <f t="shared" si="706"/>
        <v/>
      </c>
    </row>
    <row r="2806" spans="20:24" x14ac:dyDescent="0.3">
      <c r="T2806" s="13" t="str">
        <f t="shared" si="702"/>
        <v/>
      </c>
      <c r="U2806" s="14" t="str">
        <f t="shared" si="703"/>
        <v/>
      </c>
      <c r="V2806" s="13" t="str">
        <f t="shared" si="704"/>
        <v/>
      </c>
      <c r="W2806" s="13" t="str">
        <f t="shared" si="705"/>
        <v/>
      </c>
      <c r="X2806" s="14" t="str">
        <f t="shared" si="706"/>
        <v/>
      </c>
    </row>
    <row r="2807" spans="20:24" x14ac:dyDescent="0.3">
      <c r="T2807" s="13" t="str">
        <f t="shared" si="702"/>
        <v/>
      </c>
      <c r="U2807" s="14" t="str">
        <f t="shared" si="703"/>
        <v/>
      </c>
      <c r="V2807" s="13" t="str">
        <f t="shared" si="704"/>
        <v/>
      </c>
      <c r="W2807" s="13" t="str">
        <f t="shared" si="705"/>
        <v/>
      </c>
      <c r="X2807" s="14" t="str">
        <f t="shared" si="706"/>
        <v/>
      </c>
    </row>
    <row r="2808" spans="20:24" x14ac:dyDescent="0.3">
      <c r="T2808" s="13" t="str">
        <f t="shared" si="702"/>
        <v/>
      </c>
      <c r="U2808" s="14" t="str">
        <f t="shared" si="703"/>
        <v/>
      </c>
      <c r="V2808" s="13" t="str">
        <f t="shared" si="704"/>
        <v/>
      </c>
      <c r="W2808" s="13" t="str">
        <f t="shared" si="705"/>
        <v/>
      </c>
      <c r="X2808" s="14" t="str">
        <f t="shared" si="706"/>
        <v/>
      </c>
    </row>
    <row r="2809" spans="20:24" x14ac:dyDescent="0.3">
      <c r="T2809" s="13" t="str">
        <f t="shared" si="702"/>
        <v/>
      </c>
      <c r="U2809" s="14" t="str">
        <f t="shared" si="703"/>
        <v/>
      </c>
      <c r="V2809" s="13" t="str">
        <f t="shared" si="704"/>
        <v/>
      </c>
      <c r="W2809" s="13" t="str">
        <f t="shared" si="705"/>
        <v/>
      </c>
      <c r="X2809" s="14" t="str">
        <f t="shared" si="706"/>
        <v/>
      </c>
    </row>
    <row r="2810" spans="20:24" x14ac:dyDescent="0.3">
      <c r="T2810" s="13" t="str">
        <f t="shared" si="702"/>
        <v/>
      </c>
      <c r="U2810" s="14" t="str">
        <f t="shared" si="703"/>
        <v/>
      </c>
      <c r="V2810" s="13" t="str">
        <f t="shared" si="704"/>
        <v/>
      </c>
      <c r="W2810" s="13" t="str">
        <f t="shared" si="705"/>
        <v/>
      </c>
      <c r="X2810" s="14" t="str">
        <f t="shared" si="706"/>
        <v/>
      </c>
    </row>
    <row r="2811" spans="20:24" x14ac:dyDescent="0.3">
      <c r="T2811" s="13" t="str">
        <f t="shared" si="702"/>
        <v/>
      </c>
      <c r="U2811" s="14" t="str">
        <f t="shared" si="703"/>
        <v/>
      </c>
      <c r="V2811" s="13" t="str">
        <f t="shared" si="704"/>
        <v/>
      </c>
      <c r="W2811" s="13" t="str">
        <f t="shared" si="705"/>
        <v/>
      </c>
      <c r="X2811" s="14" t="str">
        <f t="shared" si="706"/>
        <v/>
      </c>
    </row>
    <row r="2812" spans="20:24" x14ac:dyDescent="0.3">
      <c r="T2812" s="13" t="str">
        <f t="shared" si="702"/>
        <v/>
      </c>
      <c r="U2812" s="14" t="str">
        <f t="shared" si="703"/>
        <v/>
      </c>
      <c r="V2812" s="13" t="str">
        <f t="shared" si="704"/>
        <v/>
      </c>
      <c r="W2812" s="13" t="str">
        <f t="shared" si="705"/>
        <v/>
      </c>
      <c r="X2812" s="14" t="str">
        <f t="shared" si="706"/>
        <v/>
      </c>
    </row>
    <row r="2813" spans="20:24" x14ac:dyDescent="0.3">
      <c r="T2813" s="13" t="str">
        <f t="shared" si="702"/>
        <v/>
      </c>
      <c r="U2813" s="14" t="str">
        <f t="shared" si="703"/>
        <v/>
      </c>
      <c r="V2813" s="13" t="str">
        <f t="shared" si="704"/>
        <v/>
      </c>
      <c r="W2813" s="13" t="str">
        <f t="shared" si="705"/>
        <v/>
      </c>
      <c r="X2813" s="14" t="str">
        <f t="shared" si="706"/>
        <v/>
      </c>
    </row>
    <row r="2814" spans="20:24" x14ac:dyDescent="0.3">
      <c r="T2814" s="13" t="str">
        <f t="shared" si="702"/>
        <v/>
      </c>
      <c r="U2814" s="14" t="str">
        <f t="shared" si="703"/>
        <v/>
      </c>
      <c r="V2814" s="13" t="str">
        <f t="shared" si="704"/>
        <v/>
      </c>
      <c r="W2814" s="13" t="str">
        <f t="shared" si="705"/>
        <v/>
      </c>
      <c r="X2814" s="14" t="str">
        <f t="shared" si="706"/>
        <v/>
      </c>
    </row>
    <row r="2815" spans="20:24" x14ac:dyDescent="0.3">
      <c r="T2815" s="13" t="str">
        <f t="shared" si="702"/>
        <v/>
      </c>
      <c r="U2815" s="14" t="str">
        <f t="shared" si="703"/>
        <v/>
      </c>
      <c r="V2815" s="13" t="str">
        <f t="shared" si="704"/>
        <v/>
      </c>
      <c r="W2815" s="13" t="str">
        <f t="shared" si="705"/>
        <v/>
      </c>
      <c r="X2815" s="14" t="str">
        <f t="shared" si="706"/>
        <v/>
      </c>
    </row>
    <row r="2816" spans="20:24" x14ac:dyDescent="0.3">
      <c r="T2816" s="13" t="str">
        <f t="shared" si="702"/>
        <v/>
      </c>
      <c r="U2816" s="14" t="str">
        <f t="shared" si="703"/>
        <v/>
      </c>
      <c r="V2816" s="13" t="str">
        <f t="shared" si="704"/>
        <v/>
      </c>
      <c r="W2816" s="13" t="str">
        <f t="shared" si="705"/>
        <v/>
      </c>
      <c r="X2816" s="14" t="str">
        <f t="shared" si="706"/>
        <v/>
      </c>
    </row>
    <row r="2817" spans="20:24" x14ac:dyDescent="0.3">
      <c r="T2817" s="13" t="str">
        <f t="shared" si="702"/>
        <v/>
      </c>
      <c r="U2817" s="14" t="str">
        <f t="shared" si="703"/>
        <v/>
      </c>
      <c r="V2817" s="13" t="str">
        <f t="shared" si="704"/>
        <v/>
      </c>
      <c r="W2817" s="13" t="str">
        <f t="shared" si="705"/>
        <v/>
      </c>
      <c r="X2817" s="14" t="str">
        <f t="shared" si="706"/>
        <v/>
      </c>
    </row>
    <row r="2818" spans="20:24" x14ac:dyDescent="0.3">
      <c r="T2818" s="13" t="str">
        <f t="shared" si="702"/>
        <v/>
      </c>
      <c r="U2818" s="14" t="str">
        <f t="shared" si="703"/>
        <v/>
      </c>
      <c r="V2818" s="13" t="str">
        <f t="shared" si="704"/>
        <v/>
      </c>
      <c r="W2818" s="13" t="str">
        <f t="shared" si="705"/>
        <v/>
      </c>
      <c r="X2818" s="14" t="str">
        <f t="shared" si="706"/>
        <v/>
      </c>
    </row>
    <row r="2819" spans="20:24" x14ac:dyDescent="0.3">
      <c r="T2819" s="13" t="str">
        <f t="shared" si="702"/>
        <v/>
      </c>
      <c r="U2819" s="14" t="str">
        <f t="shared" si="703"/>
        <v/>
      </c>
      <c r="V2819" s="13" t="str">
        <f t="shared" si="704"/>
        <v/>
      </c>
      <c r="W2819" s="13" t="str">
        <f t="shared" si="705"/>
        <v/>
      </c>
      <c r="X2819" s="14" t="str">
        <f t="shared" si="706"/>
        <v/>
      </c>
    </row>
    <row r="2820" spans="20:24" x14ac:dyDescent="0.3">
      <c r="T2820" s="13" t="str">
        <f t="shared" si="702"/>
        <v/>
      </c>
      <c r="U2820" s="14" t="str">
        <f t="shared" si="703"/>
        <v/>
      </c>
      <c r="V2820" s="13" t="str">
        <f t="shared" si="704"/>
        <v/>
      </c>
      <c r="W2820" s="13" t="str">
        <f t="shared" si="705"/>
        <v/>
      </c>
      <c r="X2820" s="14" t="str">
        <f t="shared" si="706"/>
        <v/>
      </c>
    </row>
    <row r="2821" spans="20:24" x14ac:dyDescent="0.3">
      <c r="T2821" s="13" t="str">
        <f t="shared" si="702"/>
        <v/>
      </c>
      <c r="U2821" s="14" t="str">
        <f t="shared" si="703"/>
        <v/>
      </c>
      <c r="V2821" s="13" t="str">
        <f t="shared" si="704"/>
        <v/>
      </c>
      <c r="W2821" s="13" t="str">
        <f t="shared" si="705"/>
        <v/>
      </c>
      <c r="X2821" s="14" t="str">
        <f t="shared" si="706"/>
        <v/>
      </c>
    </row>
    <row r="2822" spans="20:24" x14ac:dyDescent="0.3">
      <c r="T2822" s="13" t="str">
        <f t="shared" si="702"/>
        <v/>
      </c>
      <c r="U2822" s="14" t="str">
        <f t="shared" si="703"/>
        <v/>
      </c>
      <c r="V2822" s="13" t="str">
        <f t="shared" si="704"/>
        <v/>
      </c>
      <c r="W2822" s="13" t="str">
        <f t="shared" si="705"/>
        <v/>
      </c>
      <c r="X2822" s="14" t="str">
        <f t="shared" si="706"/>
        <v/>
      </c>
    </row>
    <row r="2823" spans="20:24" x14ac:dyDescent="0.3">
      <c r="T2823" s="13" t="str">
        <f t="shared" si="702"/>
        <v/>
      </c>
      <c r="U2823" s="14" t="str">
        <f t="shared" si="703"/>
        <v/>
      </c>
      <c r="V2823" s="13" t="str">
        <f t="shared" si="704"/>
        <v/>
      </c>
      <c r="W2823" s="13" t="str">
        <f t="shared" si="705"/>
        <v/>
      </c>
      <c r="X2823" s="14" t="str">
        <f t="shared" si="706"/>
        <v/>
      </c>
    </row>
    <row r="2824" spans="20:24" x14ac:dyDescent="0.3">
      <c r="T2824" s="13" t="str">
        <f t="shared" si="702"/>
        <v/>
      </c>
      <c r="U2824" s="14" t="str">
        <f t="shared" si="703"/>
        <v/>
      </c>
      <c r="V2824" s="13" t="str">
        <f t="shared" si="704"/>
        <v/>
      </c>
      <c r="W2824" s="13" t="str">
        <f t="shared" si="705"/>
        <v/>
      </c>
      <c r="X2824" s="14" t="str">
        <f t="shared" si="706"/>
        <v/>
      </c>
    </row>
    <row r="2825" spans="20:24" x14ac:dyDescent="0.3">
      <c r="T2825" s="13" t="str">
        <f t="shared" si="702"/>
        <v/>
      </c>
      <c r="U2825" s="14" t="str">
        <f t="shared" si="703"/>
        <v/>
      </c>
      <c r="V2825" s="13" t="str">
        <f t="shared" si="704"/>
        <v/>
      </c>
      <c r="W2825" s="13" t="str">
        <f t="shared" si="705"/>
        <v/>
      </c>
      <c r="X2825" s="14" t="str">
        <f t="shared" si="706"/>
        <v/>
      </c>
    </row>
    <row r="2826" spans="20:24" x14ac:dyDescent="0.3">
      <c r="T2826" s="13" t="str">
        <f t="shared" si="702"/>
        <v/>
      </c>
      <c r="U2826" s="14" t="str">
        <f t="shared" si="703"/>
        <v/>
      </c>
      <c r="V2826" s="13" t="str">
        <f t="shared" si="704"/>
        <v/>
      </c>
      <c r="W2826" s="13" t="str">
        <f t="shared" si="705"/>
        <v/>
      </c>
      <c r="X2826" s="14" t="str">
        <f t="shared" si="706"/>
        <v/>
      </c>
    </row>
    <row r="2827" spans="20:24" x14ac:dyDescent="0.3">
      <c r="T2827" s="13" t="str">
        <f t="shared" si="702"/>
        <v/>
      </c>
      <c r="U2827" s="14" t="str">
        <f t="shared" si="703"/>
        <v/>
      </c>
      <c r="V2827" s="13" t="str">
        <f t="shared" si="704"/>
        <v/>
      </c>
      <c r="W2827" s="13" t="str">
        <f t="shared" si="705"/>
        <v/>
      </c>
      <c r="X2827" s="14" t="str">
        <f t="shared" si="706"/>
        <v/>
      </c>
    </row>
    <row r="2828" spans="20:24" x14ac:dyDescent="0.3">
      <c r="T2828" s="13" t="str">
        <f t="shared" si="702"/>
        <v/>
      </c>
      <c r="U2828" s="14" t="str">
        <f t="shared" si="703"/>
        <v/>
      </c>
      <c r="V2828" s="13" t="str">
        <f t="shared" si="704"/>
        <v/>
      </c>
      <c r="W2828" s="13" t="str">
        <f t="shared" si="705"/>
        <v/>
      </c>
      <c r="X2828" s="14" t="str">
        <f t="shared" si="706"/>
        <v/>
      </c>
    </row>
    <row r="2829" spans="20:24" x14ac:dyDescent="0.3">
      <c r="T2829" s="13" t="str">
        <f t="shared" si="702"/>
        <v/>
      </c>
      <c r="U2829" s="14" t="str">
        <f t="shared" si="703"/>
        <v/>
      </c>
      <c r="V2829" s="13" t="str">
        <f t="shared" si="704"/>
        <v/>
      </c>
      <c r="W2829" s="13" t="str">
        <f t="shared" si="705"/>
        <v/>
      </c>
      <c r="X2829" s="14" t="str">
        <f t="shared" si="706"/>
        <v/>
      </c>
    </row>
    <row r="2830" spans="20:24" x14ac:dyDescent="0.3">
      <c r="T2830" s="13" t="str">
        <f t="shared" si="702"/>
        <v/>
      </c>
      <c r="U2830" s="14" t="str">
        <f t="shared" si="703"/>
        <v/>
      </c>
      <c r="V2830" s="13" t="str">
        <f t="shared" si="704"/>
        <v/>
      </c>
      <c r="W2830" s="13" t="str">
        <f t="shared" si="705"/>
        <v/>
      </c>
      <c r="X2830" s="14" t="str">
        <f t="shared" si="706"/>
        <v/>
      </c>
    </row>
    <row r="2831" spans="20:24" x14ac:dyDescent="0.3">
      <c r="T2831" s="13" t="str">
        <f t="shared" si="702"/>
        <v/>
      </c>
      <c r="U2831" s="14" t="str">
        <f t="shared" si="703"/>
        <v/>
      </c>
      <c r="V2831" s="13" t="str">
        <f t="shared" si="704"/>
        <v/>
      </c>
      <c r="W2831" s="13" t="str">
        <f t="shared" si="705"/>
        <v/>
      </c>
      <c r="X2831" s="14" t="str">
        <f t="shared" si="706"/>
        <v/>
      </c>
    </row>
    <row r="2832" spans="20:24" x14ac:dyDescent="0.3">
      <c r="T2832" s="13" t="str">
        <f t="shared" si="702"/>
        <v/>
      </c>
      <c r="U2832" s="14" t="str">
        <f t="shared" si="703"/>
        <v/>
      </c>
      <c r="V2832" s="13" t="str">
        <f t="shared" si="704"/>
        <v/>
      </c>
      <c r="W2832" s="13" t="str">
        <f t="shared" si="705"/>
        <v/>
      </c>
      <c r="X2832" s="14" t="str">
        <f t="shared" si="706"/>
        <v/>
      </c>
    </row>
    <row r="2833" spans="20:24" x14ac:dyDescent="0.3">
      <c r="T2833" s="13" t="str">
        <f t="shared" si="702"/>
        <v/>
      </c>
      <c r="U2833" s="14" t="str">
        <f t="shared" si="703"/>
        <v/>
      </c>
      <c r="V2833" s="13" t="str">
        <f t="shared" si="704"/>
        <v/>
      </c>
      <c r="W2833" s="13" t="str">
        <f t="shared" si="705"/>
        <v/>
      </c>
      <c r="X2833" s="14" t="str">
        <f t="shared" si="706"/>
        <v/>
      </c>
    </row>
    <row r="2834" spans="20:24" x14ac:dyDescent="0.3">
      <c r="T2834" s="13" t="str">
        <f t="shared" si="702"/>
        <v/>
      </c>
      <c r="U2834" s="14" t="str">
        <f t="shared" si="703"/>
        <v/>
      </c>
      <c r="V2834" s="13" t="str">
        <f t="shared" si="704"/>
        <v/>
      </c>
      <c r="W2834" s="13" t="str">
        <f t="shared" si="705"/>
        <v/>
      </c>
      <c r="X2834" s="14" t="str">
        <f t="shared" si="706"/>
        <v/>
      </c>
    </row>
    <row r="2835" spans="20:24" x14ac:dyDescent="0.3">
      <c r="T2835" s="13" t="str">
        <f t="shared" ref="T2835:T2898" si="707">IF(A2835="",IF(A2834="","",$T$1),IF(O2835=1,"#",IF(B2835=0,"*",DEC2HEX(R2835))))</f>
        <v/>
      </c>
      <c r="U2835" s="14" t="str">
        <f t="shared" ref="U2835:U2898" si="708">IF(A2835="",IF(A2834="","",$U$1),  IF(B2835=0,Q2835,I2835)  )</f>
        <v/>
      </c>
      <c r="V2835" s="13" t="str">
        <f t="shared" ref="V2835:V2898" si="709">IF(U2835=$U$1,"",IF(A2835="",IF(A2834="","",1),  IF(B2835=0,1,D2835)  ))</f>
        <v/>
      </c>
      <c r="W2835" s="13" t="str">
        <f t="shared" ref="W2835:W2898" si="710">IF(U2835=$U$1,"",IF(A2835="",IF(A2834="","",0),  IF(C2835=0,0,0)  ))</f>
        <v/>
      </c>
      <c r="X2835" s="14" t="str">
        <f t="shared" ref="X2835:X2898" si="711">IF(U2835=$U$1,"",IF(U2835="","",IF(B2835&gt;0,IF(Q2835&lt;&gt;"",Q2835,"No description"),"-")))</f>
        <v/>
      </c>
    </row>
    <row r="2836" spans="20:24" x14ac:dyDescent="0.3">
      <c r="T2836" s="13" t="str">
        <f t="shared" si="707"/>
        <v/>
      </c>
      <c r="U2836" s="14" t="str">
        <f t="shared" si="708"/>
        <v/>
      </c>
      <c r="V2836" s="13" t="str">
        <f t="shared" si="709"/>
        <v/>
      </c>
      <c r="W2836" s="13" t="str">
        <f t="shared" si="710"/>
        <v/>
      </c>
      <c r="X2836" s="14" t="str">
        <f t="shared" si="711"/>
        <v/>
      </c>
    </row>
    <row r="2837" spans="20:24" x14ac:dyDescent="0.3">
      <c r="T2837" s="13" t="str">
        <f t="shared" si="707"/>
        <v/>
      </c>
      <c r="U2837" s="14" t="str">
        <f t="shared" si="708"/>
        <v/>
      </c>
      <c r="V2837" s="13" t="str">
        <f t="shared" si="709"/>
        <v/>
      </c>
      <c r="W2837" s="13" t="str">
        <f t="shared" si="710"/>
        <v/>
      </c>
      <c r="X2837" s="14" t="str">
        <f t="shared" si="711"/>
        <v/>
      </c>
    </row>
    <row r="2838" spans="20:24" x14ac:dyDescent="0.3">
      <c r="T2838" s="13" t="str">
        <f t="shared" si="707"/>
        <v/>
      </c>
      <c r="U2838" s="14" t="str">
        <f t="shared" si="708"/>
        <v/>
      </c>
      <c r="V2838" s="13" t="str">
        <f t="shared" si="709"/>
        <v/>
      </c>
      <c r="W2838" s="13" t="str">
        <f t="shared" si="710"/>
        <v/>
      </c>
      <c r="X2838" s="14" t="str">
        <f t="shared" si="711"/>
        <v/>
      </c>
    </row>
    <row r="2839" spans="20:24" x14ac:dyDescent="0.3">
      <c r="T2839" s="13" t="str">
        <f t="shared" si="707"/>
        <v/>
      </c>
      <c r="U2839" s="14" t="str">
        <f t="shared" si="708"/>
        <v/>
      </c>
      <c r="V2839" s="13" t="str">
        <f t="shared" si="709"/>
        <v/>
      </c>
      <c r="W2839" s="13" t="str">
        <f t="shared" si="710"/>
        <v/>
      </c>
      <c r="X2839" s="14" t="str">
        <f t="shared" si="711"/>
        <v/>
      </c>
    </row>
    <row r="2840" spans="20:24" x14ac:dyDescent="0.3">
      <c r="T2840" s="13" t="str">
        <f t="shared" si="707"/>
        <v/>
      </c>
      <c r="U2840" s="14" t="str">
        <f t="shared" si="708"/>
        <v/>
      </c>
      <c r="V2840" s="13" t="str">
        <f t="shared" si="709"/>
        <v/>
      </c>
      <c r="W2840" s="13" t="str">
        <f t="shared" si="710"/>
        <v/>
      </c>
      <c r="X2840" s="14" t="str">
        <f t="shared" si="711"/>
        <v/>
      </c>
    </row>
    <row r="2841" spans="20:24" x14ac:dyDescent="0.3">
      <c r="T2841" s="13" t="str">
        <f t="shared" si="707"/>
        <v/>
      </c>
      <c r="U2841" s="14" t="str">
        <f t="shared" si="708"/>
        <v/>
      </c>
      <c r="V2841" s="13" t="str">
        <f t="shared" si="709"/>
        <v/>
      </c>
      <c r="W2841" s="13" t="str">
        <f t="shared" si="710"/>
        <v/>
      </c>
      <c r="X2841" s="14" t="str">
        <f t="shared" si="711"/>
        <v/>
      </c>
    </row>
    <row r="2842" spans="20:24" x14ac:dyDescent="0.3">
      <c r="T2842" s="13" t="str">
        <f t="shared" si="707"/>
        <v/>
      </c>
      <c r="U2842" s="14" t="str">
        <f t="shared" si="708"/>
        <v/>
      </c>
      <c r="V2842" s="13" t="str">
        <f t="shared" si="709"/>
        <v/>
      </c>
      <c r="W2842" s="13" t="str">
        <f t="shared" si="710"/>
        <v/>
      </c>
      <c r="X2842" s="14" t="str">
        <f t="shared" si="711"/>
        <v/>
      </c>
    </row>
    <row r="2843" spans="20:24" x14ac:dyDescent="0.3">
      <c r="T2843" s="13" t="str">
        <f t="shared" si="707"/>
        <v/>
      </c>
      <c r="U2843" s="14" t="str">
        <f t="shared" si="708"/>
        <v/>
      </c>
      <c r="V2843" s="13" t="str">
        <f t="shared" si="709"/>
        <v/>
      </c>
      <c r="W2843" s="13" t="str">
        <f t="shared" si="710"/>
        <v/>
      </c>
      <c r="X2843" s="14" t="str">
        <f t="shared" si="711"/>
        <v/>
      </c>
    </row>
    <row r="2844" spans="20:24" x14ac:dyDescent="0.3">
      <c r="T2844" s="13" t="str">
        <f t="shared" si="707"/>
        <v/>
      </c>
      <c r="U2844" s="14" t="str">
        <f t="shared" si="708"/>
        <v/>
      </c>
      <c r="V2844" s="13" t="str">
        <f t="shared" si="709"/>
        <v/>
      </c>
      <c r="W2844" s="13" t="str">
        <f t="shared" si="710"/>
        <v/>
      </c>
      <c r="X2844" s="14" t="str">
        <f t="shared" si="711"/>
        <v/>
      </c>
    </row>
    <row r="2845" spans="20:24" x14ac:dyDescent="0.3">
      <c r="T2845" s="13" t="str">
        <f t="shared" si="707"/>
        <v/>
      </c>
      <c r="U2845" s="14" t="str">
        <f t="shared" si="708"/>
        <v/>
      </c>
      <c r="V2845" s="13" t="str">
        <f t="shared" si="709"/>
        <v/>
      </c>
      <c r="W2845" s="13" t="str">
        <f t="shared" si="710"/>
        <v/>
      </c>
      <c r="X2845" s="14" t="str">
        <f t="shared" si="711"/>
        <v/>
      </c>
    </row>
    <row r="2846" spans="20:24" x14ac:dyDescent="0.3">
      <c r="T2846" s="13" t="str">
        <f t="shared" si="707"/>
        <v/>
      </c>
      <c r="U2846" s="14" t="str">
        <f t="shared" si="708"/>
        <v/>
      </c>
      <c r="V2846" s="13" t="str">
        <f t="shared" si="709"/>
        <v/>
      </c>
      <c r="W2846" s="13" t="str">
        <f t="shared" si="710"/>
        <v/>
      </c>
      <c r="X2846" s="14" t="str">
        <f t="shared" si="711"/>
        <v/>
      </c>
    </row>
    <row r="2847" spans="20:24" x14ac:dyDescent="0.3">
      <c r="T2847" s="13" t="str">
        <f t="shared" si="707"/>
        <v/>
      </c>
      <c r="U2847" s="14" t="str">
        <f t="shared" si="708"/>
        <v/>
      </c>
      <c r="V2847" s="13" t="str">
        <f t="shared" si="709"/>
        <v/>
      </c>
      <c r="W2847" s="13" t="str">
        <f t="shared" si="710"/>
        <v/>
      </c>
      <c r="X2847" s="14" t="str">
        <f t="shared" si="711"/>
        <v/>
      </c>
    </row>
    <row r="2848" spans="20:24" x14ac:dyDescent="0.3">
      <c r="T2848" s="13" t="str">
        <f t="shared" si="707"/>
        <v/>
      </c>
      <c r="U2848" s="14" t="str">
        <f t="shared" si="708"/>
        <v/>
      </c>
      <c r="V2848" s="13" t="str">
        <f t="shared" si="709"/>
        <v/>
      </c>
      <c r="W2848" s="13" t="str">
        <f t="shared" si="710"/>
        <v/>
      </c>
      <c r="X2848" s="14" t="str">
        <f t="shared" si="711"/>
        <v/>
      </c>
    </row>
    <row r="2849" spans="20:24" x14ac:dyDescent="0.3">
      <c r="T2849" s="13" t="str">
        <f t="shared" si="707"/>
        <v/>
      </c>
      <c r="U2849" s="14" t="str">
        <f t="shared" si="708"/>
        <v/>
      </c>
      <c r="V2849" s="13" t="str">
        <f t="shared" si="709"/>
        <v/>
      </c>
      <c r="W2849" s="13" t="str">
        <f t="shared" si="710"/>
        <v/>
      </c>
      <c r="X2849" s="14" t="str">
        <f t="shared" si="711"/>
        <v/>
      </c>
    </row>
    <row r="2850" spans="20:24" x14ac:dyDescent="0.3">
      <c r="T2850" s="13" t="str">
        <f t="shared" si="707"/>
        <v/>
      </c>
      <c r="U2850" s="14" t="str">
        <f t="shared" si="708"/>
        <v/>
      </c>
      <c r="V2850" s="13" t="str">
        <f t="shared" si="709"/>
        <v/>
      </c>
      <c r="W2850" s="13" t="str">
        <f t="shared" si="710"/>
        <v/>
      </c>
      <c r="X2850" s="14" t="str">
        <f t="shared" si="711"/>
        <v/>
      </c>
    </row>
    <row r="2851" spans="20:24" x14ac:dyDescent="0.3">
      <c r="T2851" s="13" t="str">
        <f t="shared" si="707"/>
        <v/>
      </c>
      <c r="U2851" s="14" t="str">
        <f t="shared" si="708"/>
        <v/>
      </c>
      <c r="V2851" s="13" t="str">
        <f t="shared" si="709"/>
        <v/>
      </c>
      <c r="W2851" s="13" t="str">
        <f t="shared" si="710"/>
        <v/>
      </c>
      <c r="X2851" s="14" t="str">
        <f t="shared" si="711"/>
        <v/>
      </c>
    </row>
    <row r="2852" spans="20:24" x14ac:dyDescent="0.3">
      <c r="T2852" s="13" t="str">
        <f t="shared" si="707"/>
        <v/>
      </c>
      <c r="U2852" s="14" t="str">
        <f t="shared" si="708"/>
        <v/>
      </c>
      <c r="V2852" s="13" t="str">
        <f t="shared" si="709"/>
        <v/>
      </c>
      <c r="W2852" s="13" t="str">
        <f t="shared" si="710"/>
        <v/>
      </c>
      <c r="X2852" s="14" t="str">
        <f t="shared" si="711"/>
        <v/>
      </c>
    </row>
    <row r="2853" spans="20:24" x14ac:dyDescent="0.3">
      <c r="T2853" s="13" t="str">
        <f t="shared" si="707"/>
        <v/>
      </c>
      <c r="U2853" s="14" t="str">
        <f t="shared" si="708"/>
        <v/>
      </c>
      <c r="V2853" s="13" t="str">
        <f t="shared" si="709"/>
        <v/>
      </c>
      <c r="W2853" s="13" t="str">
        <f t="shared" si="710"/>
        <v/>
      </c>
      <c r="X2853" s="14" t="str">
        <f t="shared" si="711"/>
        <v/>
      </c>
    </row>
    <row r="2854" spans="20:24" x14ac:dyDescent="0.3">
      <c r="T2854" s="13" t="str">
        <f t="shared" si="707"/>
        <v/>
      </c>
      <c r="U2854" s="14" t="str">
        <f t="shared" si="708"/>
        <v/>
      </c>
      <c r="V2854" s="13" t="str">
        <f t="shared" si="709"/>
        <v/>
      </c>
      <c r="W2854" s="13" t="str">
        <f t="shared" si="710"/>
        <v/>
      </c>
      <c r="X2854" s="14" t="str">
        <f t="shared" si="711"/>
        <v/>
      </c>
    </row>
    <row r="2855" spans="20:24" x14ac:dyDescent="0.3">
      <c r="T2855" s="13" t="str">
        <f t="shared" si="707"/>
        <v/>
      </c>
      <c r="U2855" s="14" t="str">
        <f t="shared" si="708"/>
        <v/>
      </c>
      <c r="V2855" s="13" t="str">
        <f t="shared" si="709"/>
        <v/>
      </c>
      <c r="W2855" s="13" t="str">
        <f t="shared" si="710"/>
        <v/>
      </c>
      <c r="X2855" s="14" t="str">
        <f t="shared" si="711"/>
        <v/>
      </c>
    </row>
    <row r="2856" spans="20:24" x14ac:dyDescent="0.3">
      <c r="T2856" s="13" t="str">
        <f t="shared" si="707"/>
        <v/>
      </c>
      <c r="U2856" s="14" t="str">
        <f t="shared" si="708"/>
        <v/>
      </c>
      <c r="V2856" s="13" t="str">
        <f t="shared" si="709"/>
        <v/>
      </c>
      <c r="W2856" s="13" t="str">
        <f t="shared" si="710"/>
        <v/>
      </c>
      <c r="X2856" s="14" t="str">
        <f t="shared" si="711"/>
        <v/>
      </c>
    </row>
    <row r="2857" spans="20:24" x14ac:dyDescent="0.3">
      <c r="T2857" s="13" t="str">
        <f t="shared" si="707"/>
        <v/>
      </c>
      <c r="U2857" s="14" t="str">
        <f t="shared" si="708"/>
        <v/>
      </c>
      <c r="V2857" s="13" t="str">
        <f t="shared" si="709"/>
        <v/>
      </c>
      <c r="W2857" s="13" t="str">
        <f t="shared" si="710"/>
        <v/>
      </c>
      <c r="X2857" s="14" t="str">
        <f t="shared" si="711"/>
        <v/>
      </c>
    </row>
    <row r="2858" spans="20:24" x14ac:dyDescent="0.3">
      <c r="T2858" s="13" t="str">
        <f t="shared" si="707"/>
        <v/>
      </c>
      <c r="U2858" s="14" t="str">
        <f t="shared" si="708"/>
        <v/>
      </c>
      <c r="V2858" s="13" t="str">
        <f t="shared" si="709"/>
        <v/>
      </c>
      <c r="W2858" s="13" t="str">
        <f t="shared" si="710"/>
        <v/>
      </c>
      <c r="X2858" s="14" t="str">
        <f t="shared" si="711"/>
        <v/>
      </c>
    </row>
    <row r="2859" spans="20:24" x14ac:dyDescent="0.3">
      <c r="T2859" s="13" t="str">
        <f t="shared" si="707"/>
        <v/>
      </c>
      <c r="U2859" s="14" t="str">
        <f t="shared" si="708"/>
        <v/>
      </c>
      <c r="V2859" s="13" t="str">
        <f t="shared" si="709"/>
        <v/>
      </c>
      <c r="W2859" s="13" t="str">
        <f t="shared" si="710"/>
        <v/>
      </c>
      <c r="X2859" s="14" t="str">
        <f t="shared" si="711"/>
        <v/>
      </c>
    </row>
    <row r="2860" spans="20:24" x14ac:dyDescent="0.3">
      <c r="T2860" s="13" t="str">
        <f t="shared" si="707"/>
        <v/>
      </c>
      <c r="U2860" s="14" t="str">
        <f t="shared" si="708"/>
        <v/>
      </c>
      <c r="V2860" s="13" t="str">
        <f t="shared" si="709"/>
        <v/>
      </c>
      <c r="W2860" s="13" t="str">
        <f t="shared" si="710"/>
        <v/>
      </c>
      <c r="X2860" s="14" t="str">
        <f t="shared" si="711"/>
        <v/>
      </c>
    </row>
    <row r="2861" spans="20:24" x14ac:dyDescent="0.3">
      <c r="T2861" s="13" t="str">
        <f t="shared" si="707"/>
        <v/>
      </c>
      <c r="U2861" s="14" t="str">
        <f t="shared" si="708"/>
        <v/>
      </c>
      <c r="V2861" s="13" t="str">
        <f t="shared" si="709"/>
        <v/>
      </c>
      <c r="W2861" s="13" t="str">
        <f t="shared" si="710"/>
        <v/>
      </c>
      <c r="X2861" s="14" t="str">
        <f t="shared" si="711"/>
        <v/>
      </c>
    </row>
    <row r="2862" spans="20:24" x14ac:dyDescent="0.3">
      <c r="T2862" s="13" t="str">
        <f t="shared" si="707"/>
        <v/>
      </c>
      <c r="U2862" s="14" t="str">
        <f t="shared" si="708"/>
        <v/>
      </c>
      <c r="V2862" s="13" t="str">
        <f t="shared" si="709"/>
        <v/>
      </c>
      <c r="W2862" s="13" t="str">
        <f t="shared" si="710"/>
        <v/>
      </c>
      <c r="X2862" s="14" t="str">
        <f t="shared" si="711"/>
        <v/>
      </c>
    </row>
    <row r="2863" spans="20:24" x14ac:dyDescent="0.3">
      <c r="T2863" s="13" t="str">
        <f t="shared" si="707"/>
        <v/>
      </c>
      <c r="U2863" s="14" t="str">
        <f t="shared" si="708"/>
        <v/>
      </c>
      <c r="V2863" s="13" t="str">
        <f t="shared" si="709"/>
        <v/>
      </c>
      <c r="W2863" s="13" t="str">
        <f t="shared" si="710"/>
        <v/>
      </c>
      <c r="X2863" s="14" t="str">
        <f t="shared" si="711"/>
        <v/>
      </c>
    </row>
    <row r="2864" spans="20:24" x14ac:dyDescent="0.3">
      <c r="T2864" s="13" t="str">
        <f t="shared" si="707"/>
        <v/>
      </c>
      <c r="U2864" s="14" t="str">
        <f t="shared" si="708"/>
        <v/>
      </c>
      <c r="V2864" s="13" t="str">
        <f t="shared" si="709"/>
        <v/>
      </c>
      <c r="W2864" s="13" t="str">
        <f t="shared" si="710"/>
        <v/>
      </c>
      <c r="X2864" s="14" t="str">
        <f t="shared" si="711"/>
        <v/>
      </c>
    </row>
    <row r="2865" spans="20:24" x14ac:dyDescent="0.3">
      <c r="T2865" s="13" t="str">
        <f t="shared" si="707"/>
        <v/>
      </c>
      <c r="U2865" s="14" t="str">
        <f t="shared" si="708"/>
        <v/>
      </c>
      <c r="V2865" s="13" t="str">
        <f t="shared" si="709"/>
        <v/>
      </c>
      <c r="W2865" s="13" t="str">
        <f t="shared" si="710"/>
        <v/>
      </c>
      <c r="X2865" s="14" t="str">
        <f t="shared" si="711"/>
        <v/>
      </c>
    </row>
    <row r="2866" spans="20:24" x14ac:dyDescent="0.3">
      <c r="T2866" s="13" t="str">
        <f t="shared" si="707"/>
        <v/>
      </c>
      <c r="U2866" s="14" t="str">
        <f t="shared" si="708"/>
        <v/>
      </c>
      <c r="V2866" s="13" t="str">
        <f t="shared" si="709"/>
        <v/>
      </c>
      <c r="W2866" s="13" t="str">
        <f t="shared" si="710"/>
        <v/>
      </c>
      <c r="X2866" s="14" t="str">
        <f t="shared" si="711"/>
        <v/>
      </c>
    </row>
    <row r="2867" spans="20:24" x14ac:dyDescent="0.3">
      <c r="T2867" s="13" t="str">
        <f t="shared" si="707"/>
        <v/>
      </c>
      <c r="U2867" s="14" t="str">
        <f t="shared" si="708"/>
        <v/>
      </c>
      <c r="V2867" s="13" t="str">
        <f t="shared" si="709"/>
        <v/>
      </c>
      <c r="W2867" s="13" t="str">
        <f t="shared" si="710"/>
        <v/>
      </c>
      <c r="X2867" s="14" t="str">
        <f t="shared" si="711"/>
        <v/>
      </c>
    </row>
    <row r="2868" spans="20:24" x14ac:dyDescent="0.3">
      <c r="T2868" s="13" t="str">
        <f t="shared" si="707"/>
        <v/>
      </c>
      <c r="U2868" s="14" t="str">
        <f t="shared" si="708"/>
        <v/>
      </c>
      <c r="V2868" s="13" t="str">
        <f t="shared" si="709"/>
        <v/>
      </c>
      <c r="W2868" s="13" t="str">
        <f t="shared" si="710"/>
        <v/>
      </c>
      <c r="X2868" s="14" t="str">
        <f t="shared" si="711"/>
        <v/>
      </c>
    </row>
    <row r="2869" spans="20:24" x14ac:dyDescent="0.3">
      <c r="T2869" s="13" t="str">
        <f t="shared" si="707"/>
        <v/>
      </c>
      <c r="U2869" s="14" t="str">
        <f t="shared" si="708"/>
        <v/>
      </c>
      <c r="V2869" s="13" t="str">
        <f t="shared" si="709"/>
        <v/>
      </c>
      <c r="W2869" s="13" t="str">
        <f t="shared" si="710"/>
        <v/>
      </c>
      <c r="X2869" s="14" t="str">
        <f t="shared" si="711"/>
        <v/>
      </c>
    </row>
    <row r="2870" spans="20:24" x14ac:dyDescent="0.3">
      <c r="T2870" s="13" t="str">
        <f t="shared" si="707"/>
        <v/>
      </c>
      <c r="U2870" s="14" t="str">
        <f t="shared" si="708"/>
        <v/>
      </c>
      <c r="V2870" s="13" t="str">
        <f t="shared" si="709"/>
        <v/>
      </c>
      <c r="W2870" s="13" t="str">
        <f t="shared" si="710"/>
        <v/>
      </c>
      <c r="X2870" s="14" t="str">
        <f t="shared" si="711"/>
        <v/>
      </c>
    </row>
    <row r="2871" spans="20:24" x14ac:dyDescent="0.3">
      <c r="T2871" s="13" t="str">
        <f t="shared" si="707"/>
        <v/>
      </c>
      <c r="U2871" s="14" t="str">
        <f t="shared" si="708"/>
        <v/>
      </c>
      <c r="V2871" s="13" t="str">
        <f t="shared" si="709"/>
        <v/>
      </c>
      <c r="W2871" s="13" t="str">
        <f t="shared" si="710"/>
        <v/>
      </c>
      <c r="X2871" s="14" t="str">
        <f t="shared" si="711"/>
        <v/>
      </c>
    </row>
    <row r="2872" spans="20:24" x14ac:dyDescent="0.3">
      <c r="T2872" s="13" t="str">
        <f t="shared" si="707"/>
        <v/>
      </c>
      <c r="U2872" s="14" t="str">
        <f t="shared" si="708"/>
        <v/>
      </c>
      <c r="V2872" s="13" t="str">
        <f t="shared" si="709"/>
        <v/>
      </c>
      <c r="W2872" s="13" t="str">
        <f t="shared" si="710"/>
        <v/>
      </c>
      <c r="X2872" s="14" t="str">
        <f t="shared" si="711"/>
        <v/>
      </c>
    </row>
    <row r="2873" spans="20:24" x14ac:dyDescent="0.3">
      <c r="T2873" s="13" t="str">
        <f t="shared" si="707"/>
        <v/>
      </c>
      <c r="U2873" s="14" t="str">
        <f t="shared" si="708"/>
        <v/>
      </c>
      <c r="V2873" s="13" t="str">
        <f t="shared" si="709"/>
        <v/>
      </c>
      <c r="W2873" s="13" t="str">
        <f t="shared" si="710"/>
        <v/>
      </c>
      <c r="X2873" s="14" t="str">
        <f t="shared" si="711"/>
        <v/>
      </c>
    </row>
    <row r="2874" spans="20:24" x14ac:dyDescent="0.3">
      <c r="T2874" s="13" t="str">
        <f t="shared" si="707"/>
        <v/>
      </c>
      <c r="U2874" s="14" t="str">
        <f t="shared" si="708"/>
        <v/>
      </c>
      <c r="V2874" s="13" t="str">
        <f t="shared" si="709"/>
        <v/>
      </c>
      <c r="W2874" s="13" t="str">
        <f t="shared" si="710"/>
        <v/>
      </c>
      <c r="X2874" s="14" t="str">
        <f t="shared" si="711"/>
        <v/>
      </c>
    </row>
    <row r="2875" spans="20:24" x14ac:dyDescent="0.3">
      <c r="T2875" s="13" t="str">
        <f t="shared" si="707"/>
        <v/>
      </c>
      <c r="U2875" s="14" t="str">
        <f t="shared" si="708"/>
        <v/>
      </c>
      <c r="V2875" s="13" t="str">
        <f t="shared" si="709"/>
        <v/>
      </c>
      <c r="W2875" s="13" t="str">
        <f t="shared" si="710"/>
        <v/>
      </c>
      <c r="X2875" s="14" t="str">
        <f t="shared" si="711"/>
        <v/>
      </c>
    </row>
    <row r="2876" spans="20:24" x14ac:dyDescent="0.3">
      <c r="T2876" s="13" t="str">
        <f t="shared" si="707"/>
        <v/>
      </c>
      <c r="U2876" s="14" t="str">
        <f t="shared" si="708"/>
        <v/>
      </c>
      <c r="V2876" s="13" t="str">
        <f t="shared" si="709"/>
        <v/>
      </c>
      <c r="W2876" s="13" t="str">
        <f t="shared" si="710"/>
        <v/>
      </c>
      <c r="X2876" s="14" t="str">
        <f t="shared" si="711"/>
        <v/>
      </c>
    </row>
    <row r="2877" spans="20:24" x14ac:dyDescent="0.3">
      <c r="T2877" s="13" t="str">
        <f t="shared" si="707"/>
        <v/>
      </c>
      <c r="U2877" s="14" t="str">
        <f t="shared" si="708"/>
        <v/>
      </c>
      <c r="V2877" s="13" t="str">
        <f t="shared" si="709"/>
        <v/>
      </c>
      <c r="W2877" s="13" t="str">
        <f t="shared" si="710"/>
        <v/>
      </c>
      <c r="X2877" s="14" t="str">
        <f t="shared" si="711"/>
        <v/>
      </c>
    </row>
    <row r="2878" spans="20:24" x14ac:dyDescent="0.3">
      <c r="T2878" s="13" t="str">
        <f t="shared" si="707"/>
        <v/>
      </c>
      <c r="U2878" s="14" t="str">
        <f t="shared" si="708"/>
        <v/>
      </c>
      <c r="V2878" s="13" t="str">
        <f t="shared" si="709"/>
        <v/>
      </c>
      <c r="W2878" s="13" t="str">
        <f t="shared" si="710"/>
        <v/>
      </c>
      <c r="X2878" s="14" t="str">
        <f t="shared" si="711"/>
        <v/>
      </c>
    </row>
    <row r="2879" spans="20:24" x14ac:dyDescent="0.3">
      <c r="T2879" s="13" t="str">
        <f t="shared" si="707"/>
        <v/>
      </c>
      <c r="U2879" s="14" t="str">
        <f t="shared" si="708"/>
        <v/>
      </c>
      <c r="V2879" s="13" t="str">
        <f t="shared" si="709"/>
        <v/>
      </c>
      <c r="W2879" s="13" t="str">
        <f t="shared" si="710"/>
        <v/>
      </c>
      <c r="X2879" s="14" t="str">
        <f t="shared" si="711"/>
        <v/>
      </c>
    </row>
    <row r="2880" spans="20:24" x14ac:dyDescent="0.3">
      <c r="T2880" s="13" t="str">
        <f t="shared" si="707"/>
        <v/>
      </c>
      <c r="U2880" s="14" t="str">
        <f t="shared" si="708"/>
        <v/>
      </c>
      <c r="V2880" s="13" t="str">
        <f t="shared" si="709"/>
        <v/>
      </c>
      <c r="W2880" s="13" t="str">
        <f t="shared" si="710"/>
        <v/>
      </c>
      <c r="X2880" s="14" t="str">
        <f t="shared" si="711"/>
        <v/>
      </c>
    </row>
    <row r="2881" spans="20:24" x14ac:dyDescent="0.3">
      <c r="T2881" s="13" t="str">
        <f t="shared" si="707"/>
        <v/>
      </c>
      <c r="U2881" s="14" t="str">
        <f t="shared" si="708"/>
        <v/>
      </c>
      <c r="V2881" s="13" t="str">
        <f t="shared" si="709"/>
        <v/>
      </c>
      <c r="W2881" s="13" t="str">
        <f t="shared" si="710"/>
        <v/>
      </c>
      <c r="X2881" s="14" t="str">
        <f t="shared" si="711"/>
        <v/>
      </c>
    </row>
    <row r="2882" spans="20:24" x14ac:dyDescent="0.3">
      <c r="T2882" s="13" t="str">
        <f t="shared" si="707"/>
        <v/>
      </c>
      <c r="U2882" s="14" t="str">
        <f t="shared" si="708"/>
        <v/>
      </c>
      <c r="V2882" s="13" t="str">
        <f t="shared" si="709"/>
        <v/>
      </c>
      <c r="W2882" s="13" t="str">
        <f t="shared" si="710"/>
        <v/>
      </c>
      <c r="X2882" s="14" t="str">
        <f t="shared" si="711"/>
        <v/>
      </c>
    </row>
    <row r="2883" spans="20:24" x14ac:dyDescent="0.3">
      <c r="T2883" s="13" t="str">
        <f t="shared" si="707"/>
        <v/>
      </c>
      <c r="U2883" s="14" t="str">
        <f t="shared" si="708"/>
        <v/>
      </c>
      <c r="V2883" s="13" t="str">
        <f t="shared" si="709"/>
        <v/>
      </c>
      <c r="W2883" s="13" t="str">
        <f t="shared" si="710"/>
        <v/>
      </c>
      <c r="X2883" s="14" t="str">
        <f t="shared" si="711"/>
        <v/>
      </c>
    </row>
    <row r="2884" spans="20:24" x14ac:dyDescent="0.3">
      <c r="T2884" s="13" t="str">
        <f t="shared" si="707"/>
        <v/>
      </c>
      <c r="U2884" s="14" t="str">
        <f t="shared" si="708"/>
        <v/>
      </c>
      <c r="V2884" s="13" t="str">
        <f t="shared" si="709"/>
        <v/>
      </c>
      <c r="W2884" s="13" t="str">
        <f t="shared" si="710"/>
        <v/>
      </c>
      <c r="X2884" s="14" t="str">
        <f t="shared" si="711"/>
        <v/>
      </c>
    </row>
    <row r="2885" spans="20:24" x14ac:dyDescent="0.3">
      <c r="T2885" s="13" t="str">
        <f t="shared" si="707"/>
        <v/>
      </c>
      <c r="U2885" s="14" t="str">
        <f t="shared" si="708"/>
        <v/>
      </c>
      <c r="V2885" s="13" t="str">
        <f t="shared" si="709"/>
        <v/>
      </c>
      <c r="W2885" s="13" t="str">
        <f t="shared" si="710"/>
        <v/>
      </c>
      <c r="X2885" s="14" t="str">
        <f t="shared" si="711"/>
        <v/>
      </c>
    </row>
    <row r="2886" spans="20:24" x14ac:dyDescent="0.3">
      <c r="T2886" s="13" t="str">
        <f t="shared" si="707"/>
        <v/>
      </c>
      <c r="U2886" s="14" t="str">
        <f t="shared" si="708"/>
        <v/>
      </c>
      <c r="V2886" s="13" t="str">
        <f t="shared" si="709"/>
        <v/>
      </c>
      <c r="W2886" s="13" t="str">
        <f t="shared" si="710"/>
        <v/>
      </c>
      <c r="X2886" s="14" t="str">
        <f t="shared" si="711"/>
        <v/>
      </c>
    </row>
    <row r="2887" spans="20:24" x14ac:dyDescent="0.3">
      <c r="T2887" s="13" t="str">
        <f t="shared" si="707"/>
        <v/>
      </c>
      <c r="U2887" s="14" t="str">
        <f t="shared" si="708"/>
        <v/>
      </c>
      <c r="V2887" s="13" t="str">
        <f t="shared" si="709"/>
        <v/>
      </c>
      <c r="W2887" s="13" t="str">
        <f t="shared" si="710"/>
        <v/>
      </c>
      <c r="X2887" s="14" t="str">
        <f t="shared" si="711"/>
        <v/>
      </c>
    </row>
    <row r="2888" spans="20:24" x14ac:dyDescent="0.3">
      <c r="T2888" s="13" t="str">
        <f t="shared" si="707"/>
        <v/>
      </c>
      <c r="U2888" s="14" t="str">
        <f t="shared" si="708"/>
        <v/>
      </c>
      <c r="V2888" s="13" t="str">
        <f t="shared" si="709"/>
        <v/>
      </c>
      <c r="W2888" s="13" t="str">
        <f t="shared" si="710"/>
        <v/>
      </c>
      <c r="X2888" s="14" t="str">
        <f t="shared" si="711"/>
        <v/>
      </c>
    </row>
    <row r="2889" spans="20:24" x14ac:dyDescent="0.3">
      <c r="T2889" s="13" t="str">
        <f t="shared" si="707"/>
        <v/>
      </c>
      <c r="U2889" s="14" t="str">
        <f t="shared" si="708"/>
        <v/>
      </c>
      <c r="V2889" s="13" t="str">
        <f t="shared" si="709"/>
        <v/>
      </c>
      <c r="W2889" s="13" t="str">
        <f t="shared" si="710"/>
        <v/>
      </c>
      <c r="X2889" s="14" t="str">
        <f t="shared" si="711"/>
        <v/>
      </c>
    </row>
    <row r="2890" spans="20:24" x14ac:dyDescent="0.3">
      <c r="T2890" s="13" t="str">
        <f t="shared" si="707"/>
        <v/>
      </c>
      <c r="U2890" s="14" t="str">
        <f t="shared" si="708"/>
        <v/>
      </c>
      <c r="V2890" s="13" t="str">
        <f t="shared" si="709"/>
        <v/>
      </c>
      <c r="W2890" s="13" t="str">
        <f t="shared" si="710"/>
        <v/>
      </c>
      <c r="X2890" s="14" t="str">
        <f t="shared" si="711"/>
        <v/>
      </c>
    </row>
    <row r="2891" spans="20:24" x14ac:dyDescent="0.3">
      <c r="T2891" s="13" t="str">
        <f t="shared" si="707"/>
        <v/>
      </c>
      <c r="U2891" s="14" t="str">
        <f t="shared" si="708"/>
        <v/>
      </c>
      <c r="V2891" s="13" t="str">
        <f t="shared" si="709"/>
        <v/>
      </c>
      <c r="W2891" s="13" t="str">
        <f t="shared" si="710"/>
        <v/>
      </c>
      <c r="X2891" s="14" t="str">
        <f t="shared" si="711"/>
        <v/>
      </c>
    </row>
    <row r="2892" spans="20:24" x14ac:dyDescent="0.3">
      <c r="T2892" s="13" t="str">
        <f t="shared" si="707"/>
        <v/>
      </c>
      <c r="U2892" s="14" t="str">
        <f t="shared" si="708"/>
        <v/>
      </c>
      <c r="V2892" s="13" t="str">
        <f t="shared" si="709"/>
        <v/>
      </c>
      <c r="W2892" s="13" t="str">
        <f t="shared" si="710"/>
        <v/>
      </c>
      <c r="X2892" s="14" t="str">
        <f t="shared" si="711"/>
        <v/>
      </c>
    </row>
    <row r="2893" spans="20:24" x14ac:dyDescent="0.3">
      <c r="T2893" s="13" t="str">
        <f t="shared" si="707"/>
        <v/>
      </c>
      <c r="U2893" s="14" t="str">
        <f t="shared" si="708"/>
        <v/>
      </c>
      <c r="V2893" s="13" t="str">
        <f t="shared" si="709"/>
        <v/>
      </c>
      <c r="W2893" s="13" t="str">
        <f t="shared" si="710"/>
        <v/>
      </c>
      <c r="X2893" s="14" t="str">
        <f t="shared" si="711"/>
        <v/>
      </c>
    </row>
    <row r="2894" spans="20:24" x14ac:dyDescent="0.3">
      <c r="T2894" s="13" t="str">
        <f t="shared" si="707"/>
        <v/>
      </c>
      <c r="U2894" s="14" t="str">
        <f t="shared" si="708"/>
        <v/>
      </c>
      <c r="V2894" s="13" t="str">
        <f t="shared" si="709"/>
        <v/>
      </c>
      <c r="W2894" s="13" t="str">
        <f t="shared" si="710"/>
        <v/>
      </c>
      <c r="X2894" s="14" t="str">
        <f t="shared" si="711"/>
        <v/>
      </c>
    </row>
    <row r="2895" spans="20:24" x14ac:dyDescent="0.3">
      <c r="T2895" s="13" t="str">
        <f t="shared" si="707"/>
        <v/>
      </c>
      <c r="U2895" s="14" t="str">
        <f t="shared" si="708"/>
        <v/>
      </c>
      <c r="V2895" s="13" t="str">
        <f t="shared" si="709"/>
        <v/>
      </c>
      <c r="W2895" s="13" t="str">
        <f t="shared" si="710"/>
        <v/>
      </c>
      <c r="X2895" s="14" t="str">
        <f t="shared" si="711"/>
        <v/>
      </c>
    </row>
    <row r="2896" spans="20:24" x14ac:dyDescent="0.3">
      <c r="T2896" s="13" t="str">
        <f t="shared" si="707"/>
        <v/>
      </c>
      <c r="U2896" s="14" t="str">
        <f t="shared" si="708"/>
        <v/>
      </c>
      <c r="V2896" s="13" t="str">
        <f t="shared" si="709"/>
        <v/>
      </c>
      <c r="W2896" s="13" t="str">
        <f t="shared" si="710"/>
        <v/>
      </c>
      <c r="X2896" s="14" t="str">
        <f t="shared" si="711"/>
        <v/>
      </c>
    </row>
    <row r="2897" spans="20:24" x14ac:dyDescent="0.3">
      <c r="T2897" s="13" t="str">
        <f t="shared" si="707"/>
        <v/>
      </c>
      <c r="U2897" s="14" t="str">
        <f t="shared" si="708"/>
        <v/>
      </c>
      <c r="V2897" s="13" t="str">
        <f t="shared" si="709"/>
        <v/>
      </c>
      <c r="W2897" s="13" t="str">
        <f t="shared" si="710"/>
        <v/>
      </c>
      <c r="X2897" s="14" t="str">
        <f t="shared" si="711"/>
        <v/>
      </c>
    </row>
    <row r="2898" spans="20:24" x14ac:dyDescent="0.3">
      <c r="T2898" s="13" t="str">
        <f t="shared" si="707"/>
        <v/>
      </c>
      <c r="U2898" s="14" t="str">
        <f t="shared" si="708"/>
        <v/>
      </c>
      <c r="V2898" s="13" t="str">
        <f t="shared" si="709"/>
        <v/>
      </c>
      <c r="W2898" s="13" t="str">
        <f t="shared" si="710"/>
        <v/>
      </c>
      <c r="X2898" s="14" t="str">
        <f t="shared" si="711"/>
        <v/>
      </c>
    </row>
    <row r="2899" spans="20:24" x14ac:dyDescent="0.3">
      <c r="T2899" s="13" t="str">
        <f t="shared" ref="T2899:T2962" si="712">IF(A2899="",IF(A2898="","",$T$1),IF(O2899=1,"#",IF(B2899=0,"*",DEC2HEX(R2899))))</f>
        <v/>
      </c>
      <c r="U2899" s="14" t="str">
        <f t="shared" ref="U2899:U2962" si="713">IF(A2899="",IF(A2898="","",$U$1),  IF(B2899=0,Q2899,I2899)  )</f>
        <v/>
      </c>
      <c r="V2899" s="13" t="str">
        <f t="shared" ref="V2899:V2962" si="714">IF(U2899=$U$1,"",IF(A2899="",IF(A2898="","",1),  IF(B2899=0,1,D2899)  ))</f>
        <v/>
      </c>
      <c r="W2899" s="13" t="str">
        <f t="shared" ref="W2899:W2962" si="715">IF(U2899=$U$1,"",IF(A2899="",IF(A2898="","",0),  IF(C2899=0,0,0)  ))</f>
        <v/>
      </c>
      <c r="X2899" s="14" t="str">
        <f t="shared" ref="X2899:X2962" si="716">IF(U2899=$U$1,"",IF(U2899="","",IF(B2899&gt;0,IF(Q2899&lt;&gt;"",Q2899,"No description"),"-")))</f>
        <v/>
      </c>
    </row>
    <row r="2900" spans="20:24" x14ac:dyDescent="0.3">
      <c r="T2900" s="13" t="str">
        <f t="shared" si="712"/>
        <v/>
      </c>
      <c r="U2900" s="14" t="str">
        <f t="shared" si="713"/>
        <v/>
      </c>
      <c r="V2900" s="13" t="str">
        <f t="shared" si="714"/>
        <v/>
      </c>
      <c r="W2900" s="13" t="str">
        <f t="shared" si="715"/>
        <v/>
      </c>
      <c r="X2900" s="14" t="str">
        <f t="shared" si="716"/>
        <v/>
      </c>
    </row>
    <row r="2901" spans="20:24" x14ac:dyDescent="0.3">
      <c r="T2901" s="13" t="str">
        <f t="shared" si="712"/>
        <v/>
      </c>
      <c r="U2901" s="14" t="str">
        <f t="shared" si="713"/>
        <v/>
      </c>
      <c r="V2901" s="13" t="str">
        <f t="shared" si="714"/>
        <v/>
      </c>
      <c r="W2901" s="13" t="str">
        <f t="shared" si="715"/>
        <v/>
      </c>
      <c r="X2901" s="14" t="str">
        <f t="shared" si="716"/>
        <v/>
      </c>
    </row>
    <row r="2902" spans="20:24" x14ac:dyDescent="0.3">
      <c r="T2902" s="13" t="str">
        <f t="shared" si="712"/>
        <v/>
      </c>
      <c r="U2902" s="14" t="str">
        <f t="shared" si="713"/>
        <v/>
      </c>
      <c r="V2902" s="13" t="str">
        <f t="shared" si="714"/>
        <v/>
      </c>
      <c r="W2902" s="13" t="str">
        <f t="shared" si="715"/>
        <v/>
      </c>
      <c r="X2902" s="14" t="str">
        <f t="shared" si="716"/>
        <v/>
      </c>
    </row>
    <row r="2903" spans="20:24" x14ac:dyDescent="0.3">
      <c r="T2903" s="13" t="str">
        <f t="shared" si="712"/>
        <v/>
      </c>
      <c r="U2903" s="14" t="str">
        <f t="shared" si="713"/>
        <v/>
      </c>
      <c r="V2903" s="13" t="str">
        <f t="shared" si="714"/>
        <v/>
      </c>
      <c r="W2903" s="13" t="str">
        <f t="shared" si="715"/>
        <v/>
      </c>
      <c r="X2903" s="14" t="str">
        <f t="shared" si="716"/>
        <v/>
      </c>
    </row>
    <row r="2904" spans="20:24" x14ac:dyDescent="0.3">
      <c r="T2904" s="13" t="str">
        <f t="shared" si="712"/>
        <v/>
      </c>
      <c r="U2904" s="14" t="str">
        <f t="shared" si="713"/>
        <v/>
      </c>
      <c r="V2904" s="13" t="str">
        <f t="shared" si="714"/>
        <v/>
      </c>
      <c r="W2904" s="13" t="str">
        <f t="shared" si="715"/>
        <v/>
      </c>
      <c r="X2904" s="14" t="str">
        <f t="shared" si="716"/>
        <v/>
      </c>
    </row>
    <row r="2905" spans="20:24" x14ac:dyDescent="0.3">
      <c r="T2905" s="13" t="str">
        <f t="shared" si="712"/>
        <v/>
      </c>
      <c r="U2905" s="14" t="str">
        <f t="shared" si="713"/>
        <v/>
      </c>
      <c r="V2905" s="13" t="str">
        <f t="shared" si="714"/>
        <v/>
      </c>
      <c r="W2905" s="13" t="str">
        <f t="shared" si="715"/>
        <v/>
      </c>
      <c r="X2905" s="14" t="str">
        <f t="shared" si="716"/>
        <v/>
      </c>
    </row>
    <row r="2906" spans="20:24" x14ac:dyDescent="0.3">
      <c r="T2906" s="13" t="str">
        <f t="shared" si="712"/>
        <v/>
      </c>
      <c r="U2906" s="14" t="str">
        <f t="shared" si="713"/>
        <v/>
      </c>
      <c r="V2906" s="13" t="str">
        <f t="shared" si="714"/>
        <v/>
      </c>
      <c r="W2906" s="13" t="str">
        <f t="shared" si="715"/>
        <v/>
      </c>
      <c r="X2906" s="14" t="str">
        <f t="shared" si="716"/>
        <v/>
      </c>
    </row>
    <row r="2907" spans="20:24" x14ac:dyDescent="0.3">
      <c r="T2907" s="13" t="str">
        <f t="shared" si="712"/>
        <v/>
      </c>
      <c r="U2907" s="14" t="str">
        <f t="shared" si="713"/>
        <v/>
      </c>
      <c r="V2907" s="13" t="str">
        <f t="shared" si="714"/>
        <v/>
      </c>
      <c r="W2907" s="13" t="str">
        <f t="shared" si="715"/>
        <v/>
      </c>
      <c r="X2907" s="14" t="str">
        <f t="shared" si="716"/>
        <v/>
      </c>
    </row>
    <row r="2908" spans="20:24" x14ac:dyDescent="0.3">
      <c r="T2908" s="13" t="str">
        <f t="shared" si="712"/>
        <v/>
      </c>
      <c r="U2908" s="14" t="str">
        <f t="shared" si="713"/>
        <v/>
      </c>
      <c r="V2908" s="13" t="str">
        <f t="shared" si="714"/>
        <v/>
      </c>
      <c r="W2908" s="13" t="str">
        <f t="shared" si="715"/>
        <v/>
      </c>
      <c r="X2908" s="14" t="str">
        <f t="shared" si="716"/>
        <v/>
      </c>
    </row>
    <row r="2909" spans="20:24" x14ac:dyDescent="0.3">
      <c r="T2909" s="13" t="str">
        <f t="shared" si="712"/>
        <v/>
      </c>
      <c r="U2909" s="14" t="str">
        <f t="shared" si="713"/>
        <v/>
      </c>
      <c r="V2909" s="13" t="str">
        <f t="shared" si="714"/>
        <v/>
      </c>
      <c r="W2909" s="13" t="str">
        <f t="shared" si="715"/>
        <v/>
      </c>
      <c r="X2909" s="14" t="str">
        <f t="shared" si="716"/>
        <v/>
      </c>
    </row>
    <row r="2910" spans="20:24" x14ac:dyDescent="0.3">
      <c r="T2910" s="13" t="str">
        <f t="shared" si="712"/>
        <v/>
      </c>
      <c r="U2910" s="14" t="str">
        <f t="shared" si="713"/>
        <v/>
      </c>
      <c r="V2910" s="13" t="str">
        <f t="shared" si="714"/>
        <v/>
      </c>
      <c r="W2910" s="13" t="str">
        <f t="shared" si="715"/>
        <v/>
      </c>
      <c r="X2910" s="14" t="str">
        <f t="shared" si="716"/>
        <v/>
      </c>
    </row>
    <row r="2911" spans="20:24" x14ac:dyDescent="0.3">
      <c r="T2911" s="13" t="str">
        <f t="shared" si="712"/>
        <v/>
      </c>
      <c r="U2911" s="14" t="str">
        <f t="shared" si="713"/>
        <v/>
      </c>
      <c r="V2911" s="13" t="str">
        <f t="shared" si="714"/>
        <v/>
      </c>
      <c r="W2911" s="13" t="str">
        <f t="shared" si="715"/>
        <v/>
      </c>
      <c r="X2911" s="14" t="str">
        <f t="shared" si="716"/>
        <v/>
      </c>
    </row>
    <row r="2912" spans="20:24" x14ac:dyDescent="0.3">
      <c r="T2912" s="13" t="str">
        <f t="shared" si="712"/>
        <v/>
      </c>
      <c r="U2912" s="14" t="str">
        <f t="shared" si="713"/>
        <v/>
      </c>
      <c r="V2912" s="13" t="str">
        <f t="shared" si="714"/>
        <v/>
      </c>
      <c r="W2912" s="13" t="str">
        <f t="shared" si="715"/>
        <v/>
      </c>
      <c r="X2912" s="14" t="str">
        <f t="shared" si="716"/>
        <v/>
      </c>
    </row>
    <row r="2913" spans="20:24" x14ac:dyDescent="0.3">
      <c r="T2913" s="13" t="str">
        <f t="shared" si="712"/>
        <v/>
      </c>
      <c r="U2913" s="14" t="str">
        <f t="shared" si="713"/>
        <v/>
      </c>
      <c r="V2913" s="13" t="str">
        <f t="shared" si="714"/>
        <v/>
      </c>
      <c r="W2913" s="13" t="str">
        <f t="shared" si="715"/>
        <v/>
      </c>
      <c r="X2913" s="14" t="str">
        <f t="shared" si="716"/>
        <v/>
      </c>
    </row>
    <row r="2914" spans="20:24" x14ac:dyDescent="0.3">
      <c r="T2914" s="13" t="str">
        <f t="shared" si="712"/>
        <v/>
      </c>
      <c r="U2914" s="14" t="str">
        <f t="shared" si="713"/>
        <v/>
      </c>
      <c r="V2914" s="13" t="str">
        <f t="shared" si="714"/>
        <v/>
      </c>
      <c r="W2914" s="13" t="str">
        <f t="shared" si="715"/>
        <v/>
      </c>
      <c r="X2914" s="14" t="str">
        <f t="shared" si="716"/>
        <v/>
      </c>
    </row>
    <row r="2915" spans="20:24" x14ac:dyDescent="0.3">
      <c r="T2915" s="13" t="str">
        <f t="shared" si="712"/>
        <v/>
      </c>
      <c r="U2915" s="14" t="str">
        <f t="shared" si="713"/>
        <v/>
      </c>
      <c r="V2915" s="13" t="str">
        <f t="shared" si="714"/>
        <v/>
      </c>
      <c r="W2915" s="13" t="str">
        <f t="shared" si="715"/>
        <v/>
      </c>
      <c r="X2915" s="14" t="str">
        <f t="shared" si="716"/>
        <v/>
      </c>
    </row>
    <row r="2916" spans="20:24" x14ac:dyDescent="0.3">
      <c r="T2916" s="13" t="str">
        <f t="shared" si="712"/>
        <v/>
      </c>
      <c r="U2916" s="14" t="str">
        <f t="shared" si="713"/>
        <v/>
      </c>
      <c r="V2916" s="13" t="str">
        <f t="shared" si="714"/>
        <v/>
      </c>
      <c r="W2916" s="13" t="str">
        <f t="shared" si="715"/>
        <v/>
      </c>
      <c r="X2916" s="14" t="str">
        <f t="shared" si="716"/>
        <v/>
      </c>
    </row>
    <row r="2917" spans="20:24" x14ac:dyDescent="0.3">
      <c r="T2917" s="13" t="str">
        <f t="shared" si="712"/>
        <v/>
      </c>
      <c r="U2917" s="14" t="str">
        <f t="shared" si="713"/>
        <v/>
      </c>
      <c r="V2917" s="13" t="str">
        <f t="shared" si="714"/>
        <v/>
      </c>
      <c r="W2917" s="13" t="str">
        <f t="shared" si="715"/>
        <v/>
      </c>
      <c r="X2917" s="14" t="str">
        <f t="shared" si="716"/>
        <v/>
      </c>
    </row>
    <row r="2918" spans="20:24" x14ac:dyDescent="0.3">
      <c r="T2918" s="13" t="str">
        <f t="shared" si="712"/>
        <v/>
      </c>
      <c r="U2918" s="14" t="str">
        <f t="shared" si="713"/>
        <v/>
      </c>
      <c r="V2918" s="13" t="str">
        <f t="shared" si="714"/>
        <v/>
      </c>
      <c r="W2918" s="13" t="str">
        <f t="shared" si="715"/>
        <v/>
      </c>
      <c r="X2918" s="14" t="str">
        <f t="shared" si="716"/>
        <v/>
      </c>
    </row>
    <row r="2919" spans="20:24" x14ac:dyDescent="0.3">
      <c r="T2919" s="13" t="str">
        <f t="shared" si="712"/>
        <v/>
      </c>
      <c r="U2919" s="14" t="str">
        <f t="shared" si="713"/>
        <v/>
      </c>
      <c r="V2919" s="13" t="str">
        <f t="shared" si="714"/>
        <v/>
      </c>
      <c r="W2919" s="13" t="str">
        <f t="shared" si="715"/>
        <v/>
      </c>
      <c r="X2919" s="14" t="str">
        <f t="shared" si="716"/>
        <v/>
      </c>
    </row>
    <row r="2920" spans="20:24" x14ac:dyDescent="0.3">
      <c r="T2920" s="13" t="str">
        <f t="shared" si="712"/>
        <v/>
      </c>
      <c r="U2920" s="14" t="str">
        <f t="shared" si="713"/>
        <v/>
      </c>
      <c r="V2920" s="13" t="str">
        <f t="shared" si="714"/>
        <v/>
      </c>
      <c r="W2920" s="13" t="str">
        <f t="shared" si="715"/>
        <v/>
      </c>
      <c r="X2920" s="14" t="str">
        <f t="shared" si="716"/>
        <v/>
      </c>
    </row>
    <row r="2921" spans="20:24" x14ac:dyDescent="0.3">
      <c r="T2921" s="13" t="str">
        <f t="shared" si="712"/>
        <v/>
      </c>
      <c r="U2921" s="14" t="str">
        <f t="shared" si="713"/>
        <v/>
      </c>
      <c r="V2921" s="13" t="str">
        <f t="shared" si="714"/>
        <v/>
      </c>
      <c r="W2921" s="13" t="str">
        <f t="shared" si="715"/>
        <v/>
      </c>
      <c r="X2921" s="14" t="str">
        <f t="shared" si="716"/>
        <v/>
      </c>
    </row>
    <row r="2922" spans="20:24" x14ac:dyDescent="0.3">
      <c r="T2922" s="13" t="str">
        <f t="shared" si="712"/>
        <v/>
      </c>
      <c r="U2922" s="14" t="str">
        <f t="shared" si="713"/>
        <v/>
      </c>
      <c r="V2922" s="13" t="str">
        <f t="shared" si="714"/>
        <v/>
      </c>
      <c r="W2922" s="13" t="str">
        <f t="shared" si="715"/>
        <v/>
      </c>
      <c r="X2922" s="14" t="str">
        <f t="shared" si="716"/>
        <v/>
      </c>
    </row>
    <row r="2923" spans="20:24" x14ac:dyDescent="0.3">
      <c r="T2923" s="13" t="str">
        <f t="shared" si="712"/>
        <v/>
      </c>
      <c r="U2923" s="14" t="str">
        <f t="shared" si="713"/>
        <v/>
      </c>
      <c r="V2923" s="13" t="str">
        <f t="shared" si="714"/>
        <v/>
      </c>
      <c r="W2923" s="13" t="str">
        <f t="shared" si="715"/>
        <v/>
      </c>
      <c r="X2923" s="14" t="str">
        <f t="shared" si="716"/>
        <v/>
      </c>
    </row>
    <row r="2924" spans="20:24" x14ac:dyDescent="0.3">
      <c r="T2924" s="13" t="str">
        <f t="shared" si="712"/>
        <v/>
      </c>
      <c r="U2924" s="14" t="str">
        <f t="shared" si="713"/>
        <v/>
      </c>
      <c r="V2924" s="13" t="str">
        <f t="shared" si="714"/>
        <v/>
      </c>
      <c r="W2924" s="13" t="str">
        <f t="shared" si="715"/>
        <v/>
      </c>
      <c r="X2924" s="14" t="str">
        <f t="shared" si="716"/>
        <v/>
      </c>
    </row>
    <row r="2925" spans="20:24" x14ac:dyDescent="0.3">
      <c r="T2925" s="13" t="str">
        <f t="shared" si="712"/>
        <v/>
      </c>
      <c r="U2925" s="14" t="str">
        <f t="shared" si="713"/>
        <v/>
      </c>
      <c r="V2925" s="13" t="str">
        <f t="shared" si="714"/>
        <v/>
      </c>
      <c r="W2925" s="13" t="str">
        <f t="shared" si="715"/>
        <v/>
      </c>
      <c r="X2925" s="14" t="str">
        <f t="shared" si="716"/>
        <v/>
      </c>
    </row>
    <row r="2926" spans="20:24" x14ac:dyDescent="0.3">
      <c r="T2926" s="13" t="str">
        <f t="shared" si="712"/>
        <v/>
      </c>
      <c r="U2926" s="14" t="str">
        <f t="shared" si="713"/>
        <v/>
      </c>
      <c r="V2926" s="13" t="str">
        <f t="shared" si="714"/>
        <v/>
      </c>
      <c r="W2926" s="13" t="str">
        <f t="shared" si="715"/>
        <v/>
      </c>
      <c r="X2926" s="14" t="str">
        <f t="shared" si="716"/>
        <v/>
      </c>
    </row>
    <row r="2927" spans="20:24" x14ac:dyDescent="0.3">
      <c r="T2927" s="13" t="str">
        <f t="shared" si="712"/>
        <v/>
      </c>
      <c r="U2927" s="14" t="str">
        <f t="shared" si="713"/>
        <v/>
      </c>
      <c r="V2927" s="13" t="str">
        <f t="shared" si="714"/>
        <v/>
      </c>
      <c r="W2927" s="13" t="str">
        <f t="shared" si="715"/>
        <v/>
      </c>
      <c r="X2927" s="14" t="str">
        <f t="shared" si="716"/>
        <v/>
      </c>
    </row>
    <row r="2928" spans="20:24" x14ac:dyDescent="0.3">
      <c r="T2928" s="13" t="str">
        <f t="shared" si="712"/>
        <v/>
      </c>
      <c r="U2928" s="14" t="str">
        <f t="shared" si="713"/>
        <v/>
      </c>
      <c r="V2928" s="13" t="str">
        <f t="shared" si="714"/>
        <v/>
      </c>
      <c r="W2928" s="13" t="str">
        <f t="shared" si="715"/>
        <v/>
      </c>
      <c r="X2928" s="14" t="str">
        <f t="shared" si="716"/>
        <v/>
      </c>
    </row>
    <row r="2929" spans="20:24" x14ac:dyDescent="0.3">
      <c r="T2929" s="13" t="str">
        <f t="shared" si="712"/>
        <v/>
      </c>
      <c r="U2929" s="14" t="str">
        <f t="shared" si="713"/>
        <v/>
      </c>
      <c r="V2929" s="13" t="str">
        <f t="shared" si="714"/>
        <v/>
      </c>
      <c r="W2929" s="13" t="str">
        <f t="shared" si="715"/>
        <v/>
      </c>
      <c r="X2929" s="14" t="str">
        <f t="shared" si="716"/>
        <v/>
      </c>
    </row>
    <row r="2930" spans="20:24" x14ac:dyDescent="0.3">
      <c r="T2930" s="13" t="str">
        <f t="shared" si="712"/>
        <v/>
      </c>
      <c r="U2930" s="14" t="str">
        <f t="shared" si="713"/>
        <v/>
      </c>
      <c r="V2930" s="13" t="str">
        <f t="shared" si="714"/>
        <v/>
      </c>
      <c r="W2930" s="13" t="str">
        <f t="shared" si="715"/>
        <v/>
      </c>
      <c r="X2930" s="14" t="str">
        <f t="shared" si="716"/>
        <v/>
      </c>
    </row>
    <row r="2931" spans="20:24" x14ac:dyDescent="0.3">
      <c r="T2931" s="13" t="str">
        <f t="shared" si="712"/>
        <v/>
      </c>
      <c r="U2931" s="14" t="str">
        <f t="shared" si="713"/>
        <v/>
      </c>
      <c r="V2931" s="13" t="str">
        <f t="shared" si="714"/>
        <v/>
      </c>
      <c r="W2931" s="13" t="str">
        <f t="shared" si="715"/>
        <v/>
      </c>
      <c r="X2931" s="14" t="str">
        <f t="shared" si="716"/>
        <v/>
      </c>
    </row>
    <row r="2932" spans="20:24" x14ac:dyDescent="0.3">
      <c r="T2932" s="13" t="str">
        <f t="shared" si="712"/>
        <v/>
      </c>
      <c r="U2932" s="14" t="str">
        <f t="shared" si="713"/>
        <v/>
      </c>
      <c r="V2932" s="13" t="str">
        <f t="shared" si="714"/>
        <v/>
      </c>
      <c r="W2932" s="13" t="str">
        <f t="shared" si="715"/>
        <v/>
      </c>
      <c r="X2932" s="14" t="str">
        <f t="shared" si="716"/>
        <v/>
      </c>
    </row>
    <row r="2933" spans="20:24" x14ac:dyDescent="0.3">
      <c r="T2933" s="13" t="str">
        <f t="shared" si="712"/>
        <v/>
      </c>
      <c r="U2933" s="14" t="str">
        <f t="shared" si="713"/>
        <v/>
      </c>
      <c r="V2933" s="13" t="str">
        <f t="shared" si="714"/>
        <v/>
      </c>
      <c r="W2933" s="13" t="str">
        <f t="shared" si="715"/>
        <v/>
      </c>
      <c r="X2933" s="14" t="str">
        <f t="shared" si="716"/>
        <v/>
      </c>
    </row>
    <row r="2934" spans="20:24" x14ac:dyDescent="0.3">
      <c r="T2934" s="13" t="str">
        <f t="shared" si="712"/>
        <v/>
      </c>
      <c r="U2934" s="14" t="str">
        <f t="shared" si="713"/>
        <v/>
      </c>
      <c r="V2934" s="13" t="str">
        <f t="shared" si="714"/>
        <v/>
      </c>
      <c r="W2934" s="13" t="str">
        <f t="shared" si="715"/>
        <v/>
      </c>
      <c r="X2934" s="14" t="str">
        <f t="shared" si="716"/>
        <v/>
      </c>
    </row>
    <row r="2935" spans="20:24" x14ac:dyDescent="0.3">
      <c r="T2935" s="13" t="str">
        <f t="shared" si="712"/>
        <v/>
      </c>
      <c r="U2935" s="14" t="str">
        <f t="shared" si="713"/>
        <v/>
      </c>
      <c r="V2935" s="13" t="str">
        <f t="shared" si="714"/>
        <v/>
      </c>
      <c r="W2935" s="13" t="str">
        <f t="shared" si="715"/>
        <v/>
      </c>
      <c r="X2935" s="14" t="str">
        <f t="shared" si="716"/>
        <v/>
      </c>
    </row>
    <row r="2936" spans="20:24" x14ac:dyDescent="0.3">
      <c r="T2936" s="13" t="str">
        <f t="shared" si="712"/>
        <v/>
      </c>
      <c r="U2936" s="14" t="str">
        <f t="shared" si="713"/>
        <v/>
      </c>
      <c r="V2936" s="13" t="str">
        <f t="shared" si="714"/>
        <v/>
      </c>
      <c r="W2936" s="13" t="str">
        <f t="shared" si="715"/>
        <v/>
      </c>
      <c r="X2936" s="14" t="str">
        <f t="shared" si="716"/>
        <v/>
      </c>
    </row>
    <row r="2937" spans="20:24" x14ac:dyDescent="0.3">
      <c r="T2937" s="13" t="str">
        <f t="shared" si="712"/>
        <v/>
      </c>
      <c r="U2937" s="14" t="str">
        <f t="shared" si="713"/>
        <v/>
      </c>
      <c r="V2937" s="13" t="str">
        <f t="shared" si="714"/>
        <v/>
      </c>
      <c r="W2937" s="13" t="str">
        <f t="shared" si="715"/>
        <v/>
      </c>
      <c r="X2937" s="14" t="str">
        <f t="shared" si="716"/>
        <v/>
      </c>
    </row>
    <row r="2938" spans="20:24" x14ac:dyDescent="0.3">
      <c r="T2938" s="13" t="str">
        <f t="shared" si="712"/>
        <v/>
      </c>
      <c r="U2938" s="14" t="str">
        <f t="shared" si="713"/>
        <v/>
      </c>
      <c r="V2938" s="13" t="str">
        <f t="shared" si="714"/>
        <v/>
      </c>
      <c r="W2938" s="13" t="str">
        <f t="shared" si="715"/>
        <v/>
      </c>
      <c r="X2938" s="14" t="str">
        <f t="shared" si="716"/>
        <v/>
      </c>
    </row>
    <row r="2939" spans="20:24" x14ac:dyDescent="0.3">
      <c r="T2939" s="13" t="str">
        <f t="shared" si="712"/>
        <v/>
      </c>
      <c r="U2939" s="14" t="str">
        <f t="shared" si="713"/>
        <v/>
      </c>
      <c r="V2939" s="13" t="str">
        <f t="shared" si="714"/>
        <v/>
      </c>
      <c r="W2939" s="13" t="str">
        <f t="shared" si="715"/>
        <v/>
      </c>
      <c r="X2939" s="14" t="str">
        <f t="shared" si="716"/>
        <v/>
      </c>
    </row>
    <row r="2940" spans="20:24" x14ac:dyDescent="0.3">
      <c r="T2940" s="13" t="str">
        <f t="shared" si="712"/>
        <v/>
      </c>
      <c r="U2940" s="14" t="str">
        <f t="shared" si="713"/>
        <v/>
      </c>
      <c r="V2940" s="13" t="str">
        <f t="shared" si="714"/>
        <v/>
      </c>
      <c r="W2940" s="13" t="str">
        <f t="shared" si="715"/>
        <v/>
      </c>
      <c r="X2940" s="14" t="str">
        <f t="shared" si="716"/>
        <v/>
      </c>
    </row>
    <row r="2941" spans="20:24" x14ac:dyDescent="0.3">
      <c r="T2941" s="13" t="str">
        <f t="shared" si="712"/>
        <v/>
      </c>
      <c r="U2941" s="14" t="str">
        <f t="shared" si="713"/>
        <v/>
      </c>
      <c r="V2941" s="13" t="str">
        <f t="shared" si="714"/>
        <v/>
      </c>
      <c r="W2941" s="13" t="str">
        <f t="shared" si="715"/>
        <v/>
      </c>
      <c r="X2941" s="14" t="str">
        <f t="shared" si="716"/>
        <v/>
      </c>
    </row>
    <row r="2942" spans="20:24" x14ac:dyDescent="0.3">
      <c r="T2942" s="13" t="str">
        <f t="shared" si="712"/>
        <v/>
      </c>
      <c r="U2942" s="14" t="str">
        <f t="shared" si="713"/>
        <v/>
      </c>
      <c r="V2942" s="13" t="str">
        <f t="shared" si="714"/>
        <v/>
      </c>
      <c r="W2942" s="13" t="str">
        <f t="shared" si="715"/>
        <v/>
      </c>
      <c r="X2942" s="14" t="str">
        <f t="shared" si="716"/>
        <v/>
      </c>
    </row>
    <row r="2943" spans="20:24" x14ac:dyDescent="0.3">
      <c r="T2943" s="13" t="str">
        <f t="shared" si="712"/>
        <v/>
      </c>
      <c r="U2943" s="14" t="str">
        <f t="shared" si="713"/>
        <v/>
      </c>
      <c r="V2943" s="13" t="str">
        <f t="shared" si="714"/>
        <v/>
      </c>
      <c r="W2943" s="13" t="str">
        <f t="shared" si="715"/>
        <v/>
      </c>
      <c r="X2943" s="14" t="str">
        <f t="shared" si="716"/>
        <v/>
      </c>
    </row>
    <row r="2944" spans="20:24" x14ac:dyDescent="0.3">
      <c r="T2944" s="13" t="str">
        <f t="shared" si="712"/>
        <v/>
      </c>
      <c r="U2944" s="14" t="str">
        <f t="shared" si="713"/>
        <v/>
      </c>
      <c r="V2944" s="13" t="str">
        <f t="shared" si="714"/>
        <v/>
      </c>
      <c r="W2944" s="13" t="str">
        <f t="shared" si="715"/>
        <v/>
      </c>
      <c r="X2944" s="14" t="str">
        <f t="shared" si="716"/>
        <v/>
      </c>
    </row>
    <row r="2945" spans="20:24" x14ac:dyDescent="0.3">
      <c r="T2945" s="13" t="str">
        <f t="shared" si="712"/>
        <v/>
      </c>
      <c r="U2945" s="14" t="str">
        <f t="shared" si="713"/>
        <v/>
      </c>
      <c r="V2945" s="13" t="str">
        <f t="shared" si="714"/>
        <v/>
      </c>
      <c r="W2945" s="13" t="str">
        <f t="shared" si="715"/>
        <v/>
      </c>
      <c r="X2945" s="14" t="str">
        <f t="shared" si="716"/>
        <v/>
      </c>
    </row>
    <row r="2946" spans="20:24" x14ac:dyDescent="0.3">
      <c r="T2946" s="13" t="str">
        <f t="shared" si="712"/>
        <v/>
      </c>
      <c r="U2946" s="14" t="str">
        <f t="shared" si="713"/>
        <v/>
      </c>
      <c r="V2946" s="13" t="str">
        <f t="shared" si="714"/>
        <v/>
      </c>
      <c r="W2946" s="13" t="str">
        <f t="shared" si="715"/>
        <v/>
      </c>
      <c r="X2946" s="14" t="str">
        <f t="shared" si="716"/>
        <v/>
      </c>
    </row>
    <row r="2947" spans="20:24" x14ac:dyDescent="0.3">
      <c r="T2947" s="13" t="str">
        <f t="shared" si="712"/>
        <v/>
      </c>
      <c r="U2947" s="14" t="str">
        <f t="shared" si="713"/>
        <v/>
      </c>
      <c r="V2947" s="13" t="str">
        <f t="shared" si="714"/>
        <v/>
      </c>
      <c r="W2947" s="13" t="str">
        <f t="shared" si="715"/>
        <v/>
      </c>
      <c r="X2947" s="14" t="str">
        <f t="shared" si="716"/>
        <v/>
      </c>
    </row>
    <row r="2948" spans="20:24" x14ac:dyDescent="0.3">
      <c r="T2948" s="13" t="str">
        <f t="shared" si="712"/>
        <v/>
      </c>
      <c r="U2948" s="14" t="str">
        <f t="shared" si="713"/>
        <v/>
      </c>
      <c r="V2948" s="13" t="str">
        <f t="shared" si="714"/>
        <v/>
      </c>
      <c r="W2948" s="13" t="str">
        <f t="shared" si="715"/>
        <v/>
      </c>
      <c r="X2948" s="14" t="str">
        <f t="shared" si="716"/>
        <v/>
      </c>
    </row>
    <row r="2949" spans="20:24" x14ac:dyDescent="0.3">
      <c r="T2949" s="13" t="str">
        <f t="shared" si="712"/>
        <v/>
      </c>
      <c r="U2949" s="14" t="str">
        <f t="shared" si="713"/>
        <v/>
      </c>
      <c r="V2949" s="13" t="str">
        <f t="shared" si="714"/>
        <v/>
      </c>
      <c r="W2949" s="13" t="str">
        <f t="shared" si="715"/>
        <v/>
      </c>
      <c r="X2949" s="14" t="str">
        <f t="shared" si="716"/>
        <v/>
      </c>
    </row>
    <row r="2950" spans="20:24" x14ac:dyDescent="0.3">
      <c r="T2950" s="13" t="str">
        <f t="shared" si="712"/>
        <v/>
      </c>
      <c r="U2950" s="14" t="str">
        <f t="shared" si="713"/>
        <v/>
      </c>
      <c r="V2950" s="13" t="str">
        <f t="shared" si="714"/>
        <v/>
      </c>
      <c r="W2950" s="13" t="str">
        <f t="shared" si="715"/>
        <v/>
      </c>
      <c r="X2950" s="14" t="str">
        <f t="shared" si="716"/>
        <v/>
      </c>
    </row>
    <row r="2951" spans="20:24" x14ac:dyDescent="0.3">
      <c r="T2951" s="13" t="str">
        <f t="shared" si="712"/>
        <v/>
      </c>
      <c r="U2951" s="14" t="str">
        <f t="shared" si="713"/>
        <v/>
      </c>
      <c r="V2951" s="13" t="str">
        <f t="shared" si="714"/>
        <v/>
      </c>
      <c r="W2951" s="13" t="str">
        <f t="shared" si="715"/>
        <v/>
      </c>
      <c r="X2951" s="14" t="str">
        <f t="shared" si="716"/>
        <v/>
      </c>
    </row>
    <row r="2952" spans="20:24" x14ac:dyDescent="0.3">
      <c r="T2952" s="13" t="str">
        <f t="shared" si="712"/>
        <v/>
      </c>
      <c r="U2952" s="14" t="str">
        <f t="shared" si="713"/>
        <v/>
      </c>
      <c r="V2952" s="13" t="str">
        <f t="shared" si="714"/>
        <v/>
      </c>
      <c r="W2952" s="13" t="str">
        <f t="shared" si="715"/>
        <v/>
      </c>
      <c r="X2952" s="14" t="str">
        <f t="shared" si="716"/>
        <v/>
      </c>
    </row>
    <row r="2953" spans="20:24" x14ac:dyDescent="0.3">
      <c r="T2953" s="13" t="str">
        <f t="shared" si="712"/>
        <v/>
      </c>
      <c r="U2953" s="14" t="str">
        <f t="shared" si="713"/>
        <v/>
      </c>
      <c r="V2953" s="13" t="str">
        <f t="shared" si="714"/>
        <v/>
      </c>
      <c r="W2953" s="13" t="str">
        <f t="shared" si="715"/>
        <v/>
      </c>
      <c r="X2953" s="14" t="str">
        <f t="shared" si="716"/>
        <v/>
      </c>
    </row>
    <row r="2954" spans="20:24" x14ac:dyDescent="0.3">
      <c r="T2954" s="13" t="str">
        <f t="shared" si="712"/>
        <v/>
      </c>
      <c r="U2954" s="14" t="str">
        <f t="shared" si="713"/>
        <v/>
      </c>
      <c r="V2954" s="13" t="str">
        <f t="shared" si="714"/>
        <v/>
      </c>
      <c r="W2954" s="13" t="str">
        <f t="shared" si="715"/>
        <v/>
      </c>
      <c r="X2954" s="14" t="str">
        <f t="shared" si="716"/>
        <v/>
      </c>
    </row>
    <row r="2955" spans="20:24" x14ac:dyDescent="0.3">
      <c r="T2955" s="13" t="str">
        <f t="shared" si="712"/>
        <v/>
      </c>
      <c r="U2955" s="14" t="str">
        <f t="shared" si="713"/>
        <v/>
      </c>
      <c r="V2955" s="13" t="str">
        <f t="shared" si="714"/>
        <v/>
      </c>
      <c r="W2955" s="13" t="str">
        <f t="shared" si="715"/>
        <v/>
      </c>
      <c r="X2955" s="14" t="str">
        <f t="shared" si="716"/>
        <v/>
      </c>
    </row>
    <row r="2956" spans="20:24" x14ac:dyDescent="0.3">
      <c r="T2956" s="13" t="str">
        <f t="shared" si="712"/>
        <v/>
      </c>
      <c r="U2956" s="14" t="str">
        <f t="shared" si="713"/>
        <v/>
      </c>
      <c r="V2956" s="13" t="str">
        <f t="shared" si="714"/>
        <v/>
      </c>
      <c r="W2956" s="13" t="str">
        <f t="shared" si="715"/>
        <v/>
      </c>
      <c r="X2956" s="14" t="str">
        <f t="shared" si="716"/>
        <v/>
      </c>
    </row>
    <row r="2957" spans="20:24" x14ac:dyDescent="0.3">
      <c r="T2957" s="13" t="str">
        <f t="shared" si="712"/>
        <v/>
      </c>
      <c r="U2957" s="14" t="str">
        <f t="shared" si="713"/>
        <v/>
      </c>
      <c r="V2957" s="13" t="str">
        <f t="shared" si="714"/>
        <v/>
      </c>
      <c r="W2957" s="13" t="str">
        <f t="shared" si="715"/>
        <v/>
      </c>
      <c r="X2957" s="14" t="str">
        <f t="shared" si="716"/>
        <v/>
      </c>
    </row>
    <row r="2958" spans="20:24" x14ac:dyDescent="0.3">
      <c r="T2958" s="13" t="str">
        <f t="shared" si="712"/>
        <v/>
      </c>
      <c r="U2958" s="14" t="str">
        <f t="shared" si="713"/>
        <v/>
      </c>
      <c r="V2958" s="13" t="str">
        <f t="shared" si="714"/>
        <v/>
      </c>
      <c r="W2958" s="13" t="str">
        <f t="shared" si="715"/>
        <v/>
      </c>
      <c r="X2958" s="14" t="str">
        <f t="shared" si="716"/>
        <v/>
      </c>
    </row>
    <row r="2959" spans="20:24" x14ac:dyDescent="0.3">
      <c r="T2959" s="13" t="str">
        <f t="shared" si="712"/>
        <v/>
      </c>
      <c r="U2959" s="14" t="str">
        <f t="shared" si="713"/>
        <v/>
      </c>
      <c r="V2959" s="13" t="str">
        <f t="shared" si="714"/>
        <v/>
      </c>
      <c r="W2959" s="13" t="str">
        <f t="shared" si="715"/>
        <v/>
      </c>
      <c r="X2959" s="14" t="str">
        <f t="shared" si="716"/>
        <v/>
      </c>
    </row>
    <row r="2960" spans="20:24" x14ac:dyDescent="0.3">
      <c r="T2960" s="13" t="str">
        <f t="shared" si="712"/>
        <v/>
      </c>
      <c r="U2960" s="14" t="str">
        <f t="shared" si="713"/>
        <v/>
      </c>
      <c r="V2960" s="13" t="str">
        <f t="shared" si="714"/>
        <v/>
      </c>
      <c r="W2960" s="13" t="str">
        <f t="shared" si="715"/>
        <v/>
      </c>
      <c r="X2960" s="14" t="str">
        <f t="shared" si="716"/>
        <v/>
      </c>
    </row>
    <row r="2961" spans="20:24" x14ac:dyDescent="0.3">
      <c r="T2961" s="13" t="str">
        <f t="shared" si="712"/>
        <v/>
      </c>
      <c r="U2961" s="14" t="str">
        <f t="shared" si="713"/>
        <v/>
      </c>
      <c r="V2961" s="13" t="str">
        <f t="shared" si="714"/>
        <v/>
      </c>
      <c r="W2961" s="13" t="str">
        <f t="shared" si="715"/>
        <v/>
      </c>
      <c r="X2961" s="14" t="str">
        <f t="shared" si="716"/>
        <v/>
      </c>
    </row>
    <row r="2962" spans="20:24" x14ac:dyDescent="0.3">
      <c r="T2962" s="13" t="str">
        <f t="shared" si="712"/>
        <v/>
      </c>
      <c r="U2962" s="14" t="str">
        <f t="shared" si="713"/>
        <v/>
      </c>
      <c r="V2962" s="13" t="str">
        <f t="shared" si="714"/>
        <v/>
      </c>
      <c r="W2962" s="13" t="str">
        <f t="shared" si="715"/>
        <v/>
      </c>
      <c r="X2962" s="14" t="str">
        <f t="shared" si="716"/>
        <v/>
      </c>
    </row>
    <row r="2963" spans="20:24" x14ac:dyDescent="0.3">
      <c r="T2963" s="13" t="str">
        <f t="shared" ref="T2963:T3026" si="717">IF(A2963="",IF(A2962="","",$T$1),IF(O2963=1,"#",IF(B2963=0,"*",DEC2HEX(R2963))))</f>
        <v/>
      </c>
      <c r="U2963" s="14" t="str">
        <f t="shared" ref="U2963:U3026" si="718">IF(A2963="",IF(A2962="","",$U$1),  IF(B2963=0,Q2963,I2963)  )</f>
        <v/>
      </c>
      <c r="V2963" s="13" t="str">
        <f t="shared" ref="V2963:V3026" si="719">IF(U2963=$U$1,"",IF(A2963="",IF(A2962="","",1),  IF(B2963=0,1,D2963)  ))</f>
        <v/>
      </c>
      <c r="W2963" s="13" t="str">
        <f t="shared" ref="W2963:W3026" si="720">IF(U2963=$U$1,"",IF(A2963="",IF(A2962="","",0),  IF(C2963=0,0,0)  ))</f>
        <v/>
      </c>
      <c r="X2963" s="14" t="str">
        <f t="shared" ref="X2963:X3026" si="721">IF(U2963=$U$1,"",IF(U2963="","",IF(B2963&gt;0,IF(Q2963&lt;&gt;"",Q2963,"No description"),"-")))</f>
        <v/>
      </c>
    </row>
    <row r="2964" spans="20:24" x14ac:dyDescent="0.3">
      <c r="T2964" s="13" t="str">
        <f t="shared" si="717"/>
        <v/>
      </c>
      <c r="U2964" s="14" t="str">
        <f t="shared" si="718"/>
        <v/>
      </c>
      <c r="V2964" s="13" t="str">
        <f t="shared" si="719"/>
        <v/>
      </c>
      <c r="W2964" s="13" t="str">
        <f t="shared" si="720"/>
        <v/>
      </c>
      <c r="X2964" s="14" t="str">
        <f t="shared" si="721"/>
        <v/>
      </c>
    </row>
    <row r="2965" spans="20:24" x14ac:dyDescent="0.3">
      <c r="T2965" s="13" t="str">
        <f t="shared" si="717"/>
        <v/>
      </c>
      <c r="U2965" s="14" t="str">
        <f t="shared" si="718"/>
        <v/>
      </c>
      <c r="V2965" s="13" t="str">
        <f t="shared" si="719"/>
        <v/>
      </c>
      <c r="W2965" s="13" t="str">
        <f t="shared" si="720"/>
        <v/>
      </c>
      <c r="X2965" s="14" t="str">
        <f t="shared" si="721"/>
        <v/>
      </c>
    </row>
    <row r="2966" spans="20:24" x14ac:dyDescent="0.3">
      <c r="T2966" s="13" t="str">
        <f t="shared" si="717"/>
        <v/>
      </c>
      <c r="U2966" s="14" t="str">
        <f t="shared" si="718"/>
        <v/>
      </c>
      <c r="V2966" s="13" t="str">
        <f t="shared" si="719"/>
        <v/>
      </c>
      <c r="W2966" s="13" t="str">
        <f t="shared" si="720"/>
        <v/>
      </c>
      <c r="X2966" s="14" t="str">
        <f t="shared" si="721"/>
        <v/>
      </c>
    </row>
    <row r="2967" spans="20:24" x14ac:dyDescent="0.3">
      <c r="T2967" s="13" t="str">
        <f t="shared" si="717"/>
        <v/>
      </c>
      <c r="U2967" s="14" t="str">
        <f t="shared" si="718"/>
        <v/>
      </c>
      <c r="V2967" s="13" t="str">
        <f t="shared" si="719"/>
        <v/>
      </c>
      <c r="W2967" s="13" t="str">
        <f t="shared" si="720"/>
        <v/>
      </c>
      <c r="X2967" s="14" t="str">
        <f t="shared" si="721"/>
        <v/>
      </c>
    </row>
    <row r="2968" spans="20:24" x14ac:dyDescent="0.3">
      <c r="T2968" s="13" t="str">
        <f t="shared" si="717"/>
        <v/>
      </c>
      <c r="U2968" s="14" t="str">
        <f t="shared" si="718"/>
        <v/>
      </c>
      <c r="V2968" s="13" t="str">
        <f t="shared" si="719"/>
        <v/>
      </c>
      <c r="W2968" s="13" t="str">
        <f t="shared" si="720"/>
        <v/>
      </c>
      <c r="X2968" s="14" t="str">
        <f t="shared" si="721"/>
        <v/>
      </c>
    </row>
    <row r="2969" spans="20:24" x14ac:dyDescent="0.3">
      <c r="T2969" s="13" t="str">
        <f t="shared" si="717"/>
        <v/>
      </c>
      <c r="U2969" s="14" t="str">
        <f t="shared" si="718"/>
        <v/>
      </c>
      <c r="V2969" s="13" t="str">
        <f t="shared" si="719"/>
        <v/>
      </c>
      <c r="W2969" s="13" t="str">
        <f t="shared" si="720"/>
        <v/>
      </c>
      <c r="X2969" s="14" t="str">
        <f t="shared" si="721"/>
        <v/>
      </c>
    </row>
    <row r="2970" spans="20:24" x14ac:dyDescent="0.3">
      <c r="T2970" s="13" t="str">
        <f t="shared" si="717"/>
        <v/>
      </c>
      <c r="U2970" s="14" t="str">
        <f t="shared" si="718"/>
        <v/>
      </c>
      <c r="V2970" s="13" t="str">
        <f t="shared" si="719"/>
        <v/>
      </c>
      <c r="W2970" s="13" t="str">
        <f t="shared" si="720"/>
        <v/>
      </c>
      <c r="X2970" s="14" t="str">
        <f t="shared" si="721"/>
        <v/>
      </c>
    </row>
    <row r="2971" spans="20:24" x14ac:dyDescent="0.3">
      <c r="T2971" s="13" t="str">
        <f t="shared" si="717"/>
        <v/>
      </c>
      <c r="U2971" s="14" t="str">
        <f t="shared" si="718"/>
        <v/>
      </c>
      <c r="V2971" s="13" t="str">
        <f t="shared" si="719"/>
        <v/>
      </c>
      <c r="W2971" s="13" t="str">
        <f t="shared" si="720"/>
        <v/>
      </c>
      <c r="X2971" s="14" t="str">
        <f t="shared" si="721"/>
        <v/>
      </c>
    </row>
    <row r="2972" spans="20:24" x14ac:dyDescent="0.3">
      <c r="T2972" s="13" t="str">
        <f t="shared" si="717"/>
        <v/>
      </c>
      <c r="U2972" s="14" t="str">
        <f t="shared" si="718"/>
        <v/>
      </c>
      <c r="V2972" s="13" t="str">
        <f t="shared" si="719"/>
        <v/>
      </c>
      <c r="W2972" s="13" t="str">
        <f t="shared" si="720"/>
        <v/>
      </c>
      <c r="X2972" s="14" t="str">
        <f t="shared" si="721"/>
        <v/>
      </c>
    </row>
    <row r="2973" spans="20:24" x14ac:dyDescent="0.3">
      <c r="T2973" s="13" t="str">
        <f t="shared" si="717"/>
        <v/>
      </c>
      <c r="U2973" s="14" t="str">
        <f t="shared" si="718"/>
        <v/>
      </c>
      <c r="V2973" s="13" t="str">
        <f t="shared" si="719"/>
        <v/>
      </c>
      <c r="W2973" s="13" t="str">
        <f t="shared" si="720"/>
        <v/>
      </c>
      <c r="X2973" s="14" t="str">
        <f t="shared" si="721"/>
        <v/>
      </c>
    </row>
    <row r="2974" spans="20:24" x14ac:dyDescent="0.3">
      <c r="T2974" s="13" t="str">
        <f t="shared" si="717"/>
        <v/>
      </c>
      <c r="U2974" s="14" t="str">
        <f t="shared" si="718"/>
        <v/>
      </c>
      <c r="V2974" s="13" t="str">
        <f t="shared" si="719"/>
        <v/>
      </c>
      <c r="W2974" s="13" t="str">
        <f t="shared" si="720"/>
        <v/>
      </c>
      <c r="X2974" s="14" t="str">
        <f t="shared" si="721"/>
        <v/>
      </c>
    </row>
    <row r="2975" spans="20:24" x14ac:dyDescent="0.3">
      <c r="T2975" s="13" t="str">
        <f t="shared" si="717"/>
        <v/>
      </c>
      <c r="U2975" s="14" t="str">
        <f t="shared" si="718"/>
        <v/>
      </c>
      <c r="V2975" s="13" t="str">
        <f t="shared" si="719"/>
        <v/>
      </c>
      <c r="W2975" s="13" t="str">
        <f t="shared" si="720"/>
        <v/>
      </c>
      <c r="X2975" s="14" t="str">
        <f t="shared" si="721"/>
        <v/>
      </c>
    </row>
    <row r="2976" spans="20:24" x14ac:dyDescent="0.3">
      <c r="T2976" s="13" t="str">
        <f t="shared" si="717"/>
        <v/>
      </c>
      <c r="U2976" s="14" t="str">
        <f t="shared" si="718"/>
        <v/>
      </c>
      <c r="V2976" s="13" t="str">
        <f t="shared" si="719"/>
        <v/>
      </c>
      <c r="W2976" s="13" t="str">
        <f t="shared" si="720"/>
        <v/>
      </c>
      <c r="X2976" s="14" t="str">
        <f t="shared" si="721"/>
        <v/>
      </c>
    </row>
    <row r="2977" spans="20:24" x14ac:dyDescent="0.3">
      <c r="T2977" s="13" t="str">
        <f t="shared" si="717"/>
        <v/>
      </c>
      <c r="U2977" s="14" t="str">
        <f t="shared" si="718"/>
        <v/>
      </c>
      <c r="V2977" s="13" t="str">
        <f t="shared" si="719"/>
        <v/>
      </c>
      <c r="W2977" s="13" t="str">
        <f t="shared" si="720"/>
        <v/>
      </c>
      <c r="X2977" s="14" t="str">
        <f t="shared" si="721"/>
        <v/>
      </c>
    </row>
    <row r="2978" spans="20:24" x14ac:dyDescent="0.3">
      <c r="T2978" s="13" t="str">
        <f t="shared" si="717"/>
        <v/>
      </c>
      <c r="U2978" s="14" t="str">
        <f t="shared" si="718"/>
        <v/>
      </c>
      <c r="V2978" s="13" t="str">
        <f t="shared" si="719"/>
        <v/>
      </c>
      <c r="W2978" s="13" t="str">
        <f t="shared" si="720"/>
        <v/>
      </c>
      <c r="X2978" s="14" t="str">
        <f t="shared" si="721"/>
        <v/>
      </c>
    </row>
    <row r="2979" spans="20:24" x14ac:dyDescent="0.3">
      <c r="T2979" s="13" t="str">
        <f t="shared" si="717"/>
        <v/>
      </c>
      <c r="U2979" s="14" t="str">
        <f t="shared" si="718"/>
        <v/>
      </c>
      <c r="V2979" s="13" t="str">
        <f t="shared" si="719"/>
        <v/>
      </c>
      <c r="W2979" s="13" t="str">
        <f t="shared" si="720"/>
        <v/>
      </c>
      <c r="X2979" s="14" t="str">
        <f t="shared" si="721"/>
        <v/>
      </c>
    </row>
    <row r="2980" spans="20:24" x14ac:dyDescent="0.3">
      <c r="T2980" s="13" t="str">
        <f t="shared" si="717"/>
        <v/>
      </c>
      <c r="U2980" s="14" t="str">
        <f t="shared" si="718"/>
        <v/>
      </c>
      <c r="V2980" s="13" t="str">
        <f t="shared" si="719"/>
        <v/>
      </c>
      <c r="W2980" s="13" t="str">
        <f t="shared" si="720"/>
        <v/>
      </c>
      <c r="X2980" s="14" t="str">
        <f t="shared" si="721"/>
        <v/>
      </c>
    </row>
    <row r="2981" spans="20:24" x14ac:dyDescent="0.3">
      <c r="T2981" s="13" t="str">
        <f t="shared" si="717"/>
        <v/>
      </c>
      <c r="U2981" s="14" t="str">
        <f t="shared" si="718"/>
        <v/>
      </c>
      <c r="V2981" s="13" t="str">
        <f t="shared" si="719"/>
        <v/>
      </c>
      <c r="W2981" s="13" t="str">
        <f t="shared" si="720"/>
        <v/>
      </c>
      <c r="X2981" s="14" t="str">
        <f t="shared" si="721"/>
        <v/>
      </c>
    </row>
    <row r="2982" spans="20:24" x14ac:dyDescent="0.3">
      <c r="T2982" s="13" t="str">
        <f t="shared" si="717"/>
        <v/>
      </c>
      <c r="U2982" s="14" t="str">
        <f t="shared" si="718"/>
        <v/>
      </c>
      <c r="V2982" s="13" t="str">
        <f t="shared" si="719"/>
        <v/>
      </c>
      <c r="W2982" s="13" t="str">
        <f t="shared" si="720"/>
        <v/>
      </c>
      <c r="X2982" s="14" t="str">
        <f t="shared" si="721"/>
        <v/>
      </c>
    </row>
    <row r="2983" spans="20:24" x14ac:dyDescent="0.3">
      <c r="T2983" s="13" t="str">
        <f t="shared" si="717"/>
        <v/>
      </c>
      <c r="U2983" s="14" t="str">
        <f t="shared" si="718"/>
        <v/>
      </c>
      <c r="V2983" s="13" t="str">
        <f t="shared" si="719"/>
        <v/>
      </c>
      <c r="W2983" s="13" t="str">
        <f t="shared" si="720"/>
        <v/>
      </c>
      <c r="X2983" s="14" t="str">
        <f t="shared" si="721"/>
        <v/>
      </c>
    </row>
    <row r="2984" spans="20:24" x14ac:dyDescent="0.3">
      <c r="T2984" s="13" t="str">
        <f t="shared" si="717"/>
        <v/>
      </c>
      <c r="U2984" s="14" t="str">
        <f t="shared" si="718"/>
        <v/>
      </c>
      <c r="V2984" s="13" t="str">
        <f t="shared" si="719"/>
        <v/>
      </c>
      <c r="W2984" s="13" t="str">
        <f t="shared" si="720"/>
        <v/>
      </c>
      <c r="X2984" s="14" t="str">
        <f t="shared" si="721"/>
        <v/>
      </c>
    </row>
    <row r="2985" spans="20:24" x14ac:dyDescent="0.3">
      <c r="T2985" s="13" t="str">
        <f t="shared" si="717"/>
        <v/>
      </c>
      <c r="U2985" s="14" t="str">
        <f t="shared" si="718"/>
        <v/>
      </c>
      <c r="V2985" s="13" t="str">
        <f t="shared" si="719"/>
        <v/>
      </c>
      <c r="W2985" s="13" t="str">
        <f t="shared" si="720"/>
        <v/>
      </c>
      <c r="X2985" s="14" t="str">
        <f t="shared" si="721"/>
        <v/>
      </c>
    </row>
    <row r="2986" spans="20:24" x14ac:dyDescent="0.3">
      <c r="T2986" s="13" t="str">
        <f t="shared" si="717"/>
        <v/>
      </c>
      <c r="U2986" s="14" t="str">
        <f t="shared" si="718"/>
        <v/>
      </c>
      <c r="V2986" s="13" t="str">
        <f t="shared" si="719"/>
        <v/>
      </c>
      <c r="W2986" s="13" t="str">
        <f t="shared" si="720"/>
        <v/>
      </c>
      <c r="X2986" s="14" t="str">
        <f t="shared" si="721"/>
        <v/>
      </c>
    </row>
    <row r="2987" spans="20:24" x14ac:dyDescent="0.3">
      <c r="T2987" s="13" t="str">
        <f t="shared" si="717"/>
        <v/>
      </c>
      <c r="U2987" s="14" t="str">
        <f t="shared" si="718"/>
        <v/>
      </c>
      <c r="V2987" s="13" t="str">
        <f t="shared" si="719"/>
        <v/>
      </c>
      <c r="W2987" s="13" t="str">
        <f t="shared" si="720"/>
        <v/>
      </c>
      <c r="X2987" s="14" t="str">
        <f t="shared" si="721"/>
        <v/>
      </c>
    </row>
    <row r="2988" spans="20:24" x14ac:dyDescent="0.3">
      <c r="T2988" s="13" t="str">
        <f t="shared" si="717"/>
        <v/>
      </c>
      <c r="U2988" s="14" t="str">
        <f t="shared" si="718"/>
        <v/>
      </c>
      <c r="V2988" s="13" t="str">
        <f t="shared" si="719"/>
        <v/>
      </c>
      <c r="W2988" s="13" t="str">
        <f t="shared" si="720"/>
        <v/>
      </c>
      <c r="X2988" s="14" t="str">
        <f t="shared" si="721"/>
        <v/>
      </c>
    </row>
    <row r="2989" spans="20:24" x14ac:dyDescent="0.3">
      <c r="T2989" s="13" t="str">
        <f t="shared" si="717"/>
        <v/>
      </c>
      <c r="U2989" s="14" t="str">
        <f t="shared" si="718"/>
        <v/>
      </c>
      <c r="V2989" s="13" t="str">
        <f t="shared" si="719"/>
        <v/>
      </c>
      <c r="W2989" s="13" t="str">
        <f t="shared" si="720"/>
        <v/>
      </c>
      <c r="X2989" s="14" t="str">
        <f t="shared" si="721"/>
        <v/>
      </c>
    </row>
    <row r="2990" spans="20:24" x14ac:dyDescent="0.3">
      <c r="T2990" s="13" t="str">
        <f t="shared" si="717"/>
        <v/>
      </c>
      <c r="U2990" s="14" t="str">
        <f t="shared" si="718"/>
        <v/>
      </c>
      <c r="V2990" s="13" t="str">
        <f t="shared" si="719"/>
        <v/>
      </c>
      <c r="W2990" s="13" t="str">
        <f t="shared" si="720"/>
        <v/>
      </c>
      <c r="X2990" s="14" t="str">
        <f t="shared" si="721"/>
        <v/>
      </c>
    </row>
    <row r="2991" spans="20:24" x14ac:dyDescent="0.3">
      <c r="T2991" s="13" t="str">
        <f t="shared" si="717"/>
        <v/>
      </c>
      <c r="U2991" s="14" t="str">
        <f t="shared" si="718"/>
        <v/>
      </c>
      <c r="V2991" s="13" t="str">
        <f t="shared" si="719"/>
        <v/>
      </c>
      <c r="W2991" s="13" t="str">
        <f t="shared" si="720"/>
        <v/>
      </c>
      <c r="X2991" s="14" t="str">
        <f t="shared" si="721"/>
        <v/>
      </c>
    </row>
    <row r="2992" spans="20:24" x14ac:dyDescent="0.3">
      <c r="T2992" s="13" t="str">
        <f t="shared" si="717"/>
        <v/>
      </c>
      <c r="U2992" s="14" t="str">
        <f t="shared" si="718"/>
        <v/>
      </c>
      <c r="V2992" s="13" t="str">
        <f t="shared" si="719"/>
        <v/>
      </c>
      <c r="W2992" s="13" t="str">
        <f t="shared" si="720"/>
        <v/>
      </c>
      <c r="X2992" s="14" t="str">
        <f t="shared" si="721"/>
        <v/>
      </c>
    </row>
    <row r="2993" spans="20:24" x14ac:dyDescent="0.3">
      <c r="T2993" s="13" t="str">
        <f t="shared" si="717"/>
        <v/>
      </c>
      <c r="U2993" s="14" t="str">
        <f t="shared" si="718"/>
        <v/>
      </c>
      <c r="V2993" s="13" t="str">
        <f t="shared" si="719"/>
        <v/>
      </c>
      <c r="W2993" s="13" t="str">
        <f t="shared" si="720"/>
        <v/>
      </c>
      <c r="X2993" s="14" t="str">
        <f t="shared" si="721"/>
        <v/>
      </c>
    </row>
    <row r="2994" spans="20:24" x14ac:dyDescent="0.3">
      <c r="T2994" s="13" t="str">
        <f t="shared" si="717"/>
        <v/>
      </c>
      <c r="U2994" s="14" t="str">
        <f t="shared" si="718"/>
        <v/>
      </c>
      <c r="V2994" s="13" t="str">
        <f t="shared" si="719"/>
        <v/>
      </c>
      <c r="W2994" s="13" t="str">
        <f t="shared" si="720"/>
        <v/>
      </c>
      <c r="X2994" s="14" t="str">
        <f t="shared" si="721"/>
        <v/>
      </c>
    </row>
    <row r="2995" spans="20:24" x14ac:dyDescent="0.3">
      <c r="T2995" s="13" t="str">
        <f t="shared" si="717"/>
        <v/>
      </c>
      <c r="U2995" s="14" t="str">
        <f t="shared" si="718"/>
        <v/>
      </c>
      <c r="V2995" s="13" t="str">
        <f t="shared" si="719"/>
        <v/>
      </c>
      <c r="W2995" s="13" t="str">
        <f t="shared" si="720"/>
        <v/>
      </c>
      <c r="X2995" s="14" t="str">
        <f t="shared" si="721"/>
        <v/>
      </c>
    </row>
    <row r="2996" spans="20:24" x14ac:dyDescent="0.3">
      <c r="T2996" s="13" t="str">
        <f t="shared" si="717"/>
        <v/>
      </c>
      <c r="U2996" s="14" t="str">
        <f t="shared" si="718"/>
        <v/>
      </c>
      <c r="V2996" s="13" t="str">
        <f t="shared" si="719"/>
        <v/>
      </c>
      <c r="W2996" s="13" t="str">
        <f t="shared" si="720"/>
        <v/>
      </c>
      <c r="X2996" s="14" t="str">
        <f t="shared" si="721"/>
        <v/>
      </c>
    </row>
    <row r="2997" spans="20:24" x14ac:dyDescent="0.3">
      <c r="T2997" s="13" t="str">
        <f t="shared" si="717"/>
        <v/>
      </c>
      <c r="U2997" s="14" t="str">
        <f t="shared" si="718"/>
        <v/>
      </c>
      <c r="V2997" s="13" t="str">
        <f t="shared" si="719"/>
        <v/>
      </c>
      <c r="W2997" s="13" t="str">
        <f t="shared" si="720"/>
        <v/>
      </c>
      <c r="X2997" s="14" t="str">
        <f t="shared" si="721"/>
        <v/>
      </c>
    </row>
    <row r="2998" spans="20:24" x14ac:dyDescent="0.3">
      <c r="T2998" s="13" t="str">
        <f t="shared" si="717"/>
        <v/>
      </c>
      <c r="U2998" s="14" t="str">
        <f t="shared" si="718"/>
        <v/>
      </c>
      <c r="V2998" s="13" t="str">
        <f t="shared" si="719"/>
        <v/>
      </c>
      <c r="W2998" s="13" t="str">
        <f t="shared" si="720"/>
        <v/>
      </c>
      <c r="X2998" s="14" t="str">
        <f t="shared" si="721"/>
        <v/>
      </c>
    </row>
    <row r="2999" spans="20:24" x14ac:dyDescent="0.3">
      <c r="T2999" s="13" t="str">
        <f t="shared" si="717"/>
        <v/>
      </c>
      <c r="U2999" s="14" t="str">
        <f t="shared" si="718"/>
        <v/>
      </c>
      <c r="V2999" s="13" t="str">
        <f t="shared" si="719"/>
        <v/>
      </c>
      <c r="W2999" s="13" t="str">
        <f t="shared" si="720"/>
        <v/>
      </c>
      <c r="X2999" s="14" t="str">
        <f t="shared" si="721"/>
        <v/>
      </c>
    </row>
    <row r="3000" spans="20:24" x14ac:dyDescent="0.3">
      <c r="T3000" s="13" t="str">
        <f t="shared" si="717"/>
        <v/>
      </c>
      <c r="U3000" s="14" t="str">
        <f t="shared" si="718"/>
        <v/>
      </c>
      <c r="V3000" s="13" t="str">
        <f t="shared" si="719"/>
        <v/>
      </c>
      <c r="W3000" s="13" t="str">
        <f t="shared" si="720"/>
        <v/>
      </c>
      <c r="X3000" s="14" t="str">
        <f t="shared" si="721"/>
        <v/>
      </c>
    </row>
    <row r="3001" spans="20:24" x14ac:dyDescent="0.3">
      <c r="T3001" s="13" t="str">
        <f t="shared" si="717"/>
        <v/>
      </c>
      <c r="U3001" s="14" t="str">
        <f t="shared" si="718"/>
        <v/>
      </c>
      <c r="V3001" s="13" t="str">
        <f t="shared" si="719"/>
        <v/>
      </c>
      <c r="W3001" s="13" t="str">
        <f t="shared" si="720"/>
        <v/>
      </c>
      <c r="X3001" s="14" t="str">
        <f t="shared" si="721"/>
        <v/>
      </c>
    </row>
    <row r="3002" spans="20:24" x14ac:dyDescent="0.3">
      <c r="T3002" s="13" t="str">
        <f t="shared" si="717"/>
        <v/>
      </c>
      <c r="U3002" s="14" t="str">
        <f t="shared" si="718"/>
        <v/>
      </c>
      <c r="V3002" s="13" t="str">
        <f t="shared" si="719"/>
        <v/>
      </c>
      <c r="W3002" s="13" t="str">
        <f t="shared" si="720"/>
        <v/>
      </c>
      <c r="X3002" s="14" t="str">
        <f t="shared" si="721"/>
        <v/>
      </c>
    </row>
    <row r="3003" spans="20:24" x14ac:dyDescent="0.3">
      <c r="T3003" s="13" t="str">
        <f t="shared" si="717"/>
        <v/>
      </c>
      <c r="U3003" s="14" t="str">
        <f t="shared" si="718"/>
        <v/>
      </c>
      <c r="V3003" s="13" t="str">
        <f t="shared" si="719"/>
        <v/>
      </c>
      <c r="W3003" s="13" t="str">
        <f t="shared" si="720"/>
        <v/>
      </c>
      <c r="X3003" s="14" t="str">
        <f t="shared" si="721"/>
        <v/>
      </c>
    </row>
    <row r="3004" spans="20:24" x14ac:dyDescent="0.3">
      <c r="T3004" s="13" t="str">
        <f t="shared" si="717"/>
        <v/>
      </c>
      <c r="U3004" s="14" t="str">
        <f t="shared" si="718"/>
        <v/>
      </c>
      <c r="V3004" s="13" t="str">
        <f t="shared" si="719"/>
        <v/>
      </c>
      <c r="W3004" s="13" t="str">
        <f t="shared" si="720"/>
        <v/>
      </c>
      <c r="X3004" s="14" t="str">
        <f t="shared" si="721"/>
        <v/>
      </c>
    </row>
    <row r="3005" spans="20:24" x14ac:dyDescent="0.3">
      <c r="T3005" s="13" t="str">
        <f t="shared" si="717"/>
        <v/>
      </c>
      <c r="U3005" s="14" t="str">
        <f t="shared" si="718"/>
        <v/>
      </c>
      <c r="V3005" s="13" t="str">
        <f t="shared" si="719"/>
        <v/>
      </c>
      <c r="W3005" s="13" t="str">
        <f t="shared" si="720"/>
        <v/>
      </c>
      <c r="X3005" s="14" t="str">
        <f t="shared" si="721"/>
        <v/>
      </c>
    </row>
    <row r="3006" spans="20:24" x14ac:dyDescent="0.3">
      <c r="T3006" s="13" t="str">
        <f t="shared" si="717"/>
        <v/>
      </c>
      <c r="U3006" s="14" t="str">
        <f t="shared" si="718"/>
        <v/>
      </c>
      <c r="V3006" s="13" t="str">
        <f t="shared" si="719"/>
        <v/>
      </c>
      <c r="W3006" s="13" t="str">
        <f t="shared" si="720"/>
        <v/>
      </c>
      <c r="X3006" s="14" t="str">
        <f t="shared" si="721"/>
        <v/>
      </c>
    </row>
    <row r="3007" spans="20:24" x14ac:dyDescent="0.3">
      <c r="T3007" s="13" t="str">
        <f t="shared" si="717"/>
        <v/>
      </c>
      <c r="U3007" s="14" t="str">
        <f t="shared" si="718"/>
        <v/>
      </c>
      <c r="V3007" s="13" t="str">
        <f t="shared" si="719"/>
        <v/>
      </c>
      <c r="W3007" s="13" t="str">
        <f t="shared" si="720"/>
        <v/>
      </c>
      <c r="X3007" s="14" t="str">
        <f t="shared" si="721"/>
        <v/>
      </c>
    </row>
    <row r="3008" spans="20:24" x14ac:dyDescent="0.3">
      <c r="T3008" s="13" t="str">
        <f t="shared" si="717"/>
        <v/>
      </c>
      <c r="U3008" s="14" t="str">
        <f t="shared" si="718"/>
        <v/>
      </c>
      <c r="V3008" s="13" t="str">
        <f t="shared" si="719"/>
        <v/>
      </c>
      <c r="W3008" s="13" t="str">
        <f t="shared" si="720"/>
        <v/>
      </c>
      <c r="X3008" s="14" t="str">
        <f t="shared" si="721"/>
        <v/>
      </c>
    </row>
    <row r="3009" spans="20:24" x14ac:dyDescent="0.3">
      <c r="T3009" s="13" t="str">
        <f t="shared" si="717"/>
        <v/>
      </c>
      <c r="U3009" s="14" t="str">
        <f t="shared" si="718"/>
        <v/>
      </c>
      <c r="V3009" s="13" t="str">
        <f t="shared" si="719"/>
        <v/>
      </c>
      <c r="W3009" s="13" t="str">
        <f t="shared" si="720"/>
        <v/>
      </c>
      <c r="X3009" s="14" t="str">
        <f t="shared" si="721"/>
        <v/>
      </c>
    </row>
    <row r="3010" spans="20:24" x14ac:dyDescent="0.3">
      <c r="T3010" s="13" t="str">
        <f t="shared" si="717"/>
        <v/>
      </c>
      <c r="U3010" s="14" t="str">
        <f t="shared" si="718"/>
        <v/>
      </c>
      <c r="V3010" s="13" t="str">
        <f t="shared" si="719"/>
        <v/>
      </c>
      <c r="W3010" s="13" t="str">
        <f t="shared" si="720"/>
        <v/>
      </c>
      <c r="X3010" s="14" t="str">
        <f t="shared" si="721"/>
        <v/>
      </c>
    </row>
    <row r="3011" spans="20:24" x14ac:dyDescent="0.3">
      <c r="T3011" s="13" t="str">
        <f t="shared" si="717"/>
        <v/>
      </c>
      <c r="U3011" s="14" t="str">
        <f t="shared" si="718"/>
        <v/>
      </c>
      <c r="V3011" s="13" t="str">
        <f t="shared" si="719"/>
        <v/>
      </c>
      <c r="W3011" s="13" t="str">
        <f t="shared" si="720"/>
        <v/>
      </c>
      <c r="X3011" s="14" t="str">
        <f t="shared" si="721"/>
        <v/>
      </c>
    </row>
    <row r="3012" spans="20:24" x14ac:dyDescent="0.3">
      <c r="T3012" s="13" t="str">
        <f t="shared" si="717"/>
        <v/>
      </c>
      <c r="U3012" s="14" t="str">
        <f t="shared" si="718"/>
        <v/>
      </c>
      <c r="V3012" s="13" t="str">
        <f t="shared" si="719"/>
        <v/>
      </c>
      <c r="W3012" s="13" t="str">
        <f t="shared" si="720"/>
        <v/>
      </c>
      <c r="X3012" s="14" t="str">
        <f t="shared" si="721"/>
        <v/>
      </c>
    </row>
    <row r="3013" spans="20:24" x14ac:dyDescent="0.3">
      <c r="T3013" s="13" t="str">
        <f t="shared" si="717"/>
        <v/>
      </c>
      <c r="U3013" s="14" t="str">
        <f t="shared" si="718"/>
        <v/>
      </c>
      <c r="V3013" s="13" t="str">
        <f t="shared" si="719"/>
        <v/>
      </c>
      <c r="W3013" s="13" t="str">
        <f t="shared" si="720"/>
        <v/>
      </c>
      <c r="X3013" s="14" t="str">
        <f t="shared" si="721"/>
        <v/>
      </c>
    </row>
    <row r="3014" spans="20:24" x14ac:dyDescent="0.3">
      <c r="T3014" s="13" t="str">
        <f t="shared" si="717"/>
        <v/>
      </c>
      <c r="U3014" s="14" t="str">
        <f t="shared" si="718"/>
        <v/>
      </c>
      <c r="V3014" s="13" t="str">
        <f t="shared" si="719"/>
        <v/>
      </c>
      <c r="W3014" s="13" t="str">
        <f t="shared" si="720"/>
        <v/>
      </c>
      <c r="X3014" s="14" t="str">
        <f t="shared" si="721"/>
        <v/>
      </c>
    </row>
    <row r="3015" spans="20:24" x14ac:dyDescent="0.3">
      <c r="T3015" s="13" t="str">
        <f t="shared" si="717"/>
        <v/>
      </c>
      <c r="U3015" s="14" t="str">
        <f t="shared" si="718"/>
        <v/>
      </c>
      <c r="V3015" s="13" t="str">
        <f t="shared" si="719"/>
        <v/>
      </c>
      <c r="W3015" s="13" t="str">
        <f t="shared" si="720"/>
        <v/>
      </c>
      <c r="X3015" s="14" t="str">
        <f t="shared" si="721"/>
        <v/>
      </c>
    </row>
    <row r="3016" spans="20:24" x14ac:dyDescent="0.3">
      <c r="T3016" s="13" t="str">
        <f t="shared" si="717"/>
        <v/>
      </c>
      <c r="U3016" s="14" t="str">
        <f t="shared" si="718"/>
        <v/>
      </c>
      <c r="V3016" s="13" t="str">
        <f t="shared" si="719"/>
        <v/>
      </c>
      <c r="W3016" s="13" t="str">
        <f t="shared" si="720"/>
        <v/>
      </c>
      <c r="X3016" s="14" t="str">
        <f t="shared" si="721"/>
        <v/>
      </c>
    </row>
    <row r="3017" spans="20:24" x14ac:dyDescent="0.3">
      <c r="T3017" s="13" t="str">
        <f t="shared" si="717"/>
        <v/>
      </c>
      <c r="U3017" s="14" t="str">
        <f t="shared" si="718"/>
        <v/>
      </c>
      <c r="V3017" s="13" t="str">
        <f t="shared" si="719"/>
        <v/>
      </c>
      <c r="W3017" s="13" t="str">
        <f t="shared" si="720"/>
        <v/>
      </c>
      <c r="X3017" s="14" t="str">
        <f t="shared" si="721"/>
        <v/>
      </c>
    </row>
    <row r="3018" spans="20:24" x14ac:dyDescent="0.3">
      <c r="T3018" s="13" t="str">
        <f t="shared" si="717"/>
        <v/>
      </c>
      <c r="U3018" s="14" t="str">
        <f t="shared" si="718"/>
        <v/>
      </c>
      <c r="V3018" s="13" t="str">
        <f t="shared" si="719"/>
        <v/>
      </c>
      <c r="W3018" s="13" t="str">
        <f t="shared" si="720"/>
        <v/>
      </c>
      <c r="X3018" s="14" t="str">
        <f t="shared" si="721"/>
        <v/>
      </c>
    </row>
    <row r="3019" spans="20:24" x14ac:dyDescent="0.3">
      <c r="T3019" s="13" t="str">
        <f t="shared" si="717"/>
        <v/>
      </c>
      <c r="U3019" s="14" t="str">
        <f t="shared" si="718"/>
        <v/>
      </c>
      <c r="V3019" s="13" t="str">
        <f t="shared" si="719"/>
        <v/>
      </c>
      <c r="W3019" s="13" t="str">
        <f t="shared" si="720"/>
        <v/>
      </c>
      <c r="X3019" s="14" t="str">
        <f t="shared" si="721"/>
        <v/>
      </c>
    </row>
    <row r="3020" spans="20:24" x14ac:dyDescent="0.3">
      <c r="T3020" s="13" t="str">
        <f t="shared" si="717"/>
        <v/>
      </c>
      <c r="U3020" s="14" t="str">
        <f t="shared" si="718"/>
        <v/>
      </c>
      <c r="V3020" s="13" t="str">
        <f t="shared" si="719"/>
        <v/>
      </c>
      <c r="W3020" s="13" t="str">
        <f t="shared" si="720"/>
        <v/>
      </c>
      <c r="X3020" s="14" t="str">
        <f t="shared" si="721"/>
        <v/>
      </c>
    </row>
    <row r="3021" spans="20:24" x14ac:dyDescent="0.3">
      <c r="T3021" s="13" t="str">
        <f t="shared" si="717"/>
        <v/>
      </c>
      <c r="U3021" s="14" t="str">
        <f t="shared" si="718"/>
        <v/>
      </c>
      <c r="V3021" s="13" t="str">
        <f t="shared" si="719"/>
        <v/>
      </c>
      <c r="W3021" s="13" t="str">
        <f t="shared" si="720"/>
        <v/>
      </c>
      <c r="X3021" s="14" t="str">
        <f t="shared" si="721"/>
        <v/>
      </c>
    </row>
    <row r="3022" spans="20:24" x14ac:dyDescent="0.3">
      <c r="T3022" s="13" t="str">
        <f t="shared" si="717"/>
        <v/>
      </c>
      <c r="U3022" s="14" t="str">
        <f t="shared" si="718"/>
        <v/>
      </c>
      <c r="V3022" s="13" t="str">
        <f t="shared" si="719"/>
        <v/>
      </c>
      <c r="W3022" s="13" t="str">
        <f t="shared" si="720"/>
        <v/>
      </c>
      <c r="X3022" s="14" t="str">
        <f t="shared" si="721"/>
        <v/>
      </c>
    </row>
    <row r="3023" spans="20:24" x14ac:dyDescent="0.3">
      <c r="T3023" s="13" t="str">
        <f t="shared" si="717"/>
        <v/>
      </c>
      <c r="U3023" s="14" t="str">
        <f t="shared" si="718"/>
        <v/>
      </c>
      <c r="V3023" s="13" t="str">
        <f t="shared" si="719"/>
        <v/>
      </c>
      <c r="W3023" s="13" t="str">
        <f t="shared" si="720"/>
        <v/>
      </c>
      <c r="X3023" s="14" t="str">
        <f t="shared" si="721"/>
        <v/>
      </c>
    </row>
    <row r="3024" spans="20:24" x14ac:dyDescent="0.3">
      <c r="T3024" s="13" t="str">
        <f t="shared" si="717"/>
        <v/>
      </c>
      <c r="U3024" s="14" t="str">
        <f t="shared" si="718"/>
        <v/>
      </c>
      <c r="V3024" s="13" t="str">
        <f t="shared" si="719"/>
        <v/>
      </c>
      <c r="W3024" s="13" t="str">
        <f t="shared" si="720"/>
        <v/>
      </c>
      <c r="X3024" s="14" t="str">
        <f t="shared" si="721"/>
        <v/>
      </c>
    </row>
    <row r="3025" spans="20:24" x14ac:dyDescent="0.3">
      <c r="T3025" s="13" t="str">
        <f t="shared" si="717"/>
        <v/>
      </c>
      <c r="U3025" s="14" t="str">
        <f t="shared" si="718"/>
        <v/>
      </c>
      <c r="V3025" s="13" t="str">
        <f t="shared" si="719"/>
        <v/>
      </c>
      <c r="W3025" s="13" t="str">
        <f t="shared" si="720"/>
        <v/>
      </c>
      <c r="X3025" s="14" t="str">
        <f t="shared" si="721"/>
        <v/>
      </c>
    </row>
    <row r="3026" spans="20:24" x14ac:dyDescent="0.3">
      <c r="T3026" s="13" t="str">
        <f t="shared" si="717"/>
        <v/>
      </c>
      <c r="U3026" s="14" t="str">
        <f t="shared" si="718"/>
        <v/>
      </c>
      <c r="V3026" s="13" t="str">
        <f t="shared" si="719"/>
        <v/>
      </c>
      <c r="W3026" s="13" t="str">
        <f t="shared" si="720"/>
        <v/>
      </c>
      <c r="X3026" s="14" t="str">
        <f t="shared" si="721"/>
        <v/>
      </c>
    </row>
    <row r="3027" spans="20:24" x14ac:dyDescent="0.3">
      <c r="T3027" s="13" t="str">
        <f t="shared" ref="T3027:T3090" si="722">IF(A3027="",IF(A3026="","",$T$1),IF(O3027=1,"#",IF(B3027=0,"*",DEC2HEX(R3027))))</f>
        <v/>
      </c>
      <c r="U3027" s="14" t="str">
        <f t="shared" ref="U3027:U3090" si="723">IF(A3027="",IF(A3026="","",$U$1),  IF(B3027=0,Q3027,I3027)  )</f>
        <v/>
      </c>
      <c r="V3027" s="13" t="str">
        <f t="shared" ref="V3027:V3090" si="724">IF(U3027=$U$1,"",IF(A3027="",IF(A3026="","",1),  IF(B3027=0,1,D3027)  ))</f>
        <v/>
      </c>
      <c r="W3027" s="13" t="str">
        <f t="shared" ref="W3027:W3090" si="725">IF(U3027=$U$1,"",IF(A3027="",IF(A3026="","",0),  IF(C3027=0,0,0)  ))</f>
        <v/>
      </c>
      <c r="X3027" s="14" t="str">
        <f t="shared" ref="X3027:X3090" si="726">IF(U3027=$U$1,"",IF(U3027="","",IF(B3027&gt;0,IF(Q3027&lt;&gt;"",Q3027,"No description"),"-")))</f>
        <v/>
      </c>
    </row>
    <row r="3028" spans="20:24" x14ac:dyDescent="0.3">
      <c r="T3028" s="13" t="str">
        <f t="shared" si="722"/>
        <v/>
      </c>
      <c r="U3028" s="14" t="str">
        <f t="shared" si="723"/>
        <v/>
      </c>
      <c r="V3028" s="13" t="str">
        <f t="shared" si="724"/>
        <v/>
      </c>
      <c r="W3028" s="13" t="str">
        <f t="shared" si="725"/>
        <v/>
      </c>
      <c r="X3028" s="14" t="str">
        <f t="shared" si="726"/>
        <v/>
      </c>
    </row>
    <row r="3029" spans="20:24" x14ac:dyDescent="0.3">
      <c r="T3029" s="13" t="str">
        <f t="shared" si="722"/>
        <v/>
      </c>
      <c r="U3029" s="14" t="str">
        <f t="shared" si="723"/>
        <v/>
      </c>
      <c r="V3029" s="13" t="str">
        <f t="shared" si="724"/>
        <v/>
      </c>
      <c r="W3029" s="13" t="str">
        <f t="shared" si="725"/>
        <v/>
      </c>
      <c r="X3029" s="14" t="str">
        <f t="shared" si="726"/>
        <v/>
      </c>
    </row>
    <row r="3030" spans="20:24" x14ac:dyDescent="0.3">
      <c r="T3030" s="13" t="str">
        <f t="shared" si="722"/>
        <v/>
      </c>
      <c r="U3030" s="14" t="str">
        <f t="shared" si="723"/>
        <v/>
      </c>
      <c r="V3030" s="13" t="str">
        <f t="shared" si="724"/>
        <v/>
      </c>
      <c r="W3030" s="13" t="str">
        <f t="shared" si="725"/>
        <v/>
      </c>
      <c r="X3030" s="14" t="str">
        <f t="shared" si="726"/>
        <v/>
      </c>
    </row>
    <row r="3031" spans="20:24" x14ac:dyDescent="0.3">
      <c r="T3031" s="13" t="str">
        <f t="shared" si="722"/>
        <v/>
      </c>
      <c r="U3031" s="14" t="str">
        <f t="shared" si="723"/>
        <v/>
      </c>
      <c r="V3031" s="13" t="str">
        <f t="shared" si="724"/>
        <v/>
      </c>
      <c r="W3031" s="13" t="str">
        <f t="shared" si="725"/>
        <v/>
      </c>
      <c r="X3031" s="14" t="str">
        <f t="shared" si="726"/>
        <v/>
      </c>
    </row>
    <row r="3032" spans="20:24" x14ac:dyDescent="0.3">
      <c r="T3032" s="13" t="str">
        <f t="shared" si="722"/>
        <v/>
      </c>
      <c r="U3032" s="14" t="str">
        <f t="shared" si="723"/>
        <v/>
      </c>
      <c r="V3032" s="13" t="str">
        <f t="shared" si="724"/>
        <v/>
      </c>
      <c r="W3032" s="13" t="str">
        <f t="shared" si="725"/>
        <v/>
      </c>
      <c r="X3032" s="14" t="str">
        <f t="shared" si="726"/>
        <v/>
      </c>
    </row>
    <row r="3033" spans="20:24" x14ac:dyDescent="0.3">
      <c r="T3033" s="13" t="str">
        <f t="shared" si="722"/>
        <v/>
      </c>
      <c r="U3033" s="14" t="str">
        <f t="shared" si="723"/>
        <v/>
      </c>
      <c r="V3033" s="13" t="str">
        <f t="shared" si="724"/>
        <v/>
      </c>
      <c r="W3033" s="13" t="str">
        <f t="shared" si="725"/>
        <v/>
      </c>
      <c r="X3033" s="14" t="str">
        <f t="shared" si="726"/>
        <v/>
      </c>
    </row>
    <row r="3034" spans="20:24" x14ac:dyDescent="0.3">
      <c r="T3034" s="13" t="str">
        <f t="shared" si="722"/>
        <v/>
      </c>
      <c r="U3034" s="14" t="str">
        <f t="shared" si="723"/>
        <v/>
      </c>
      <c r="V3034" s="13" t="str">
        <f t="shared" si="724"/>
        <v/>
      </c>
      <c r="W3034" s="13" t="str">
        <f t="shared" si="725"/>
        <v/>
      </c>
      <c r="X3034" s="14" t="str">
        <f t="shared" si="726"/>
        <v/>
      </c>
    </row>
    <row r="3035" spans="20:24" x14ac:dyDescent="0.3">
      <c r="T3035" s="13" t="str">
        <f t="shared" si="722"/>
        <v/>
      </c>
      <c r="U3035" s="14" t="str">
        <f t="shared" si="723"/>
        <v/>
      </c>
      <c r="V3035" s="13" t="str">
        <f t="shared" si="724"/>
        <v/>
      </c>
      <c r="W3035" s="13" t="str">
        <f t="shared" si="725"/>
        <v/>
      </c>
      <c r="X3035" s="14" t="str">
        <f t="shared" si="726"/>
        <v/>
      </c>
    </row>
    <row r="3036" spans="20:24" x14ac:dyDescent="0.3">
      <c r="T3036" s="13" t="str">
        <f t="shared" si="722"/>
        <v/>
      </c>
      <c r="U3036" s="14" t="str">
        <f t="shared" si="723"/>
        <v/>
      </c>
      <c r="V3036" s="13" t="str">
        <f t="shared" si="724"/>
        <v/>
      </c>
      <c r="W3036" s="13" t="str">
        <f t="shared" si="725"/>
        <v/>
      </c>
      <c r="X3036" s="14" t="str">
        <f t="shared" si="726"/>
        <v/>
      </c>
    </row>
    <row r="3037" spans="20:24" x14ac:dyDescent="0.3">
      <c r="T3037" s="13" t="str">
        <f t="shared" si="722"/>
        <v/>
      </c>
      <c r="U3037" s="14" t="str">
        <f t="shared" si="723"/>
        <v/>
      </c>
      <c r="V3037" s="13" t="str">
        <f t="shared" si="724"/>
        <v/>
      </c>
      <c r="W3037" s="13" t="str">
        <f t="shared" si="725"/>
        <v/>
      </c>
      <c r="X3037" s="14" t="str">
        <f t="shared" si="726"/>
        <v/>
      </c>
    </row>
    <row r="3038" spans="20:24" x14ac:dyDescent="0.3">
      <c r="T3038" s="13" t="str">
        <f t="shared" si="722"/>
        <v/>
      </c>
      <c r="U3038" s="14" t="str">
        <f t="shared" si="723"/>
        <v/>
      </c>
      <c r="V3038" s="13" t="str">
        <f t="shared" si="724"/>
        <v/>
      </c>
      <c r="W3038" s="13" t="str">
        <f t="shared" si="725"/>
        <v/>
      </c>
      <c r="X3038" s="14" t="str">
        <f t="shared" si="726"/>
        <v/>
      </c>
    </row>
    <row r="3039" spans="20:24" x14ac:dyDescent="0.3">
      <c r="T3039" s="13" t="str">
        <f t="shared" si="722"/>
        <v/>
      </c>
      <c r="U3039" s="14" t="str">
        <f t="shared" si="723"/>
        <v/>
      </c>
      <c r="V3039" s="13" t="str">
        <f t="shared" si="724"/>
        <v/>
      </c>
      <c r="W3039" s="13" t="str">
        <f t="shared" si="725"/>
        <v/>
      </c>
      <c r="X3039" s="14" t="str">
        <f t="shared" si="726"/>
        <v/>
      </c>
    </row>
    <row r="3040" spans="20:24" x14ac:dyDescent="0.3">
      <c r="T3040" s="13" t="str">
        <f t="shared" si="722"/>
        <v/>
      </c>
      <c r="U3040" s="14" t="str">
        <f t="shared" si="723"/>
        <v/>
      </c>
      <c r="V3040" s="13" t="str">
        <f t="shared" si="724"/>
        <v/>
      </c>
      <c r="W3040" s="13" t="str">
        <f t="shared" si="725"/>
        <v/>
      </c>
      <c r="X3040" s="14" t="str">
        <f t="shared" si="726"/>
        <v/>
      </c>
    </row>
    <row r="3041" spans="20:24" x14ac:dyDescent="0.3">
      <c r="T3041" s="13" t="str">
        <f t="shared" si="722"/>
        <v/>
      </c>
      <c r="U3041" s="14" t="str">
        <f t="shared" si="723"/>
        <v/>
      </c>
      <c r="V3041" s="13" t="str">
        <f t="shared" si="724"/>
        <v/>
      </c>
      <c r="W3041" s="13" t="str">
        <f t="shared" si="725"/>
        <v/>
      </c>
      <c r="X3041" s="14" t="str">
        <f t="shared" si="726"/>
        <v/>
      </c>
    </row>
    <row r="3042" spans="20:24" x14ac:dyDescent="0.3">
      <c r="T3042" s="13" t="str">
        <f t="shared" si="722"/>
        <v/>
      </c>
      <c r="U3042" s="14" t="str">
        <f t="shared" si="723"/>
        <v/>
      </c>
      <c r="V3042" s="13" t="str">
        <f t="shared" si="724"/>
        <v/>
      </c>
      <c r="W3042" s="13" t="str">
        <f t="shared" si="725"/>
        <v/>
      </c>
      <c r="X3042" s="14" t="str">
        <f t="shared" si="726"/>
        <v/>
      </c>
    </row>
    <row r="3043" spans="20:24" x14ac:dyDescent="0.3">
      <c r="T3043" s="13" t="str">
        <f t="shared" si="722"/>
        <v/>
      </c>
      <c r="U3043" s="14" t="str">
        <f t="shared" si="723"/>
        <v/>
      </c>
      <c r="V3043" s="13" t="str">
        <f t="shared" si="724"/>
        <v/>
      </c>
      <c r="W3043" s="13" t="str">
        <f t="shared" si="725"/>
        <v/>
      </c>
      <c r="X3043" s="14" t="str">
        <f t="shared" si="726"/>
        <v/>
      </c>
    </row>
    <row r="3044" spans="20:24" x14ac:dyDescent="0.3">
      <c r="T3044" s="13" t="str">
        <f t="shared" si="722"/>
        <v/>
      </c>
      <c r="U3044" s="14" t="str">
        <f t="shared" si="723"/>
        <v/>
      </c>
      <c r="V3044" s="13" t="str">
        <f t="shared" si="724"/>
        <v/>
      </c>
      <c r="W3044" s="13" t="str">
        <f t="shared" si="725"/>
        <v/>
      </c>
      <c r="X3044" s="14" t="str">
        <f t="shared" si="726"/>
        <v/>
      </c>
    </row>
    <row r="3045" spans="20:24" x14ac:dyDescent="0.3">
      <c r="T3045" s="13" t="str">
        <f t="shared" si="722"/>
        <v/>
      </c>
      <c r="U3045" s="14" t="str">
        <f t="shared" si="723"/>
        <v/>
      </c>
      <c r="V3045" s="13" t="str">
        <f t="shared" si="724"/>
        <v/>
      </c>
      <c r="W3045" s="13" t="str">
        <f t="shared" si="725"/>
        <v/>
      </c>
      <c r="X3045" s="14" t="str">
        <f t="shared" si="726"/>
        <v/>
      </c>
    </row>
    <row r="3046" spans="20:24" x14ac:dyDescent="0.3">
      <c r="T3046" s="13" t="str">
        <f t="shared" si="722"/>
        <v/>
      </c>
      <c r="U3046" s="14" t="str">
        <f t="shared" si="723"/>
        <v/>
      </c>
      <c r="V3046" s="13" t="str">
        <f t="shared" si="724"/>
        <v/>
      </c>
      <c r="W3046" s="13" t="str">
        <f t="shared" si="725"/>
        <v/>
      </c>
      <c r="X3046" s="14" t="str">
        <f t="shared" si="726"/>
        <v/>
      </c>
    </row>
    <row r="3047" spans="20:24" x14ac:dyDescent="0.3">
      <c r="T3047" s="13" t="str">
        <f t="shared" si="722"/>
        <v/>
      </c>
      <c r="U3047" s="14" t="str">
        <f t="shared" si="723"/>
        <v/>
      </c>
      <c r="V3047" s="13" t="str">
        <f t="shared" si="724"/>
        <v/>
      </c>
      <c r="W3047" s="13" t="str">
        <f t="shared" si="725"/>
        <v/>
      </c>
      <c r="X3047" s="14" t="str">
        <f t="shared" si="726"/>
        <v/>
      </c>
    </row>
    <row r="3048" spans="20:24" x14ac:dyDescent="0.3">
      <c r="T3048" s="13" t="str">
        <f t="shared" si="722"/>
        <v/>
      </c>
      <c r="U3048" s="14" t="str">
        <f t="shared" si="723"/>
        <v/>
      </c>
      <c r="V3048" s="13" t="str">
        <f t="shared" si="724"/>
        <v/>
      </c>
      <c r="W3048" s="13" t="str">
        <f t="shared" si="725"/>
        <v/>
      </c>
      <c r="X3048" s="14" t="str">
        <f t="shared" si="726"/>
        <v/>
      </c>
    </row>
    <row r="3049" spans="20:24" x14ac:dyDescent="0.3">
      <c r="T3049" s="13" t="str">
        <f t="shared" si="722"/>
        <v/>
      </c>
      <c r="U3049" s="14" t="str">
        <f t="shared" si="723"/>
        <v/>
      </c>
      <c r="V3049" s="13" t="str">
        <f t="shared" si="724"/>
        <v/>
      </c>
      <c r="W3049" s="13" t="str">
        <f t="shared" si="725"/>
        <v/>
      </c>
      <c r="X3049" s="14" t="str">
        <f t="shared" si="726"/>
        <v/>
      </c>
    </row>
    <row r="3050" spans="20:24" x14ac:dyDescent="0.3">
      <c r="T3050" s="13" t="str">
        <f t="shared" si="722"/>
        <v/>
      </c>
      <c r="U3050" s="14" t="str">
        <f t="shared" si="723"/>
        <v/>
      </c>
      <c r="V3050" s="13" t="str">
        <f t="shared" si="724"/>
        <v/>
      </c>
      <c r="W3050" s="13" t="str">
        <f t="shared" si="725"/>
        <v/>
      </c>
      <c r="X3050" s="14" t="str">
        <f t="shared" si="726"/>
        <v/>
      </c>
    </row>
    <row r="3051" spans="20:24" x14ac:dyDescent="0.3">
      <c r="T3051" s="13" t="str">
        <f t="shared" si="722"/>
        <v/>
      </c>
      <c r="U3051" s="14" t="str">
        <f t="shared" si="723"/>
        <v/>
      </c>
      <c r="V3051" s="13" t="str">
        <f t="shared" si="724"/>
        <v/>
      </c>
      <c r="W3051" s="13" t="str">
        <f t="shared" si="725"/>
        <v/>
      </c>
      <c r="X3051" s="14" t="str">
        <f t="shared" si="726"/>
        <v/>
      </c>
    </row>
    <row r="3052" spans="20:24" x14ac:dyDescent="0.3">
      <c r="T3052" s="13" t="str">
        <f t="shared" si="722"/>
        <v/>
      </c>
      <c r="U3052" s="14" t="str">
        <f t="shared" si="723"/>
        <v/>
      </c>
      <c r="V3052" s="13" t="str">
        <f t="shared" si="724"/>
        <v/>
      </c>
      <c r="W3052" s="13" t="str">
        <f t="shared" si="725"/>
        <v/>
      </c>
      <c r="X3052" s="14" t="str">
        <f t="shared" si="726"/>
        <v/>
      </c>
    </row>
    <row r="3053" spans="20:24" x14ac:dyDescent="0.3">
      <c r="T3053" s="13" t="str">
        <f t="shared" si="722"/>
        <v/>
      </c>
      <c r="U3053" s="14" t="str">
        <f t="shared" si="723"/>
        <v/>
      </c>
      <c r="V3053" s="13" t="str">
        <f t="shared" si="724"/>
        <v/>
      </c>
      <c r="W3053" s="13" t="str">
        <f t="shared" si="725"/>
        <v/>
      </c>
      <c r="X3053" s="14" t="str">
        <f t="shared" si="726"/>
        <v/>
      </c>
    </row>
    <row r="3054" spans="20:24" x14ac:dyDescent="0.3">
      <c r="T3054" s="13" t="str">
        <f t="shared" si="722"/>
        <v/>
      </c>
      <c r="U3054" s="14" t="str">
        <f t="shared" si="723"/>
        <v/>
      </c>
      <c r="V3054" s="13" t="str">
        <f t="shared" si="724"/>
        <v/>
      </c>
      <c r="W3054" s="13" t="str">
        <f t="shared" si="725"/>
        <v/>
      </c>
      <c r="X3054" s="14" t="str">
        <f t="shared" si="726"/>
        <v/>
      </c>
    </row>
    <row r="3055" spans="20:24" x14ac:dyDescent="0.3">
      <c r="T3055" s="13" t="str">
        <f t="shared" si="722"/>
        <v/>
      </c>
      <c r="U3055" s="14" t="str">
        <f t="shared" si="723"/>
        <v/>
      </c>
      <c r="V3055" s="13" t="str">
        <f t="shared" si="724"/>
        <v/>
      </c>
      <c r="W3055" s="13" t="str">
        <f t="shared" si="725"/>
        <v/>
      </c>
      <c r="X3055" s="14" t="str">
        <f t="shared" si="726"/>
        <v/>
      </c>
    </row>
    <row r="3056" spans="20:24" x14ac:dyDescent="0.3">
      <c r="T3056" s="13" t="str">
        <f t="shared" si="722"/>
        <v/>
      </c>
      <c r="U3056" s="14" t="str">
        <f t="shared" si="723"/>
        <v/>
      </c>
      <c r="V3056" s="13" t="str">
        <f t="shared" si="724"/>
        <v/>
      </c>
      <c r="W3056" s="13" t="str">
        <f t="shared" si="725"/>
        <v/>
      </c>
      <c r="X3056" s="14" t="str">
        <f t="shared" si="726"/>
        <v/>
      </c>
    </row>
    <row r="3057" spans="20:24" x14ac:dyDescent="0.3">
      <c r="T3057" s="13" t="str">
        <f t="shared" si="722"/>
        <v/>
      </c>
      <c r="U3057" s="14" t="str">
        <f t="shared" si="723"/>
        <v/>
      </c>
      <c r="V3057" s="13" t="str">
        <f t="shared" si="724"/>
        <v/>
      </c>
      <c r="W3057" s="13" t="str">
        <f t="shared" si="725"/>
        <v/>
      </c>
      <c r="X3057" s="14" t="str">
        <f t="shared" si="726"/>
        <v/>
      </c>
    </row>
    <row r="3058" spans="20:24" x14ac:dyDescent="0.3">
      <c r="T3058" s="13" t="str">
        <f t="shared" si="722"/>
        <v/>
      </c>
      <c r="U3058" s="14" t="str">
        <f t="shared" si="723"/>
        <v/>
      </c>
      <c r="V3058" s="13" t="str">
        <f t="shared" si="724"/>
        <v/>
      </c>
      <c r="W3058" s="13" t="str">
        <f t="shared" si="725"/>
        <v/>
      </c>
      <c r="X3058" s="14" t="str">
        <f t="shared" si="726"/>
        <v/>
      </c>
    </row>
    <row r="3059" spans="20:24" x14ac:dyDescent="0.3">
      <c r="T3059" s="13" t="str">
        <f t="shared" si="722"/>
        <v/>
      </c>
      <c r="U3059" s="14" t="str">
        <f t="shared" si="723"/>
        <v/>
      </c>
      <c r="V3059" s="13" t="str">
        <f t="shared" si="724"/>
        <v/>
      </c>
      <c r="W3059" s="13" t="str">
        <f t="shared" si="725"/>
        <v/>
      </c>
      <c r="X3059" s="14" t="str">
        <f t="shared" si="726"/>
        <v/>
      </c>
    </row>
    <row r="3060" spans="20:24" x14ac:dyDescent="0.3">
      <c r="T3060" s="13" t="str">
        <f t="shared" si="722"/>
        <v/>
      </c>
      <c r="U3060" s="14" t="str">
        <f t="shared" si="723"/>
        <v/>
      </c>
      <c r="V3060" s="13" t="str">
        <f t="shared" si="724"/>
        <v/>
      </c>
      <c r="W3060" s="13" t="str">
        <f t="shared" si="725"/>
        <v/>
      </c>
      <c r="X3060" s="14" t="str">
        <f t="shared" si="726"/>
        <v/>
      </c>
    </row>
    <row r="3061" spans="20:24" x14ac:dyDescent="0.3">
      <c r="T3061" s="13" t="str">
        <f t="shared" si="722"/>
        <v/>
      </c>
      <c r="U3061" s="14" t="str">
        <f t="shared" si="723"/>
        <v/>
      </c>
      <c r="V3061" s="13" t="str">
        <f t="shared" si="724"/>
        <v/>
      </c>
      <c r="W3061" s="13" t="str">
        <f t="shared" si="725"/>
        <v/>
      </c>
      <c r="X3061" s="14" t="str">
        <f t="shared" si="726"/>
        <v/>
      </c>
    </row>
    <row r="3062" spans="20:24" x14ac:dyDescent="0.3">
      <c r="T3062" s="13" t="str">
        <f t="shared" si="722"/>
        <v/>
      </c>
      <c r="U3062" s="14" t="str">
        <f t="shared" si="723"/>
        <v/>
      </c>
      <c r="V3062" s="13" t="str">
        <f t="shared" si="724"/>
        <v/>
      </c>
      <c r="W3062" s="13" t="str">
        <f t="shared" si="725"/>
        <v/>
      </c>
      <c r="X3062" s="14" t="str">
        <f t="shared" si="726"/>
        <v/>
      </c>
    </row>
    <row r="3063" spans="20:24" x14ac:dyDescent="0.3">
      <c r="T3063" s="13" t="str">
        <f t="shared" si="722"/>
        <v/>
      </c>
      <c r="U3063" s="14" t="str">
        <f t="shared" si="723"/>
        <v/>
      </c>
      <c r="V3063" s="13" t="str">
        <f t="shared" si="724"/>
        <v/>
      </c>
      <c r="W3063" s="13" t="str">
        <f t="shared" si="725"/>
        <v/>
      </c>
      <c r="X3063" s="14" t="str">
        <f t="shared" si="726"/>
        <v/>
      </c>
    </row>
    <row r="3064" spans="20:24" x14ac:dyDescent="0.3">
      <c r="T3064" s="13" t="str">
        <f t="shared" si="722"/>
        <v/>
      </c>
      <c r="U3064" s="14" t="str">
        <f t="shared" si="723"/>
        <v/>
      </c>
      <c r="V3064" s="13" t="str">
        <f t="shared" si="724"/>
        <v/>
      </c>
      <c r="W3064" s="13" t="str">
        <f t="shared" si="725"/>
        <v/>
      </c>
      <c r="X3064" s="14" t="str">
        <f t="shared" si="726"/>
        <v/>
      </c>
    </row>
    <row r="3065" spans="20:24" x14ac:dyDescent="0.3">
      <c r="T3065" s="13" t="str">
        <f t="shared" si="722"/>
        <v/>
      </c>
      <c r="U3065" s="14" t="str">
        <f t="shared" si="723"/>
        <v/>
      </c>
      <c r="V3065" s="13" t="str">
        <f t="shared" si="724"/>
        <v/>
      </c>
      <c r="W3065" s="13" t="str">
        <f t="shared" si="725"/>
        <v/>
      </c>
      <c r="X3065" s="14" t="str">
        <f t="shared" si="726"/>
        <v/>
      </c>
    </row>
    <row r="3066" spans="20:24" x14ac:dyDescent="0.3">
      <c r="T3066" s="13" t="str">
        <f t="shared" si="722"/>
        <v/>
      </c>
      <c r="U3066" s="14" t="str">
        <f t="shared" si="723"/>
        <v/>
      </c>
      <c r="V3066" s="13" t="str">
        <f t="shared" si="724"/>
        <v/>
      </c>
      <c r="W3066" s="13" t="str">
        <f t="shared" si="725"/>
        <v/>
      </c>
      <c r="X3066" s="14" t="str">
        <f t="shared" si="726"/>
        <v/>
      </c>
    </row>
    <row r="3067" spans="20:24" x14ac:dyDescent="0.3">
      <c r="T3067" s="13" t="str">
        <f t="shared" si="722"/>
        <v/>
      </c>
      <c r="U3067" s="14" t="str">
        <f t="shared" si="723"/>
        <v/>
      </c>
      <c r="V3067" s="13" t="str">
        <f t="shared" si="724"/>
        <v/>
      </c>
      <c r="W3067" s="13" t="str">
        <f t="shared" si="725"/>
        <v/>
      </c>
      <c r="X3067" s="14" t="str">
        <f t="shared" si="726"/>
        <v/>
      </c>
    </row>
    <row r="3068" spans="20:24" x14ac:dyDescent="0.3">
      <c r="T3068" s="13" t="str">
        <f t="shared" si="722"/>
        <v/>
      </c>
      <c r="U3068" s="14" t="str">
        <f t="shared" si="723"/>
        <v/>
      </c>
      <c r="V3068" s="13" t="str">
        <f t="shared" si="724"/>
        <v/>
      </c>
      <c r="W3068" s="13" t="str">
        <f t="shared" si="725"/>
        <v/>
      </c>
      <c r="X3068" s="14" t="str">
        <f t="shared" si="726"/>
        <v/>
      </c>
    </row>
    <row r="3069" spans="20:24" x14ac:dyDescent="0.3">
      <c r="T3069" s="13" t="str">
        <f t="shared" si="722"/>
        <v/>
      </c>
      <c r="U3069" s="14" t="str">
        <f t="shared" si="723"/>
        <v/>
      </c>
      <c r="V3069" s="13" t="str">
        <f t="shared" si="724"/>
        <v/>
      </c>
      <c r="W3069" s="13" t="str">
        <f t="shared" si="725"/>
        <v/>
      </c>
      <c r="X3069" s="14" t="str">
        <f t="shared" si="726"/>
        <v/>
      </c>
    </row>
    <row r="3070" spans="20:24" x14ac:dyDescent="0.3">
      <c r="T3070" s="13" t="str">
        <f t="shared" si="722"/>
        <v/>
      </c>
      <c r="U3070" s="14" t="str">
        <f t="shared" si="723"/>
        <v/>
      </c>
      <c r="V3070" s="13" t="str">
        <f t="shared" si="724"/>
        <v/>
      </c>
      <c r="W3070" s="13" t="str">
        <f t="shared" si="725"/>
        <v/>
      </c>
      <c r="X3070" s="14" t="str">
        <f t="shared" si="726"/>
        <v/>
      </c>
    </row>
    <row r="3071" spans="20:24" x14ac:dyDescent="0.3">
      <c r="T3071" s="13" t="str">
        <f t="shared" si="722"/>
        <v/>
      </c>
      <c r="U3071" s="14" t="str">
        <f t="shared" si="723"/>
        <v/>
      </c>
      <c r="V3071" s="13" t="str">
        <f t="shared" si="724"/>
        <v/>
      </c>
      <c r="W3071" s="13" t="str">
        <f t="shared" si="725"/>
        <v/>
      </c>
      <c r="X3071" s="14" t="str">
        <f t="shared" si="726"/>
        <v/>
      </c>
    </row>
    <row r="3072" spans="20:24" x14ac:dyDescent="0.3">
      <c r="T3072" s="13" t="str">
        <f t="shared" si="722"/>
        <v/>
      </c>
      <c r="U3072" s="14" t="str">
        <f t="shared" si="723"/>
        <v/>
      </c>
      <c r="V3072" s="13" t="str">
        <f t="shared" si="724"/>
        <v/>
      </c>
      <c r="W3072" s="13" t="str">
        <f t="shared" si="725"/>
        <v/>
      </c>
      <c r="X3072" s="14" t="str">
        <f t="shared" si="726"/>
        <v/>
      </c>
    </row>
    <row r="3073" spans="20:24" x14ac:dyDescent="0.3">
      <c r="T3073" s="13" t="str">
        <f t="shared" si="722"/>
        <v/>
      </c>
      <c r="U3073" s="14" t="str">
        <f t="shared" si="723"/>
        <v/>
      </c>
      <c r="V3073" s="13" t="str">
        <f t="shared" si="724"/>
        <v/>
      </c>
      <c r="W3073" s="13" t="str">
        <f t="shared" si="725"/>
        <v/>
      </c>
      <c r="X3073" s="14" t="str">
        <f t="shared" si="726"/>
        <v/>
      </c>
    </row>
    <row r="3074" spans="20:24" x14ac:dyDescent="0.3">
      <c r="T3074" s="13" t="str">
        <f t="shared" si="722"/>
        <v/>
      </c>
      <c r="U3074" s="14" t="str">
        <f t="shared" si="723"/>
        <v/>
      </c>
      <c r="V3074" s="13" t="str">
        <f t="shared" si="724"/>
        <v/>
      </c>
      <c r="W3074" s="13" t="str">
        <f t="shared" si="725"/>
        <v/>
      </c>
      <c r="X3074" s="14" t="str">
        <f t="shared" si="726"/>
        <v/>
      </c>
    </row>
    <row r="3075" spans="20:24" x14ac:dyDescent="0.3">
      <c r="T3075" s="13" t="str">
        <f t="shared" si="722"/>
        <v/>
      </c>
      <c r="U3075" s="14" t="str">
        <f t="shared" si="723"/>
        <v/>
      </c>
      <c r="V3075" s="13" t="str">
        <f t="shared" si="724"/>
        <v/>
      </c>
      <c r="W3075" s="13" t="str">
        <f t="shared" si="725"/>
        <v/>
      </c>
      <c r="X3075" s="14" t="str">
        <f t="shared" si="726"/>
        <v/>
      </c>
    </row>
    <row r="3076" spans="20:24" x14ac:dyDescent="0.3">
      <c r="T3076" s="13" t="str">
        <f t="shared" si="722"/>
        <v/>
      </c>
      <c r="U3076" s="14" t="str">
        <f t="shared" si="723"/>
        <v/>
      </c>
      <c r="V3076" s="13" t="str">
        <f t="shared" si="724"/>
        <v/>
      </c>
      <c r="W3076" s="13" t="str">
        <f t="shared" si="725"/>
        <v/>
      </c>
      <c r="X3076" s="14" t="str">
        <f t="shared" si="726"/>
        <v/>
      </c>
    </row>
    <row r="3077" spans="20:24" x14ac:dyDescent="0.3">
      <c r="T3077" s="13" t="str">
        <f t="shared" si="722"/>
        <v/>
      </c>
      <c r="U3077" s="14" t="str">
        <f t="shared" si="723"/>
        <v/>
      </c>
      <c r="V3077" s="13" t="str">
        <f t="shared" si="724"/>
        <v/>
      </c>
      <c r="W3077" s="13" t="str">
        <f t="shared" si="725"/>
        <v/>
      </c>
      <c r="X3077" s="14" t="str">
        <f t="shared" si="726"/>
        <v/>
      </c>
    </row>
    <row r="3078" spans="20:24" x14ac:dyDescent="0.3">
      <c r="T3078" s="13" t="str">
        <f t="shared" si="722"/>
        <v/>
      </c>
      <c r="U3078" s="14" t="str">
        <f t="shared" si="723"/>
        <v/>
      </c>
      <c r="V3078" s="13" t="str">
        <f t="shared" si="724"/>
        <v/>
      </c>
      <c r="W3078" s="13" t="str">
        <f t="shared" si="725"/>
        <v/>
      </c>
      <c r="X3078" s="14" t="str">
        <f t="shared" si="726"/>
        <v/>
      </c>
    </row>
    <row r="3079" spans="20:24" x14ac:dyDescent="0.3">
      <c r="T3079" s="13" t="str">
        <f t="shared" si="722"/>
        <v/>
      </c>
      <c r="U3079" s="14" t="str">
        <f t="shared" si="723"/>
        <v/>
      </c>
      <c r="V3079" s="13" t="str">
        <f t="shared" si="724"/>
        <v/>
      </c>
      <c r="W3079" s="13" t="str">
        <f t="shared" si="725"/>
        <v/>
      </c>
      <c r="X3079" s="14" t="str">
        <f t="shared" si="726"/>
        <v/>
      </c>
    </row>
    <row r="3080" spans="20:24" x14ac:dyDescent="0.3">
      <c r="T3080" s="13" t="str">
        <f t="shared" si="722"/>
        <v/>
      </c>
      <c r="U3080" s="14" t="str">
        <f t="shared" si="723"/>
        <v/>
      </c>
      <c r="V3080" s="13" t="str">
        <f t="shared" si="724"/>
        <v/>
      </c>
      <c r="W3080" s="13" t="str">
        <f t="shared" si="725"/>
        <v/>
      </c>
      <c r="X3080" s="14" t="str">
        <f t="shared" si="726"/>
        <v/>
      </c>
    </row>
    <row r="3081" spans="20:24" x14ac:dyDescent="0.3">
      <c r="T3081" s="13" t="str">
        <f t="shared" si="722"/>
        <v/>
      </c>
      <c r="U3081" s="14" t="str">
        <f t="shared" si="723"/>
        <v/>
      </c>
      <c r="V3081" s="13" t="str">
        <f t="shared" si="724"/>
        <v/>
      </c>
      <c r="W3081" s="13" t="str">
        <f t="shared" si="725"/>
        <v/>
      </c>
      <c r="X3081" s="14" t="str">
        <f t="shared" si="726"/>
        <v/>
      </c>
    </row>
    <row r="3082" spans="20:24" x14ac:dyDescent="0.3">
      <c r="T3082" s="13" t="str">
        <f t="shared" si="722"/>
        <v/>
      </c>
      <c r="U3082" s="14" t="str">
        <f t="shared" si="723"/>
        <v/>
      </c>
      <c r="V3082" s="13" t="str">
        <f t="shared" si="724"/>
        <v/>
      </c>
      <c r="W3082" s="13" t="str">
        <f t="shared" si="725"/>
        <v/>
      </c>
      <c r="X3082" s="14" t="str">
        <f t="shared" si="726"/>
        <v/>
      </c>
    </row>
    <row r="3083" spans="20:24" x14ac:dyDescent="0.3">
      <c r="T3083" s="13" t="str">
        <f t="shared" si="722"/>
        <v/>
      </c>
      <c r="U3083" s="14" t="str">
        <f t="shared" si="723"/>
        <v/>
      </c>
      <c r="V3083" s="13" t="str">
        <f t="shared" si="724"/>
        <v/>
      </c>
      <c r="W3083" s="13" t="str">
        <f t="shared" si="725"/>
        <v/>
      </c>
      <c r="X3083" s="14" t="str">
        <f t="shared" si="726"/>
        <v/>
      </c>
    </row>
    <row r="3084" spans="20:24" x14ac:dyDescent="0.3">
      <c r="T3084" s="13" t="str">
        <f t="shared" si="722"/>
        <v/>
      </c>
      <c r="U3084" s="14" t="str">
        <f t="shared" si="723"/>
        <v/>
      </c>
      <c r="V3084" s="13" t="str">
        <f t="shared" si="724"/>
        <v/>
      </c>
      <c r="W3084" s="13" t="str">
        <f t="shared" si="725"/>
        <v/>
      </c>
      <c r="X3084" s="14" t="str">
        <f t="shared" si="726"/>
        <v/>
      </c>
    </row>
    <row r="3085" spans="20:24" x14ac:dyDescent="0.3">
      <c r="T3085" s="13" t="str">
        <f t="shared" si="722"/>
        <v/>
      </c>
      <c r="U3085" s="14" t="str">
        <f t="shared" si="723"/>
        <v/>
      </c>
      <c r="V3085" s="13" t="str">
        <f t="shared" si="724"/>
        <v/>
      </c>
      <c r="W3085" s="13" t="str">
        <f t="shared" si="725"/>
        <v/>
      </c>
      <c r="X3085" s="14" t="str">
        <f t="shared" si="726"/>
        <v/>
      </c>
    </row>
    <row r="3086" spans="20:24" x14ac:dyDescent="0.3">
      <c r="T3086" s="13" t="str">
        <f t="shared" si="722"/>
        <v/>
      </c>
      <c r="U3086" s="14" t="str">
        <f t="shared" si="723"/>
        <v/>
      </c>
      <c r="V3086" s="13" t="str">
        <f t="shared" si="724"/>
        <v/>
      </c>
      <c r="W3086" s="13" t="str">
        <f t="shared" si="725"/>
        <v/>
      </c>
      <c r="X3086" s="14" t="str">
        <f t="shared" si="726"/>
        <v/>
      </c>
    </row>
    <row r="3087" spans="20:24" x14ac:dyDescent="0.3">
      <c r="T3087" s="13" t="str">
        <f t="shared" si="722"/>
        <v/>
      </c>
      <c r="U3087" s="14" t="str">
        <f t="shared" si="723"/>
        <v/>
      </c>
      <c r="V3087" s="13" t="str">
        <f t="shared" si="724"/>
        <v/>
      </c>
      <c r="W3087" s="13" t="str">
        <f t="shared" si="725"/>
        <v/>
      </c>
      <c r="X3087" s="14" t="str">
        <f t="shared" si="726"/>
        <v/>
      </c>
    </row>
    <row r="3088" spans="20:24" x14ac:dyDescent="0.3">
      <c r="T3088" s="13" t="str">
        <f t="shared" si="722"/>
        <v/>
      </c>
      <c r="U3088" s="14" t="str">
        <f t="shared" si="723"/>
        <v/>
      </c>
      <c r="V3088" s="13" t="str">
        <f t="shared" si="724"/>
        <v/>
      </c>
      <c r="W3088" s="13" t="str">
        <f t="shared" si="725"/>
        <v/>
      </c>
      <c r="X3088" s="14" t="str">
        <f t="shared" si="726"/>
        <v/>
      </c>
    </row>
    <row r="3089" spans="20:24" x14ac:dyDescent="0.3">
      <c r="T3089" s="13" t="str">
        <f t="shared" si="722"/>
        <v/>
      </c>
      <c r="U3089" s="14" t="str">
        <f t="shared" si="723"/>
        <v/>
      </c>
      <c r="V3089" s="13" t="str">
        <f t="shared" si="724"/>
        <v/>
      </c>
      <c r="W3089" s="13" t="str">
        <f t="shared" si="725"/>
        <v/>
      </c>
      <c r="X3089" s="14" t="str">
        <f t="shared" si="726"/>
        <v/>
      </c>
    </row>
    <row r="3090" spans="20:24" x14ac:dyDescent="0.3">
      <c r="T3090" s="13" t="str">
        <f t="shared" si="722"/>
        <v/>
      </c>
      <c r="U3090" s="14" t="str">
        <f t="shared" si="723"/>
        <v/>
      </c>
      <c r="V3090" s="13" t="str">
        <f t="shared" si="724"/>
        <v/>
      </c>
      <c r="W3090" s="13" t="str">
        <f t="shared" si="725"/>
        <v/>
      </c>
      <c r="X3090" s="14" t="str">
        <f t="shared" si="726"/>
        <v/>
      </c>
    </row>
    <row r="3091" spans="20:24" x14ac:dyDescent="0.3">
      <c r="T3091" s="13" t="str">
        <f t="shared" ref="T3091:T3154" si="727">IF(A3091="",IF(A3090="","",$T$1),IF(O3091=1,"#",IF(B3091=0,"*",DEC2HEX(R3091))))</f>
        <v/>
      </c>
      <c r="U3091" s="14" t="str">
        <f t="shared" ref="U3091:U3154" si="728">IF(A3091="",IF(A3090="","",$U$1),  IF(B3091=0,Q3091,I3091)  )</f>
        <v/>
      </c>
      <c r="V3091" s="13" t="str">
        <f t="shared" ref="V3091:V3154" si="729">IF(U3091=$U$1,"",IF(A3091="",IF(A3090="","",1),  IF(B3091=0,1,D3091)  ))</f>
        <v/>
      </c>
      <c r="W3091" s="13" t="str">
        <f t="shared" ref="W3091:W3154" si="730">IF(U3091=$U$1,"",IF(A3091="",IF(A3090="","",0),  IF(C3091=0,0,0)  ))</f>
        <v/>
      </c>
      <c r="X3091" s="14" t="str">
        <f t="shared" ref="X3091:X3154" si="731">IF(U3091=$U$1,"",IF(U3091="","",IF(B3091&gt;0,IF(Q3091&lt;&gt;"",Q3091,"No description"),"-")))</f>
        <v/>
      </c>
    </row>
    <row r="3092" spans="20:24" x14ac:dyDescent="0.3">
      <c r="T3092" s="13" t="str">
        <f t="shared" si="727"/>
        <v/>
      </c>
      <c r="U3092" s="14" t="str">
        <f t="shared" si="728"/>
        <v/>
      </c>
      <c r="V3092" s="13" t="str">
        <f t="shared" si="729"/>
        <v/>
      </c>
      <c r="W3092" s="13" t="str">
        <f t="shared" si="730"/>
        <v/>
      </c>
      <c r="X3092" s="14" t="str">
        <f t="shared" si="731"/>
        <v/>
      </c>
    </row>
    <row r="3093" spans="20:24" x14ac:dyDescent="0.3">
      <c r="T3093" s="13" t="str">
        <f t="shared" si="727"/>
        <v/>
      </c>
      <c r="U3093" s="14" t="str">
        <f t="shared" si="728"/>
        <v/>
      </c>
      <c r="V3093" s="13" t="str">
        <f t="shared" si="729"/>
        <v/>
      </c>
      <c r="W3093" s="13" t="str">
        <f t="shared" si="730"/>
        <v/>
      </c>
      <c r="X3093" s="14" t="str">
        <f t="shared" si="731"/>
        <v/>
      </c>
    </row>
    <row r="3094" spans="20:24" x14ac:dyDescent="0.3">
      <c r="T3094" s="13" t="str">
        <f t="shared" si="727"/>
        <v/>
      </c>
      <c r="U3094" s="14" t="str">
        <f t="shared" si="728"/>
        <v/>
      </c>
      <c r="V3094" s="13" t="str">
        <f t="shared" si="729"/>
        <v/>
      </c>
      <c r="W3094" s="13" t="str">
        <f t="shared" si="730"/>
        <v/>
      </c>
      <c r="X3094" s="14" t="str">
        <f t="shared" si="731"/>
        <v/>
      </c>
    </row>
    <row r="3095" spans="20:24" x14ac:dyDescent="0.3">
      <c r="T3095" s="13" t="str">
        <f t="shared" si="727"/>
        <v/>
      </c>
      <c r="U3095" s="14" t="str">
        <f t="shared" si="728"/>
        <v/>
      </c>
      <c r="V3095" s="13" t="str">
        <f t="shared" si="729"/>
        <v/>
      </c>
      <c r="W3095" s="13" t="str">
        <f t="shared" si="730"/>
        <v/>
      </c>
      <c r="X3095" s="14" t="str">
        <f t="shared" si="731"/>
        <v/>
      </c>
    </row>
    <row r="3096" spans="20:24" x14ac:dyDescent="0.3">
      <c r="T3096" s="13" t="str">
        <f t="shared" si="727"/>
        <v/>
      </c>
      <c r="U3096" s="14" t="str">
        <f t="shared" si="728"/>
        <v/>
      </c>
      <c r="V3096" s="13" t="str">
        <f t="shared" si="729"/>
        <v/>
      </c>
      <c r="W3096" s="13" t="str">
        <f t="shared" si="730"/>
        <v/>
      </c>
      <c r="X3096" s="14" t="str">
        <f t="shared" si="731"/>
        <v/>
      </c>
    </row>
    <row r="3097" spans="20:24" x14ac:dyDescent="0.3">
      <c r="T3097" s="13" t="str">
        <f t="shared" si="727"/>
        <v/>
      </c>
      <c r="U3097" s="14" t="str">
        <f t="shared" si="728"/>
        <v/>
      </c>
      <c r="V3097" s="13" t="str">
        <f t="shared" si="729"/>
        <v/>
      </c>
      <c r="W3097" s="13" t="str">
        <f t="shared" si="730"/>
        <v/>
      </c>
      <c r="X3097" s="14" t="str">
        <f t="shared" si="731"/>
        <v/>
      </c>
    </row>
    <row r="3098" spans="20:24" x14ac:dyDescent="0.3">
      <c r="T3098" s="13" t="str">
        <f t="shared" si="727"/>
        <v/>
      </c>
      <c r="U3098" s="14" t="str">
        <f t="shared" si="728"/>
        <v/>
      </c>
      <c r="V3098" s="13" t="str">
        <f t="shared" si="729"/>
        <v/>
      </c>
      <c r="W3098" s="13" t="str">
        <f t="shared" si="730"/>
        <v/>
      </c>
      <c r="X3098" s="14" t="str">
        <f t="shared" si="731"/>
        <v/>
      </c>
    </row>
    <row r="3099" spans="20:24" x14ac:dyDescent="0.3">
      <c r="T3099" s="13" t="str">
        <f t="shared" si="727"/>
        <v/>
      </c>
      <c r="U3099" s="14" t="str">
        <f t="shared" si="728"/>
        <v/>
      </c>
      <c r="V3099" s="13" t="str">
        <f t="shared" si="729"/>
        <v/>
      </c>
      <c r="W3099" s="13" t="str">
        <f t="shared" si="730"/>
        <v/>
      </c>
      <c r="X3099" s="14" t="str">
        <f t="shared" si="731"/>
        <v/>
      </c>
    </row>
    <row r="3100" spans="20:24" x14ac:dyDescent="0.3">
      <c r="T3100" s="13" t="str">
        <f t="shared" si="727"/>
        <v/>
      </c>
      <c r="U3100" s="14" t="str">
        <f t="shared" si="728"/>
        <v/>
      </c>
      <c r="V3100" s="13" t="str">
        <f t="shared" si="729"/>
        <v/>
      </c>
      <c r="W3100" s="13" t="str">
        <f t="shared" si="730"/>
        <v/>
      </c>
      <c r="X3100" s="14" t="str">
        <f t="shared" si="731"/>
        <v/>
      </c>
    </row>
    <row r="3101" spans="20:24" x14ac:dyDescent="0.3">
      <c r="T3101" s="13" t="str">
        <f t="shared" si="727"/>
        <v/>
      </c>
      <c r="U3101" s="14" t="str">
        <f t="shared" si="728"/>
        <v/>
      </c>
      <c r="V3101" s="13" t="str">
        <f t="shared" si="729"/>
        <v/>
      </c>
      <c r="W3101" s="13" t="str">
        <f t="shared" si="730"/>
        <v/>
      </c>
      <c r="X3101" s="14" t="str">
        <f t="shared" si="731"/>
        <v/>
      </c>
    </row>
    <row r="3102" spans="20:24" x14ac:dyDescent="0.3">
      <c r="T3102" s="13" t="str">
        <f t="shared" si="727"/>
        <v/>
      </c>
      <c r="U3102" s="14" t="str">
        <f t="shared" si="728"/>
        <v/>
      </c>
      <c r="V3102" s="13" t="str">
        <f t="shared" si="729"/>
        <v/>
      </c>
      <c r="W3102" s="13" t="str">
        <f t="shared" si="730"/>
        <v/>
      </c>
      <c r="X3102" s="14" t="str">
        <f t="shared" si="731"/>
        <v/>
      </c>
    </row>
    <row r="3103" spans="20:24" x14ac:dyDescent="0.3">
      <c r="T3103" s="13" t="str">
        <f t="shared" si="727"/>
        <v/>
      </c>
      <c r="U3103" s="14" t="str">
        <f t="shared" si="728"/>
        <v/>
      </c>
      <c r="V3103" s="13" t="str">
        <f t="shared" si="729"/>
        <v/>
      </c>
      <c r="W3103" s="13" t="str">
        <f t="shared" si="730"/>
        <v/>
      </c>
      <c r="X3103" s="14" t="str">
        <f t="shared" si="731"/>
        <v/>
      </c>
    </row>
    <row r="3104" spans="20:24" x14ac:dyDescent="0.3">
      <c r="T3104" s="13" t="str">
        <f t="shared" si="727"/>
        <v/>
      </c>
      <c r="U3104" s="14" t="str">
        <f t="shared" si="728"/>
        <v/>
      </c>
      <c r="V3104" s="13" t="str">
        <f t="shared" si="729"/>
        <v/>
      </c>
      <c r="W3104" s="13" t="str">
        <f t="shared" si="730"/>
        <v/>
      </c>
      <c r="X3104" s="14" t="str">
        <f t="shared" si="731"/>
        <v/>
      </c>
    </row>
    <row r="3105" spans="20:24" x14ac:dyDescent="0.3">
      <c r="T3105" s="13" t="str">
        <f t="shared" si="727"/>
        <v/>
      </c>
      <c r="U3105" s="14" t="str">
        <f t="shared" si="728"/>
        <v/>
      </c>
      <c r="V3105" s="13" t="str">
        <f t="shared" si="729"/>
        <v/>
      </c>
      <c r="W3105" s="13" t="str">
        <f t="shared" si="730"/>
        <v/>
      </c>
      <c r="X3105" s="14" t="str">
        <f t="shared" si="731"/>
        <v/>
      </c>
    </row>
    <row r="3106" spans="20:24" x14ac:dyDescent="0.3">
      <c r="T3106" s="13" t="str">
        <f t="shared" si="727"/>
        <v/>
      </c>
      <c r="U3106" s="14" t="str">
        <f t="shared" si="728"/>
        <v/>
      </c>
      <c r="V3106" s="13" t="str">
        <f t="shared" si="729"/>
        <v/>
      </c>
      <c r="W3106" s="13" t="str">
        <f t="shared" si="730"/>
        <v/>
      </c>
      <c r="X3106" s="14" t="str">
        <f t="shared" si="731"/>
        <v/>
      </c>
    </row>
    <row r="3107" spans="20:24" x14ac:dyDescent="0.3">
      <c r="T3107" s="13" t="str">
        <f t="shared" si="727"/>
        <v/>
      </c>
      <c r="U3107" s="14" t="str">
        <f t="shared" si="728"/>
        <v/>
      </c>
      <c r="V3107" s="13" t="str">
        <f t="shared" si="729"/>
        <v/>
      </c>
      <c r="W3107" s="13" t="str">
        <f t="shared" si="730"/>
        <v/>
      </c>
      <c r="X3107" s="14" t="str">
        <f t="shared" si="731"/>
        <v/>
      </c>
    </row>
    <row r="3108" spans="20:24" x14ac:dyDescent="0.3">
      <c r="T3108" s="13" t="str">
        <f t="shared" si="727"/>
        <v/>
      </c>
      <c r="U3108" s="14" t="str">
        <f t="shared" si="728"/>
        <v/>
      </c>
      <c r="V3108" s="13" t="str">
        <f t="shared" si="729"/>
        <v/>
      </c>
      <c r="W3108" s="13" t="str">
        <f t="shared" si="730"/>
        <v/>
      </c>
      <c r="X3108" s="14" t="str">
        <f t="shared" si="731"/>
        <v/>
      </c>
    </row>
    <row r="3109" spans="20:24" x14ac:dyDescent="0.3">
      <c r="T3109" s="13" t="str">
        <f t="shared" si="727"/>
        <v/>
      </c>
      <c r="U3109" s="14" t="str">
        <f t="shared" si="728"/>
        <v/>
      </c>
      <c r="V3109" s="13" t="str">
        <f t="shared" si="729"/>
        <v/>
      </c>
      <c r="W3109" s="13" t="str">
        <f t="shared" si="730"/>
        <v/>
      </c>
      <c r="X3109" s="14" t="str">
        <f t="shared" si="731"/>
        <v/>
      </c>
    </row>
    <row r="3110" spans="20:24" x14ac:dyDescent="0.3">
      <c r="T3110" s="13" t="str">
        <f t="shared" si="727"/>
        <v/>
      </c>
      <c r="U3110" s="14" t="str">
        <f t="shared" si="728"/>
        <v/>
      </c>
      <c r="V3110" s="13" t="str">
        <f t="shared" si="729"/>
        <v/>
      </c>
      <c r="W3110" s="13" t="str">
        <f t="shared" si="730"/>
        <v/>
      </c>
      <c r="X3110" s="14" t="str">
        <f t="shared" si="731"/>
        <v/>
      </c>
    </row>
    <row r="3111" spans="20:24" x14ac:dyDescent="0.3">
      <c r="T3111" s="13" t="str">
        <f t="shared" si="727"/>
        <v/>
      </c>
      <c r="U3111" s="14" t="str">
        <f t="shared" si="728"/>
        <v/>
      </c>
      <c r="V3111" s="13" t="str">
        <f t="shared" si="729"/>
        <v/>
      </c>
      <c r="W3111" s="13" t="str">
        <f t="shared" si="730"/>
        <v/>
      </c>
      <c r="X3111" s="14" t="str">
        <f t="shared" si="731"/>
        <v/>
      </c>
    </row>
    <row r="3112" spans="20:24" x14ac:dyDescent="0.3">
      <c r="T3112" s="13" t="str">
        <f t="shared" si="727"/>
        <v/>
      </c>
      <c r="U3112" s="14" t="str">
        <f t="shared" si="728"/>
        <v/>
      </c>
      <c r="V3112" s="13" t="str">
        <f t="shared" si="729"/>
        <v/>
      </c>
      <c r="W3112" s="13" t="str">
        <f t="shared" si="730"/>
        <v/>
      </c>
      <c r="X3112" s="14" t="str">
        <f t="shared" si="731"/>
        <v/>
      </c>
    </row>
    <row r="3113" spans="20:24" x14ac:dyDescent="0.3">
      <c r="T3113" s="13" t="str">
        <f t="shared" si="727"/>
        <v/>
      </c>
      <c r="U3113" s="14" t="str">
        <f t="shared" si="728"/>
        <v/>
      </c>
      <c r="V3113" s="13" t="str">
        <f t="shared" si="729"/>
        <v/>
      </c>
      <c r="W3113" s="13" t="str">
        <f t="shared" si="730"/>
        <v/>
      </c>
      <c r="X3113" s="14" t="str">
        <f t="shared" si="731"/>
        <v/>
      </c>
    </row>
    <row r="3114" spans="20:24" x14ac:dyDescent="0.3">
      <c r="T3114" s="13" t="str">
        <f t="shared" si="727"/>
        <v/>
      </c>
      <c r="U3114" s="14" t="str">
        <f t="shared" si="728"/>
        <v/>
      </c>
      <c r="V3114" s="13" t="str">
        <f t="shared" si="729"/>
        <v/>
      </c>
      <c r="W3114" s="13" t="str">
        <f t="shared" si="730"/>
        <v/>
      </c>
      <c r="X3114" s="14" t="str">
        <f t="shared" si="731"/>
        <v/>
      </c>
    </row>
    <row r="3115" spans="20:24" x14ac:dyDescent="0.3">
      <c r="T3115" s="13" t="str">
        <f t="shared" si="727"/>
        <v/>
      </c>
      <c r="U3115" s="14" t="str">
        <f t="shared" si="728"/>
        <v/>
      </c>
      <c r="V3115" s="13" t="str">
        <f t="shared" si="729"/>
        <v/>
      </c>
      <c r="W3115" s="13" t="str">
        <f t="shared" si="730"/>
        <v/>
      </c>
      <c r="X3115" s="14" t="str">
        <f t="shared" si="731"/>
        <v/>
      </c>
    </row>
    <row r="3116" spans="20:24" x14ac:dyDescent="0.3">
      <c r="T3116" s="13" t="str">
        <f t="shared" si="727"/>
        <v/>
      </c>
      <c r="U3116" s="14" t="str">
        <f t="shared" si="728"/>
        <v/>
      </c>
      <c r="V3116" s="13" t="str">
        <f t="shared" si="729"/>
        <v/>
      </c>
      <c r="W3116" s="13" t="str">
        <f t="shared" si="730"/>
        <v/>
      </c>
      <c r="X3116" s="14" t="str">
        <f t="shared" si="731"/>
        <v/>
      </c>
    </row>
    <row r="3117" spans="20:24" x14ac:dyDescent="0.3">
      <c r="T3117" s="13" t="str">
        <f t="shared" si="727"/>
        <v/>
      </c>
      <c r="U3117" s="14" t="str">
        <f t="shared" si="728"/>
        <v/>
      </c>
      <c r="V3117" s="13" t="str">
        <f t="shared" si="729"/>
        <v/>
      </c>
      <c r="W3117" s="13" t="str">
        <f t="shared" si="730"/>
        <v/>
      </c>
      <c r="X3117" s="14" t="str">
        <f t="shared" si="731"/>
        <v/>
      </c>
    </row>
    <row r="3118" spans="20:24" x14ac:dyDescent="0.3">
      <c r="T3118" s="13" t="str">
        <f t="shared" si="727"/>
        <v/>
      </c>
      <c r="U3118" s="14" t="str">
        <f t="shared" si="728"/>
        <v/>
      </c>
      <c r="V3118" s="13" t="str">
        <f t="shared" si="729"/>
        <v/>
      </c>
      <c r="W3118" s="13" t="str">
        <f t="shared" si="730"/>
        <v/>
      </c>
      <c r="X3118" s="14" t="str">
        <f t="shared" si="731"/>
        <v/>
      </c>
    </row>
    <row r="3119" spans="20:24" x14ac:dyDescent="0.3">
      <c r="T3119" s="13" t="str">
        <f t="shared" si="727"/>
        <v/>
      </c>
      <c r="U3119" s="14" t="str">
        <f t="shared" si="728"/>
        <v/>
      </c>
      <c r="V3119" s="13" t="str">
        <f t="shared" si="729"/>
        <v/>
      </c>
      <c r="W3119" s="13" t="str">
        <f t="shared" si="730"/>
        <v/>
      </c>
      <c r="X3119" s="14" t="str">
        <f t="shared" si="731"/>
        <v/>
      </c>
    </row>
    <row r="3120" spans="20:24" x14ac:dyDescent="0.3">
      <c r="T3120" s="13" t="str">
        <f t="shared" si="727"/>
        <v/>
      </c>
      <c r="U3120" s="14" t="str">
        <f t="shared" si="728"/>
        <v/>
      </c>
      <c r="V3120" s="13" t="str">
        <f t="shared" si="729"/>
        <v/>
      </c>
      <c r="W3120" s="13" t="str">
        <f t="shared" si="730"/>
        <v/>
      </c>
      <c r="X3120" s="14" t="str">
        <f t="shared" si="731"/>
        <v/>
      </c>
    </row>
    <row r="3121" spans="20:24" x14ac:dyDescent="0.3">
      <c r="T3121" s="13" t="str">
        <f t="shared" si="727"/>
        <v/>
      </c>
      <c r="U3121" s="14" t="str">
        <f t="shared" si="728"/>
        <v/>
      </c>
      <c r="V3121" s="13" t="str">
        <f t="shared" si="729"/>
        <v/>
      </c>
      <c r="W3121" s="13" t="str">
        <f t="shared" si="730"/>
        <v/>
      </c>
      <c r="X3121" s="14" t="str">
        <f t="shared" si="731"/>
        <v/>
      </c>
    </row>
    <row r="3122" spans="20:24" x14ac:dyDescent="0.3">
      <c r="T3122" s="13" t="str">
        <f t="shared" si="727"/>
        <v/>
      </c>
      <c r="U3122" s="14" t="str">
        <f t="shared" si="728"/>
        <v/>
      </c>
      <c r="V3122" s="13" t="str">
        <f t="shared" si="729"/>
        <v/>
      </c>
      <c r="W3122" s="13" t="str">
        <f t="shared" si="730"/>
        <v/>
      </c>
      <c r="X3122" s="14" t="str">
        <f t="shared" si="731"/>
        <v/>
      </c>
    </row>
    <row r="3123" spans="20:24" x14ac:dyDescent="0.3">
      <c r="T3123" s="13" t="str">
        <f t="shared" si="727"/>
        <v/>
      </c>
      <c r="U3123" s="14" t="str">
        <f t="shared" si="728"/>
        <v/>
      </c>
      <c r="V3123" s="13" t="str">
        <f t="shared" si="729"/>
        <v/>
      </c>
      <c r="W3123" s="13" t="str">
        <f t="shared" si="730"/>
        <v/>
      </c>
      <c r="X3123" s="14" t="str">
        <f t="shared" si="731"/>
        <v/>
      </c>
    </row>
    <row r="3124" spans="20:24" x14ac:dyDescent="0.3">
      <c r="T3124" s="13" t="str">
        <f t="shared" si="727"/>
        <v/>
      </c>
      <c r="U3124" s="14" t="str">
        <f t="shared" si="728"/>
        <v/>
      </c>
      <c r="V3124" s="13" t="str">
        <f t="shared" si="729"/>
        <v/>
      </c>
      <c r="W3124" s="13" t="str">
        <f t="shared" si="730"/>
        <v/>
      </c>
      <c r="X3124" s="14" t="str">
        <f t="shared" si="731"/>
        <v/>
      </c>
    </row>
    <row r="3125" spans="20:24" x14ac:dyDescent="0.3">
      <c r="T3125" s="13" t="str">
        <f t="shared" si="727"/>
        <v/>
      </c>
      <c r="U3125" s="14" t="str">
        <f t="shared" si="728"/>
        <v/>
      </c>
      <c r="V3125" s="13" t="str">
        <f t="shared" si="729"/>
        <v/>
      </c>
      <c r="W3125" s="13" t="str">
        <f t="shared" si="730"/>
        <v/>
      </c>
      <c r="X3125" s="14" t="str">
        <f t="shared" si="731"/>
        <v/>
      </c>
    </row>
    <row r="3126" spans="20:24" x14ac:dyDescent="0.3">
      <c r="T3126" s="13" t="str">
        <f t="shared" si="727"/>
        <v/>
      </c>
      <c r="U3126" s="14" t="str">
        <f t="shared" si="728"/>
        <v/>
      </c>
      <c r="V3126" s="13" t="str">
        <f t="shared" si="729"/>
        <v/>
      </c>
      <c r="W3126" s="13" t="str">
        <f t="shared" si="730"/>
        <v/>
      </c>
      <c r="X3126" s="14" t="str">
        <f t="shared" si="731"/>
        <v/>
      </c>
    </row>
    <row r="3127" spans="20:24" x14ac:dyDescent="0.3">
      <c r="T3127" s="13" t="str">
        <f t="shared" si="727"/>
        <v/>
      </c>
      <c r="U3127" s="14" t="str">
        <f t="shared" si="728"/>
        <v/>
      </c>
      <c r="V3127" s="13" t="str">
        <f t="shared" si="729"/>
        <v/>
      </c>
      <c r="W3127" s="13" t="str">
        <f t="shared" si="730"/>
        <v/>
      </c>
      <c r="X3127" s="14" t="str">
        <f t="shared" si="731"/>
        <v/>
      </c>
    </row>
    <row r="3128" spans="20:24" x14ac:dyDescent="0.3">
      <c r="T3128" s="13" t="str">
        <f t="shared" si="727"/>
        <v/>
      </c>
      <c r="U3128" s="14" t="str">
        <f t="shared" si="728"/>
        <v/>
      </c>
      <c r="V3128" s="13" t="str">
        <f t="shared" si="729"/>
        <v/>
      </c>
      <c r="W3128" s="13" t="str">
        <f t="shared" si="730"/>
        <v/>
      </c>
      <c r="X3128" s="14" t="str">
        <f t="shared" si="731"/>
        <v/>
      </c>
    </row>
    <row r="3129" spans="20:24" x14ac:dyDescent="0.3">
      <c r="T3129" s="13" t="str">
        <f t="shared" si="727"/>
        <v/>
      </c>
      <c r="U3129" s="14" t="str">
        <f t="shared" si="728"/>
        <v/>
      </c>
      <c r="V3129" s="13" t="str">
        <f t="shared" si="729"/>
        <v/>
      </c>
      <c r="W3129" s="13" t="str">
        <f t="shared" si="730"/>
        <v/>
      </c>
      <c r="X3129" s="14" t="str">
        <f t="shared" si="731"/>
        <v/>
      </c>
    </row>
    <row r="3130" spans="20:24" x14ac:dyDescent="0.3">
      <c r="T3130" s="13" t="str">
        <f t="shared" si="727"/>
        <v/>
      </c>
      <c r="U3130" s="14" t="str">
        <f t="shared" si="728"/>
        <v/>
      </c>
      <c r="V3130" s="13" t="str">
        <f t="shared" si="729"/>
        <v/>
      </c>
      <c r="W3130" s="13" t="str">
        <f t="shared" si="730"/>
        <v/>
      </c>
      <c r="X3130" s="14" t="str">
        <f t="shared" si="731"/>
        <v/>
      </c>
    </row>
    <row r="3131" spans="20:24" x14ac:dyDescent="0.3">
      <c r="T3131" s="13" t="str">
        <f t="shared" si="727"/>
        <v/>
      </c>
      <c r="U3131" s="14" t="str">
        <f t="shared" si="728"/>
        <v/>
      </c>
      <c r="V3131" s="13" t="str">
        <f t="shared" si="729"/>
        <v/>
      </c>
      <c r="W3131" s="13" t="str">
        <f t="shared" si="730"/>
        <v/>
      </c>
      <c r="X3131" s="14" t="str">
        <f t="shared" si="731"/>
        <v/>
      </c>
    </row>
    <row r="3132" spans="20:24" x14ac:dyDescent="0.3">
      <c r="T3132" s="13" t="str">
        <f t="shared" si="727"/>
        <v/>
      </c>
      <c r="U3132" s="14" t="str">
        <f t="shared" si="728"/>
        <v/>
      </c>
      <c r="V3132" s="13" t="str">
        <f t="shared" si="729"/>
        <v/>
      </c>
      <c r="W3132" s="13" t="str">
        <f t="shared" si="730"/>
        <v/>
      </c>
      <c r="X3132" s="14" t="str">
        <f t="shared" si="731"/>
        <v/>
      </c>
    </row>
    <row r="3133" spans="20:24" x14ac:dyDescent="0.3">
      <c r="T3133" s="13" t="str">
        <f t="shared" si="727"/>
        <v/>
      </c>
      <c r="U3133" s="14" t="str">
        <f t="shared" si="728"/>
        <v/>
      </c>
      <c r="V3133" s="13" t="str">
        <f t="shared" si="729"/>
        <v/>
      </c>
      <c r="W3133" s="13" t="str">
        <f t="shared" si="730"/>
        <v/>
      </c>
      <c r="X3133" s="14" t="str">
        <f t="shared" si="731"/>
        <v/>
      </c>
    </row>
    <row r="3134" spans="20:24" x14ac:dyDescent="0.3">
      <c r="T3134" s="13" t="str">
        <f t="shared" si="727"/>
        <v/>
      </c>
      <c r="U3134" s="14" t="str">
        <f t="shared" si="728"/>
        <v/>
      </c>
      <c r="V3134" s="13" t="str">
        <f t="shared" si="729"/>
        <v/>
      </c>
      <c r="W3134" s="13" t="str">
        <f t="shared" si="730"/>
        <v/>
      </c>
      <c r="X3134" s="14" t="str">
        <f t="shared" si="731"/>
        <v/>
      </c>
    </row>
    <row r="3135" spans="20:24" x14ac:dyDescent="0.3">
      <c r="T3135" s="13" t="str">
        <f t="shared" si="727"/>
        <v/>
      </c>
      <c r="U3135" s="14" t="str">
        <f t="shared" si="728"/>
        <v/>
      </c>
      <c r="V3135" s="13" t="str">
        <f t="shared" si="729"/>
        <v/>
      </c>
      <c r="W3135" s="13" t="str">
        <f t="shared" si="730"/>
        <v/>
      </c>
      <c r="X3135" s="14" t="str">
        <f t="shared" si="731"/>
        <v/>
      </c>
    </row>
    <row r="3136" spans="20:24" x14ac:dyDescent="0.3">
      <c r="T3136" s="13" t="str">
        <f t="shared" si="727"/>
        <v/>
      </c>
      <c r="U3136" s="14" t="str">
        <f t="shared" si="728"/>
        <v/>
      </c>
      <c r="V3136" s="13" t="str">
        <f t="shared" si="729"/>
        <v/>
      </c>
      <c r="W3136" s="13" t="str">
        <f t="shared" si="730"/>
        <v/>
      </c>
      <c r="X3136" s="14" t="str">
        <f t="shared" si="731"/>
        <v/>
      </c>
    </row>
    <row r="3137" spans="20:24" x14ac:dyDescent="0.3">
      <c r="T3137" s="13" t="str">
        <f t="shared" si="727"/>
        <v/>
      </c>
      <c r="U3137" s="14" t="str">
        <f t="shared" si="728"/>
        <v/>
      </c>
      <c r="V3137" s="13" t="str">
        <f t="shared" si="729"/>
        <v/>
      </c>
      <c r="W3137" s="13" t="str">
        <f t="shared" si="730"/>
        <v/>
      </c>
      <c r="X3137" s="14" t="str">
        <f t="shared" si="731"/>
        <v/>
      </c>
    </row>
    <row r="3138" spans="20:24" x14ac:dyDescent="0.3">
      <c r="T3138" s="13" t="str">
        <f t="shared" si="727"/>
        <v/>
      </c>
      <c r="U3138" s="14" t="str">
        <f t="shared" si="728"/>
        <v/>
      </c>
      <c r="V3138" s="13" t="str">
        <f t="shared" si="729"/>
        <v/>
      </c>
      <c r="W3138" s="13" t="str">
        <f t="shared" si="730"/>
        <v/>
      </c>
      <c r="X3138" s="14" t="str">
        <f t="shared" si="731"/>
        <v/>
      </c>
    </row>
    <row r="3139" spans="20:24" x14ac:dyDescent="0.3">
      <c r="T3139" s="13" t="str">
        <f t="shared" si="727"/>
        <v/>
      </c>
      <c r="U3139" s="14" t="str">
        <f t="shared" si="728"/>
        <v/>
      </c>
      <c r="V3139" s="13" t="str">
        <f t="shared" si="729"/>
        <v/>
      </c>
      <c r="W3139" s="13" t="str">
        <f t="shared" si="730"/>
        <v/>
      </c>
      <c r="X3139" s="14" t="str">
        <f t="shared" si="731"/>
        <v/>
      </c>
    </row>
    <row r="3140" spans="20:24" x14ac:dyDescent="0.3">
      <c r="T3140" s="13" t="str">
        <f t="shared" si="727"/>
        <v/>
      </c>
      <c r="U3140" s="14" t="str">
        <f t="shared" si="728"/>
        <v/>
      </c>
      <c r="V3140" s="13" t="str">
        <f t="shared" si="729"/>
        <v/>
      </c>
      <c r="W3140" s="13" t="str">
        <f t="shared" si="730"/>
        <v/>
      </c>
      <c r="X3140" s="14" t="str">
        <f t="shared" si="731"/>
        <v/>
      </c>
    </row>
    <row r="3141" spans="20:24" x14ac:dyDescent="0.3">
      <c r="T3141" s="13" t="str">
        <f t="shared" si="727"/>
        <v/>
      </c>
      <c r="U3141" s="14" t="str">
        <f t="shared" si="728"/>
        <v/>
      </c>
      <c r="V3141" s="13" t="str">
        <f t="shared" si="729"/>
        <v/>
      </c>
      <c r="W3141" s="13" t="str">
        <f t="shared" si="730"/>
        <v/>
      </c>
      <c r="X3141" s="14" t="str">
        <f t="shared" si="731"/>
        <v/>
      </c>
    </row>
    <row r="3142" spans="20:24" x14ac:dyDescent="0.3">
      <c r="T3142" s="13" t="str">
        <f t="shared" si="727"/>
        <v/>
      </c>
      <c r="U3142" s="14" t="str">
        <f t="shared" si="728"/>
        <v/>
      </c>
      <c r="V3142" s="13" t="str">
        <f t="shared" si="729"/>
        <v/>
      </c>
      <c r="W3142" s="13" t="str">
        <f t="shared" si="730"/>
        <v/>
      </c>
      <c r="X3142" s="14" t="str">
        <f t="shared" si="731"/>
        <v/>
      </c>
    </row>
    <row r="3143" spans="20:24" x14ac:dyDescent="0.3">
      <c r="T3143" s="13" t="str">
        <f t="shared" si="727"/>
        <v/>
      </c>
      <c r="U3143" s="14" t="str">
        <f t="shared" si="728"/>
        <v/>
      </c>
      <c r="V3143" s="13" t="str">
        <f t="shared" si="729"/>
        <v/>
      </c>
      <c r="W3143" s="13" t="str">
        <f t="shared" si="730"/>
        <v/>
      </c>
      <c r="X3143" s="14" t="str">
        <f t="shared" si="731"/>
        <v/>
      </c>
    </row>
    <row r="3144" spans="20:24" x14ac:dyDescent="0.3">
      <c r="T3144" s="13" t="str">
        <f t="shared" si="727"/>
        <v/>
      </c>
      <c r="U3144" s="14" t="str">
        <f t="shared" si="728"/>
        <v/>
      </c>
      <c r="V3144" s="13" t="str">
        <f t="shared" si="729"/>
        <v/>
      </c>
      <c r="W3144" s="13" t="str">
        <f t="shared" si="730"/>
        <v/>
      </c>
      <c r="X3144" s="14" t="str">
        <f t="shared" si="731"/>
        <v/>
      </c>
    </row>
    <row r="3145" spans="20:24" x14ac:dyDescent="0.3">
      <c r="T3145" s="13" t="str">
        <f t="shared" si="727"/>
        <v/>
      </c>
      <c r="U3145" s="14" t="str">
        <f t="shared" si="728"/>
        <v/>
      </c>
      <c r="V3145" s="13" t="str">
        <f t="shared" si="729"/>
        <v/>
      </c>
      <c r="W3145" s="13" t="str">
        <f t="shared" si="730"/>
        <v/>
      </c>
      <c r="X3145" s="14" t="str">
        <f t="shared" si="731"/>
        <v/>
      </c>
    </row>
    <row r="3146" spans="20:24" x14ac:dyDescent="0.3">
      <c r="T3146" s="13" t="str">
        <f t="shared" si="727"/>
        <v/>
      </c>
      <c r="U3146" s="14" t="str">
        <f t="shared" si="728"/>
        <v/>
      </c>
      <c r="V3146" s="13" t="str">
        <f t="shared" si="729"/>
        <v/>
      </c>
      <c r="W3146" s="13" t="str">
        <f t="shared" si="730"/>
        <v/>
      </c>
      <c r="X3146" s="14" t="str">
        <f t="shared" si="731"/>
        <v/>
      </c>
    </row>
    <row r="3147" spans="20:24" x14ac:dyDescent="0.3">
      <c r="T3147" s="13" t="str">
        <f t="shared" si="727"/>
        <v/>
      </c>
      <c r="U3147" s="14" t="str">
        <f t="shared" si="728"/>
        <v/>
      </c>
      <c r="V3147" s="13" t="str">
        <f t="shared" si="729"/>
        <v/>
      </c>
      <c r="W3147" s="13" t="str">
        <f t="shared" si="730"/>
        <v/>
      </c>
      <c r="X3147" s="14" t="str">
        <f t="shared" si="731"/>
        <v/>
      </c>
    </row>
    <row r="3148" spans="20:24" x14ac:dyDescent="0.3">
      <c r="T3148" s="13" t="str">
        <f t="shared" si="727"/>
        <v/>
      </c>
      <c r="U3148" s="14" t="str">
        <f t="shared" si="728"/>
        <v/>
      </c>
      <c r="V3148" s="13" t="str">
        <f t="shared" si="729"/>
        <v/>
      </c>
      <c r="W3148" s="13" t="str">
        <f t="shared" si="730"/>
        <v/>
      </c>
      <c r="X3148" s="14" t="str">
        <f t="shared" si="731"/>
        <v/>
      </c>
    </row>
    <row r="3149" spans="20:24" x14ac:dyDescent="0.3">
      <c r="T3149" s="13" t="str">
        <f t="shared" si="727"/>
        <v/>
      </c>
      <c r="U3149" s="14" t="str">
        <f t="shared" si="728"/>
        <v/>
      </c>
      <c r="V3149" s="13" t="str">
        <f t="shared" si="729"/>
        <v/>
      </c>
      <c r="W3149" s="13" t="str">
        <f t="shared" si="730"/>
        <v/>
      </c>
      <c r="X3149" s="14" t="str">
        <f t="shared" si="731"/>
        <v/>
      </c>
    </row>
    <row r="3150" spans="20:24" x14ac:dyDescent="0.3">
      <c r="T3150" s="13" t="str">
        <f t="shared" si="727"/>
        <v/>
      </c>
      <c r="U3150" s="14" t="str">
        <f t="shared" si="728"/>
        <v/>
      </c>
      <c r="V3150" s="13" t="str">
        <f t="shared" si="729"/>
        <v/>
      </c>
      <c r="W3150" s="13" t="str">
        <f t="shared" si="730"/>
        <v/>
      </c>
      <c r="X3150" s="14" t="str">
        <f t="shared" si="731"/>
        <v/>
      </c>
    </row>
    <row r="3151" spans="20:24" x14ac:dyDescent="0.3">
      <c r="T3151" s="13" t="str">
        <f t="shared" si="727"/>
        <v/>
      </c>
      <c r="U3151" s="14" t="str">
        <f t="shared" si="728"/>
        <v/>
      </c>
      <c r="V3151" s="13" t="str">
        <f t="shared" si="729"/>
        <v/>
      </c>
      <c r="W3151" s="13" t="str">
        <f t="shared" si="730"/>
        <v/>
      </c>
      <c r="X3151" s="14" t="str">
        <f t="shared" si="731"/>
        <v/>
      </c>
    </row>
    <row r="3152" spans="20:24" x14ac:dyDescent="0.3">
      <c r="T3152" s="13" t="str">
        <f t="shared" si="727"/>
        <v/>
      </c>
      <c r="U3152" s="14" t="str">
        <f t="shared" si="728"/>
        <v/>
      </c>
      <c r="V3152" s="13" t="str">
        <f t="shared" si="729"/>
        <v/>
      </c>
      <c r="W3152" s="13" t="str">
        <f t="shared" si="730"/>
        <v/>
      </c>
      <c r="X3152" s="14" t="str">
        <f t="shared" si="731"/>
        <v/>
      </c>
    </row>
    <row r="3153" spans="20:24" x14ac:dyDescent="0.3">
      <c r="T3153" s="13" t="str">
        <f t="shared" si="727"/>
        <v/>
      </c>
      <c r="U3153" s="14" t="str">
        <f t="shared" si="728"/>
        <v/>
      </c>
      <c r="V3153" s="13" t="str">
        <f t="shared" si="729"/>
        <v/>
      </c>
      <c r="W3153" s="13" t="str">
        <f t="shared" si="730"/>
        <v/>
      </c>
      <c r="X3153" s="14" t="str">
        <f t="shared" si="731"/>
        <v/>
      </c>
    </row>
    <row r="3154" spans="20:24" x14ac:dyDescent="0.3">
      <c r="T3154" s="13" t="str">
        <f t="shared" si="727"/>
        <v/>
      </c>
      <c r="U3154" s="14" t="str">
        <f t="shared" si="728"/>
        <v/>
      </c>
      <c r="V3154" s="13" t="str">
        <f t="shared" si="729"/>
        <v/>
      </c>
      <c r="W3154" s="13" t="str">
        <f t="shared" si="730"/>
        <v/>
      </c>
      <c r="X3154" s="14" t="str">
        <f t="shared" si="731"/>
        <v/>
      </c>
    </row>
    <row r="3155" spans="20:24" x14ac:dyDescent="0.3">
      <c r="T3155" s="13" t="str">
        <f t="shared" ref="T3155:T3218" si="732">IF(A3155="",IF(A3154="","",$T$1),IF(O3155=1,"#",IF(B3155=0,"*",DEC2HEX(R3155))))</f>
        <v/>
      </c>
      <c r="U3155" s="14" t="str">
        <f t="shared" ref="U3155:U3218" si="733">IF(A3155="",IF(A3154="","",$U$1),  IF(B3155=0,Q3155,I3155)  )</f>
        <v/>
      </c>
      <c r="V3155" s="13" t="str">
        <f t="shared" ref="V3155:V3218" si="734">IF(U3155=$U$1,"",IF(A3155="",IF(A3154="","",1),  IF(B3155=0,1,D3155)  ))</f>
        <v/>
      </c>
      <c r="W3155" s="13" t="str">
        <f t="shared" ref="W3155:W3218" si="735">IF(U3155=$U$1,"",IF(A3155="",IF(A3154="","",0),  IF(C3155=0,0,0)  ))</f>
        <v/>
      </c>
      <c r="X3155" s="14" t="str">
        <f t="shared" ref="X3155:X3218" si="736">IF(U3155=$U$1,"",IF(U3155="","",IF(B3155&gt;0,IF(Q3155&lt;&gt;"",Q3155,"No description"),"-")))</f>
        <v/>
      </c>
    </row>
    <row r="3156" spans="20:24" x14ac:dyDescent="0.3">
      <c r="T3156" s="13" t="str">
        <f t="shared" si="732"/>
        <v/>
      </c>
      <c r="U3156" s="14" t="str">
        <f t="shared" si="733"/>
        <v/>
      </c>
      <c r="V3156" s="13" t="str">
        <f t="shared" si="734"/>
        <v/>
      </c>
      <c r="W3156" s="13" t="str">
        <f t="shared" si="735"/>
        <v/>
      </c>
      <c r="X3156" s="14" t="str">
        <f t="shared" si="736"/>
        <v/>
      </c>
    </row>
    <row r="3157" spans="20:24" x14ac:dyDescent="0.3">
      <c r="T3157" s="13" t="str">
        <f t="shared" si="732"/>
        <v/>
      </c>
      <c r="U3157" s="14" t="str">
        <f t="shared" si="733"/>
        <v/>
      </c>
      <c r="V3157" s="13" t="str">
        <f t="shared" si="734"/>
        <v/>
      </c>
      <c r="W3157" s="13" t="str">
        <f t="shared" si="735"/>
        <v/>
      </c>
      <c r="X3157" s="14" t="str">
        <f t="shared" si="736"/>
        <v/>
      </c>
    </row>
    <row r="3158" spans="20:24" x14ac:dyDescent="0.3">
      <c r="T3158" s="13" t="str">
        <f t="shared" si="732"/>
        <v/>
      </c>
      <c r="U3158" s="14" t="str">
        <f t="shared" si="733"/>
        <v/>
      </c>
      <c r="V3158" s="13" t="str">
        <f t="shared" si="734"/>
        <v/>
      </c>
      <c r="W3158" s="13" t="str">
        <f t="shared" si="735"/>
        <v/>
      </c>
      <c r="X3158" s="14" t="str">
        <f t="shared" si="736"/>
        <v/>
      </c>
    </row>
    <row r="3159" spans="20:24" x14ac:dyDescent="0.3">
      <c r="T3159" s="13" t="str">
        <f t="shared" si="732"/>
        <v/>
      </c>
      <c r="U3159" s="14" t="str">
        <f t="shared" si="733"/>
        <v/>
      </c>
      <c r="V3159" s="13" t="str">
        <f t="shared" si="734"/>
        <v/>
      </c>
      <c r="W3159" s="13" t="str">
        <f t="shared" si="735"/>
        <v/>
      </c>
      <c r="X3159" s="14" t="str">
        <f t="shared" si="736"/>
        <v/>
      </c>
    </row>
    <row r="3160" spans="20:24" x14ac:dyDescent="0.3">
      <c r="T3160" s="13" t="str">
        <f t="shared" si="732"/>
        <v/>
      </c>
      <c r="U3160" s="14" t="str">
        <f t="shared" si="733"/>
        <v/>
      </c>
      <c r="V3160" s="13" t="str">
        <f t="shared" si="734"/>
        <v/>
      </c>
      <c r="W3160" s="13" t="str">
        <f t="shared" si="735"/>
        <v/>
      </c>
      <c r="X3160" s="14" t="str">
        <f t="shared" si="736"/>
        <v/>
      </c>
    </row>
    <row r="3161" spans="20:24" x14ac:dyDescent="0.3">
      <c r="T3161" s="13" t="str">
        <f t="shared" si="732"/>
        <v/>
      </c>
      <c r="U3161" s="14" t="str">
        <f t="shared" si="733"/>
        <v/>
      </c>
      <c r="V3161" s="13" t="str">
        <f t="shared" si="734"/>
        <v/>
      </c>
      <c r="W3161" s="13" t="str">
        <f t="shared" si="735"/>
        <v/>
      </c>
      <c r="X3161" s="14" t="str">
        <f t="shared" si="736"/>
        <v/>
      </c>
    </row>
    <row r="3162" spans="20:24" x14ac:dyDescent="0.3">
      <c r="T3162" s="13" t="str">
        <f t="shared" si="732"/>
        <v/>
      </c>
      <c r="U3162" s="14" t="str">
        <f t="shared" si="733"/>
        <v/>
      </c>
      <c r="V3162" s="13" t="str">
        <f t="shared" si="734"/>
        <v/>
      </c>
      <c r="W3162" s="13" t="str">
        <f t="shared" si="735"/>
        <v/>
      </c>
      <c r="X3162" s="14" t="str">
        <f t="shared" si="736"/>
        <v/>
      </c>
    </row>
    <row r="3163" spans="20:24" x14ac:dyDescent="0.3">
      <c r="T3163" s="13" t="str">
        <f t="shared" si="732"/>
        <v/>
      </c>
      <c r="U3163" s="14" t="str">
        <f t="shared" si="733"/>
        <v/>
      </c>
      <c r="V3163" s="13" t="str">
        <f t="shared" si="734"/>
        <v/>
      </c>
      <c r="W3163" s="13" t="str">
        <f t="shared" si="735"/>
        <v/>
      </c>
      <c r="X3163" s="14" t="str">
        <f t="shared" si="736"/>
        <v/>
      </c>
    </row>
    <row r="3164" spans="20:24" x14ac:dyDescent="0.3">
      <c r="T3164" s="13" t="str">
        <f t="shared" si="732"/>
        <v/>
      </c>
      <c r="U3164" s="14" t="str">
        <f t="shared" si="733"/>
        <v/>
      </c>
      <c r="V3164" s="13" t="str">
        <f t="shared" si="734"/>
        <v/>
      </c>
      <c r="W3164" s="13" t="str">
        <f t="shared" si="735"/>
        <v/>
      </c>
      <c r="X3164" s="14" t="str">
        <f t="shared" si="736"/>
        <v/>
      </c>
    </row>
    <row r="3165" spans="20:24" x14ac:dyDescent="0.3">
      <c r="T3165" s="13" t="str">
        <f t="shared" si="732"/>
        <v/>
      </c>
      <c r="U3165" s="14" t="str">
        <f t="shared" si="733"/>
        <v/>
      </c>
      <c r="V3165" s="13" t="str">
        <f t="shared" si="734"/>
        <v/>
      </c>
      <c r="W3165" s="13" t="str">
        <f t="shared" si="735"/>
        <v/>
      </c>
      <c r="X3165" s="14" t="str">
        <f t="shared" si="736"/>
        <v/>
      </c>
    </row>
    <row r="3166" spans="20:24" x14ac:dyDescent="0.3">
      <c r="T3166" s="13" t="str">
        <f t="shared" si="732"/>
        <v/>
      </c>
      <c r="U3166" s="14" t="str">
        <f t="shared" si="733"/>
        <v/>
      </c>
      <c r="V3166" s="13" t="str">
        <f t="shared" si="734"/>
        <v/>
      </c>
      <c r="W3166" s="13" t="str">
        <f t="shared" si="735"/>
        <v/>
      </c>
      <c r="X3166" s="14" t="str">
        <f t="shared" si="736"/>
        <v/>
      </c>
    </row>
    <row r="3167" spans="20:24" x14ac:dyDescent="0.3">
      <c r="T3167" s="13" t="str">
        <f t="shared" si="732"/>
        <v/>
      </c>
      <c r="U3167" s="14" t="str">
        <f t="shared" si="733"/>
        <v/>
      </c>
      <c r="V3167" s="13" t="str">
        <f t="shared" si="734"/>
        <v/>
      </c>
      <c r="W3167" s="13" t="str">
        <f t="shared" si="735"/>
        <v/>
      </c>
      <c r="X3167" s="14" t="str">
        <f t="shared" si="736"/>
        <v/>
      </c>
    </row>
    <row r="3168" spans="20:24" x14ac:dyDescent="0.3">
      <c r="T3168" s="13" t="str">
        <f t="shared" si="732"/>
        <v/>
      </c>
      <c r="U3168" s="14" t="str">
        <f t="shared" si="733"/>
        <v/>
      </c>
      <c r="V3168" s="13" t="str">
        <f t="shared" si="734"/>
        <v/>
      </c>
      <c r="W3168" s="13" t="str">
        <f t="shared" si="735"/>
        <v/>
      </c>
      <c r="X3168" s="14" t="str">
        <f t="shared" si="736"/>
        <v/>
      </c>
    </row>
    <row r="3169" spans="20:24" x14ac:dyDescent="0.3">
      <c r="T3169" s="13" t="str">
        <f t="shared" si="732"/>
        <v/>
      </c>
      <c r="U3169" s="14" t="str">
        <f t="shared" si="733"/>
        <v/>
      </c>
      <c r="V3169" s="13" t="str">
        <f t="shared" si="734"/>
        <v/>
      </c>
      <c r="W3169" s="13" t="str">
        <f t="shared" si="735"/>
        <v/>
      </c>
      <c r="X3169" s="14" t="str">
        <f t="shared" si="736"/>
        <v/>
      </c>
    </row>
    <row r="3170" spans="20:24" x14ac:dyDescent="0.3">
      <c r="T3170" s="13" t="str">
        <f t="shared" si="732"/>
        <v/>
      </c>
      <c r="U3170" s="14" t="str">
        <f t="shared" si="733"/>
        <v/>
      </c>
      <c r="V3170" s="13" t="str">
        <f t="shared" si="734"/>
        <v/>
      </c>
      <c r="W3170" s="13" t="str">
        <f t="shared" si="735"/>
        <v/>
      </c>
      <c r="X3170" s="14" t="str">
        <f t="shared" si="736"/>
        <v/>
      </c>
    </row>
    <row r="3171" spans="20:24" x14ac:dyDescent="0.3">
      <c r="T3171" s="13" t="str">
        <f t="shared" si="732"/>
        <v/>
      </c>
      <c r="U3171" s="14" t="str">
        <f t="shared" si="733"/>
        <v/>
      </c>
      <c r="V3171" s="13" t="str">
        <f t="shared" si="734"/>
        <v/>
      </c>
      <c r="W3171" s="13" t="str">
        <f t="shared" si="735"/>
        <v/>
      </c>
      <c r="X3171" s="14" t="str">
        <f t="shared" si="736"/>
        <v/>
      </c>
    </row>
    <row r="3172" spans="20:24" x14ac:dyDescent="0.3">
      <c r="T3172" s="13" t="str">
        <f t="shared" si="732"/>
        <v/>
      </c>
      <c r="U3172" s="14" t="str">
        <f t="shared" si="733"/>
        <v/>
      </c>
      <c r="V3172" s="13" t="str">
        <f t="shared" si="734"/>
        <v/>
      </c>
      <c r="W3172" s="13" t="str">
        <f t="shared" si="735"/>
        <v/>
      </c>
      <c r="X3172" s="14" t="str">
        <f t="shared" si="736"/>
        <v/>
      </c>
    </row>
    <row r="3173" spans="20:24" x14ac:dyDescent="0.3">
      <c r="T3173" s="13" t="str">
        <f t="shared" si="732"/>
        <v/>
      </c>
      <c r="U3173" s="14" t="str">
        <f t="shared" si="733"/>
        <v/>
      </c>
      <c r="V3173" s="13" t="str">
        <f t="shared" si="734"/>
        <v/>
      </c>
      <c r="W3173" s="13" t="str">
        <f t="shared" si="735"/>
        <v/>
      </c>
      <c r="X3173" s="14" t="str">
        <f t="shared" si="736"/>
        <v/>
      </c>
    </row>
    <row r="3174" spans="20:24" x14ac:dyDescent="0.3">
      <c r="T3174" s="13" t="str">
        <f t="shared" si="732"/>
        <v/>
      </c>
      <c r="U3174" s="14" t="str">
        <f t="shared" si="733"/>
        <v/>
      </c>
      <c r="V3174" s="13" t="str">
        <f t="shared" si="734"/>
        <v/>
      </c>
      <c r="W3174" s="13" t="str">
        <f t="shared" si="735"/>
        <v/>
      </c>
      <c r="X3174" s="14" t="str">
        <f t="shared" si="736"/>
        <v/>
      </c>
    </row>
    <row r="3175" spans="20:24" x14ac:dyDescent="0.3">
      <c r="T3175" s="13" t="str">
        <f t="shared" si="732"/>
        <v/>
      </c>
      <c r="U3175" s="14" t="str">
        <f t="shared" si="733"/>
        <v/>
      </c>
      <c r="V3175" s="13" t="str">
        <f t="shared" si="734"/>
        <v/>
      </c>
      <c r="W3175" s="13" t="str">
        <f t="shared" si="735"/>
        <v/>
      </c>
      <c r="X3175" s="14" t="str">
        <f t="shared" si="736"/>
        <v/>
      </c>
    </row>
    <row r="3176" spans="20:24" x14ac:dyDescent="0.3">
      <c r="T3176" s="13" t="str">
        <f t="shared" si="732"/>
        <v/>
      </c>
      <c r="U3176" s="14" t="str">
        <f t="shared" si="733"/>
        <v/>
      </c>
      <c r="V3176" s="13" t="str">
        <f t="shared" si="734"/>
        <v/>
      </c>
      <c r="W3176" s="13" t="str">
        <f t="shared" si="735"/>
        <v/>
      </c>
      <c r="X3176" s="14" t="str">
        <f t="shared" si="736"/>
        <v/>
      </c>
    </row>
    <row r="3177" spans="20:24" x14ac:dyDescent="0.3">
      <c r="T3177" s="13" t="str">
        <f t="shared" si="732"/>
        <v/>
      </c>
      <c r="U3177" s="14" t="str">
        <f t="shared" si="733"/>
        <v/>
      </c>
      <c r="V3177" s="13" t="str">
        <f t="shared" si="734"/>
        <v/>
      </c>
      <c r="W3177" s="13" t="str">
        <f t="shared" si="735"/>
        <v/>
      </c>
      <c r="X3177" s="14" t="str">
        <f t="shared" si="736"/>
        <v/>
      </c>
    </row>
    <row r="3178" spans="20:24" x14ac:dyDescent="0.3">
      <c r="T3178" s="13" t="str">
        <f t="shared" si="732"/>
        <v/>
      </c>
      <c r="U3178" s="14" t="str">
        <f t="shared" si="733"/>
        <v/>
      </c>
      <c r="V3178" s="13" t="str">
        <f t="shared" si="734"/>
        <v/>
      </c>
      <c r="W3178" s="13" t="str">
        <f t="shared" si="735"/>
        <v/>
      </c>
      <c r="X3178" s="14" t="str">
        <f t="shared" si="736"/>
        <v/>
      </c>
    </row>
    <row r="3179" spans="20:24" x14ac:dyDescent="0.3">
      <c r="T3179" s="13" t="str">
        <f t="shared" si="732"/>
        <v/>
      </c>
      <c r="U3179" s="14" t="str">
        <f t="shared" si="733"/>
        <v/>
      </c>
      <c r="V3179" s="13" t="str">
        <f t="shared" si="734"/>
        <v/>
      </c>
      <c r="W3179" s="13" t="str">
        <f t="shared" si="735"/>
        <v/>
      </c>
      <c r="X3179" s="14" t="str">
        <f t="shared" si="736"/>
        <v/>
      </c>
    </row>
    <row r="3180" spans="20:24" x14ac:dyDescent="0.3">
      <c r="T3180" s="13" t="str">
        <f t="shared" si="732"/>
        <v/>
      </c>
      <c r="U3180" s="14" t="str">
        <f t="shared" si="733"/>
        <v/>
      </c>
      <c r="V3180" s="13" t="str">
        <f t="shared" si="734"/>
        <v/>
      </c>
      <c r="W3180" s="13" t="str">
        <f t="shared" si="735"/>
        <v/>
      </c>
      <c r="X3180" s="14" t="str">
        <f t="shared" si="736"/>
        <v/>
      </c>
    </row>
    <row r="3181" spans="20:24" x14ac:dyDescent="0.3">
      <c r="T3181" s="13" t="str">
        <f t="shared" si="732"/>
        <v/>
      </c>
      <c r="U3181" s="14" t="str">
        <f t="shared" si="733"/>
        <v/>
      </c>
      <c r="V3181" s="13" t="str">
        <f t="shared" si="734"/>
        <v/>
      </c>
      <c r="W3181" s="13" t="str">
        <f t="shared" si="735"/>
        <v/>
      </c>
      <c r="X3181" s="14" t="str">
        <f t="shared" si="736"/>
        <v/>
      </c>
    </row>
    <row r="3182" spans="20:24" x14ac:dyDescent="0.3">
      <c r="T3182" s="13" t="str">
        <f t="shared" si="732"/>
        <v/>
      </c>
      <c r="U3182" s="14" t="str">
        <f t="shared" si="733"/>
        <v/>
      </c>
      <c r="V3182" s="13" t="str">
        <f t="shared" si="734"/>
        <v/>
      </c>
      <c r="W3182" s="13" t="str">
        <f t="shared" si="735"/>
        <v/>
      </c>
      <c r="X3182" s="14" t="str">
        <f t="shared" si="736"/>
        <v/>
      </c>
    </row>
    <row r="3183" spans="20:24" x14ac:dyDescent="0.3">
      <c r="T3183" s="13" t="str">
        <f t="shared" si="732"/>
        <v/>
      </c>
      <c r="U3183" s="14" t="str">
        <f t="shared" si="733"/>
        <v/>
      </c>
      <c r="V3183" s="13" t="str">
        <f t="shared" si="734"/>
        <v/>
      </c>
      <c r="W3183" s="13" t="str">
        <f t="shared" si="735"/>
        <v/>
      </c>
      <c r="X3183" s="14" t="str">
        <f t="shared" si="736"/>
        <v/>
      </c>
    </row>
    <row r="3184" spans="20:24" x14ac:dyDescent="0.3">
      <c r="T3184" s="13" t="str">
        <f t="shared" si="732"/>
        <v/>
      </c>
      <c r="U3184" s="14" t="str">
        <f t="shared" si="733"/>
        <v/>
      </c>
      <c r="V3184" s="13" t="str">
        <f t="shared" si="734"/>
        <v/>
      </c>
      <c r="W3184" s="13" t="str">
        <f t="shared" si="735"/>
        <v/>
      </c>
      <c r="X3184" s="14" t="str">
        <f t="shared" si="736"/>
        <v/>
      </c>
    </row>
    <row r="3185" spans="20:24" x14ac:dyDescent="0.3">
      <c r="T3185" s="13" t="str">
        <f t="shared" si="732"/>
        <v/>
      </c>
      <c r="U3185" s="14" t="str">
        <f t="shared" si="733"/>
        <v/>
      </c>
      <c r="V3185" s="13" t="str">
        <f t="shared" si="734"/>
        <v/>
      </c>
      <c r="W3185" s="13" t="str">
        <f t="shared" si="735"/>
        <v/>
      </c>
      <c r="X3185" s="14" t="str">
        <f t="shared" si="736"/>
        <v/>
      </c>
    </row>
    <row r="3186" spans="20:24" x14ac:dyDescent="0.3">
      <c r="T3186" s="13" t="str">
        <f t="shared" si="732"/>
        <v/>
      </c>
      <c r="U3186" s="14" t="str">
        <f t="shared" si="733"/>
        <v/>
      </c>
      <c r="V3186" s="13" t="str">
        <f t="shared" si="734"/>
        <v/>
      </c>
      <c r="W3186" s="13" t="str">
        <f t="shared" si="735"/>
        <v/>
      </c>
      <c r="X3186" s="14" t="str">
        <f t="shared" si="736"/>
        <v/>
      </c>
    </row>
    <row r="3187" spans="20:24" x14ac:dyDescent="0.3">
      <c r="T3187" s="13" t="str">
        <f t="shared" si="732"/>
        <v/>
      </c>
      <c r="U3187" s="14" t="str">
        <f t="shared" si="733"/>
        <v/>
      </c>
      <c r="V3187" s="13" t="str">
        <f t="shared" si="734"/>
        <v/>
      </c>
      <c r="W3187" s="13" t="str">
        <f t="shared" si="735"/>
        <v/>
      </c>
      <c r="X3187" s="14" t="str">
        <f t="shared" si="736"/>
        <v/>
      </c>
    </row>
    <row r="3188" spans="20:24" x14ac:dyDescent="0.3">
      <c r="T3188" s="13" t="str">
        <f t="shared" si="732"/>
        <v/>
      </c>
      <c r="U3188" s="14" t="str">
        <f t="shared" si="733"/>
        <v/>
      </c>
      <c r="V3188" s="13" t="str">
        <f t="shared" si="734"/>
        <v/>
      </c>
      <c r="W3188" s="13" t="str">
        <f t="shared" si="735"/>
        <v/>
      </c>
      <c r="X3188" s="14" t="str">
        <f t="shared" si="736"/>
        <v/>
      </c>
    </row>
    <row r="3189" spans="20:24" x14ac:dyDescent="0.3">
      <c r="T3189" s="13" t="str">
        <f t="shared" si="732"/>
        <v/>
      </c>
      <c r="U3189" s="14" t="str">
        <f t="shared" si="733"/>
        <v/>
      </c>
      <c r="V3189" s="13" t="str">
        <f t="shared" si="734"/>
        <v/>
      </c>
      <c r="W3189" s="13" t="str">
        <f t="shared" si="735"/>
        <v/>
      </c>
      <c r="X3189" s="14" t="str">
        <f t="shared" si="736"/>
        <v/>
      </c>
    </row>
    <row r="3190" spans="20:24" x14ac:dyDescent="0.3">
      <c r="T3190" s="13" t="str">
        <f t="shared" si="732"/>
        <v/>
      </c>
      <c r="U3190" s="14" t="str">
        <f t="shared" si="733"/>
        <v/>
      </c>
      <c r="V3190" s="13" t="str">
        <f t="shared" si="734"/>
        <v/>
      </c>
      <c r="W3190" s="13" t="str">
        <f t="shared" si="735"/>
        <v/>
      </c>
      <c r="X3190" s="14" t="str">
        <f t="shared" si="736"/>
        <v/>
      </c>
    </row>
    <row r="3191" spans="20:24" x14ac:dyDescent="0.3">
      <c r="T3191" s="13" t="str">
        <f t="shared" si="732"/>
        <v/>
      </c>
      <c r="U3191" s="14" t="str">
        <f t="shared" si="733"/>
        <v/>
      </c>
      <c r="V3191" s="13" t="str">
        <f t="shared" si="734"/>
        <v/>
      </c>
      <c r="W3191" s="13" t="str">
        <f t="shared" si="735"/>
        <v/>
      </c>
      <c r="X3191" s="14" t="str">
        <f t="shared" si="736"/>
        <v/>
      </c>
    </row>
    <row r="3192" spans="20:24" x14ac:dyDescent="0.3">
      <c r="T3192" s="13" t="str">
        <f t="shared" si="732"/>
        <v/>
      </c>
      <c r="U3192" s="14" t="str">
        <f t="shared" si="733"/>
        <v/>
      </c>
      <c r="V3192" s="13" t="str">
        <f t="shared" si="734"/>
        <v/>
      </c>
      <c r="W3192" s="13" t="str">
        <f t="shared" si="735"/>
        <v/>
      </c>
      <c r="X3192" s="14" t="str">
        <f t="shared" si="736"/>
        <v/>
      </c>
    </row>
    <row r="3193" spans="20:24" x14ac:dyDescent="0.3">
      <c r="T3193" s="13" t="str">
        <f t="shared" si="732"/>
        <v/>
      </c>
      <c r="U3193" s="14" t="str">
        <f t="shared" si="733"/>
        <v/>
      </c>
      <c r="V3193" s="13" t="str">
        <f t="shared" si="734"/>
        <v/>
      </c>
      <c r="W3193" s="13" t="str">
        <f t="shared" si="735"/>
        <v/>
      </c>
      <c r="X3193" s="14" t="str">
        <f t="shared" si="736"/>
        <v/>
      </c>
    </row>
    <row r="3194" spans="20:24" x14ac:dyDescent="0.3">
      <c r="T3194" s="13" t="str">
        <f t="shared" si="732"/>
        <v/>
      </c>
      <c r="U3194" s="14" t="str">
        <f t="shared" si="733"/>
        <v/>
      </c>
      <c r="V3194" s="13" t="str">
        <f t="shared" si="734"/>
        <v/>
      </c>
      <c r="W3194" s="13" t="str">
        <f t="shared" si="735"/>
        <v/>
      </c>
      <c r="X3194" s="14" t="str">
        <f t="shared" si="736"/>
        <v/>
      </c>
    </row>
    <row r="3195" spans="20:24" x14ac:dyDescent="0.3">
      <c r="T3195" s="13" t="str">
        <f t="shared" si="732"/>
        <v/>
      </c>
      <c r="U3195" s="14" t="str">
        <f t="shared" si="733"/>
        <v/>
      </c>
      <c r="V3195" s="13" t="str">
        <f t="shared" si="734"/>
        <v/>
      </c>
      <c r="W3195" s="13" t="str">
        <f t="shared" si="735"/>
        <v/>
      </c>
      <c r="X3195" s="14" t="str">
        <f t="shared" si="736"/>
        <v/>
      </c>
    </row>
    <row r="3196" spans="20:24" x14ac:dyDescent="0.3">
      <c r="T3196" s="13" t="str">
        <f t="shared" si="732"/>
        <v/>
      </c>
      <c r="U3196" s="14" t="str">
        <f t="shared" si="733"/>
        <v/>
      </c>
      <c r="V3196" s="13" t="str">
        <f t="shared" si="734"/>
        <v/>
      </c>
      <c r="W3196" s="13" t="str">
        <f t="shared" si="735"/>
        <v/>
      </c>
      <c r="X3196" s="14" t="str">
        <f t="shared" si="736"/>
        <v/>
      </c>
    </row>
    <row r="3197" spans="20:24" x14ac:dyDescent="0.3">
      <c r="T3197" s="13" t="str">
        <f t="shared" si="732"/>
        <v/>
      </c>
      <c r="U3197" s="14" t="str">
        <f t="shared" si="733"/>
        <v/>
      </c>
      <c r="V3197" s="13" t="str">
        <f t="shared" si="734"/>
        <v/>
      </c>
      <c r="W3197" s="13" t="str">
        <f t="shared" si="735"/>
        <v/>
      </c>
      <c r="X3197" s="14" t="str">
        <f t="shared" si="736"/>
        <v/>
      </c>
    </row>
    <row r="3198" spans="20:24" x14ac:dyDescent="0.3">
      <c r="T3198" s="13" t="str">
        <f t="shared" si="732"/>
        <v/>
      </c>
      <c r="U3198" s="14" t="str">
        <f t="shared" si="733"/>
        <v/>
      </c>
      <c r="V3198" s="13" t="str">
        <f t="shared" si="734"/>
        <v/>
      </c>
      <c r="W3198" s="13" t="str">
        <f t="shared" si="735"/>
        <v/>
      </c>
      <c r="X3198" s="14" t="str">
        <f t="shared" si="736"/>
        <v/>
      </c>
    </row>
    <row r="3199" spans="20:24" x14ac:dyDescent="0.3">
      <c r="T3199" s="13" t="str">
        <f t="shared" si="732"/>
        <v/>
      </c>
      <c r="U3199" s="14" t="str">
        <f t="shared" si="733"/>
        <v/>
      </c>
      <c r="V3199" s="13" t="str">
        <f t="shared" si="734"/>
        <v/>
      </c>
      <c r="W3199" s="13" t="str">
        <f t="shared" si="735"/>
        <v/>
      </c>
      <c r="X3199" s="14" t="str">
        <f t="shared" si="736"/>
        <v/>
      </c>
    </row>
    <row r="3200" spans="20:24" x14ac:dyDescent="0.3">
      <c r="T3200" s="13" t="str">
        <f t="shared" si="732"/>
        <v/>
      </c>
      <c r="U3200" s="14" t="str">
        <f t="shared" si="733"/>
        <v/>
      </c>
      <c r="V3200" s="13" t="str">
        <f t="shared" si="734"/>
        <v/>
      </c>
      <c r="W3200" s="13" t="str">
        <f t="shared" si="735"/>
        <v/>
      </c>
      <c r="X3200" s="14" t="str">
        <f t="shared" si="736"/>
        <v/>
      </c>
    </row>
    <row r="3201" spans="20:24" x14ac:dyDescent="0.3">
      <c r="T3201" s="13" t="str">
        <f t="shared" si="732"/>
        <v/>
      </c>
      <c r="U3201" s="14" t="str">
        <f t="shared" si="733"/>
        <v/>
      </c>
      <c r="V3201" s="13" t="str">
        <f t="shared" si="734"/>
        <v/>
      </c>
      <c r="W3201" s="13" t="str">
        <f t="shared" si="735"/>
        <v/>
      </c>
      <c r="X3201" s="14" t="str">
        <f t="shared" si="736"/>
        <v/>
      </c>
    </row>
    <row r="3202" spans="20:24" x14ac:dyDescent="0.3">
      <c r="T3202" s="13" t="str">
        <f t="shared" si="732"/>
        <v/>
      </c>
      <c r="U3202" s="14" t="str">
        <f t="shared" si="733"/>
        <v/>
      </c>
      <c r="V3202" s="13" t="str">
        <f t="shared" si="734"/>
        <v/>
      </c>
      <c r="W3202" s="13" t="str">
        <f t="shared" si="735"/>
        <v/>
      </c>
      <c r="X3202" s="14" t="str">
        <f t="shared" si="736"/>
        <v/>
      </c>
    </row>
    <row r="3203" spans="20:24" x14ac:dyDescent="0.3">
      <c r="T3203" s="13" t="str">
        <f t="shared" si="732"/>
        <v/>
      </c>
      <c r="U3203" s="14" t="str">
        <f t="shared" si="733"/>
        <v/>
      </c>
      <c r="V3203" s="13" t="str">
        <f t="shared" si="734"/>
        <v/>
      </c>
      <c r="W3203" s="13" t="str">
        <f t="shared" si="735"/>
        <v/>
      </c>
      <c r="X3203" s="14" t="str">
        <f t="shared" si="736"/>
        <v/>
      </c>
    </row>
    <row r="3204" spans="20:24" x14ac:dyDescent="0.3">
      <c r="T3204" s="13" t="str">
        <f t="shared" si="732"/>
        <v/>
      </c>
      <c r="U3204" s="14" t="str">
        <f t="shared" si="733"/>
        <v/>
      </c>
      <c r="V3204" s="13" t="str">
        <f t="shared" si="734"/>
        <v/>
      </c>
      <c r="W3204" s="13" t="str">
        <f t="shared" si="735"/>
        <v/>
      </c>
      <c r="X3204" s="14" t="str">
        <f t="shared" si="736"/>
        <v/>
      </c>
    </row>
    <row r="3205" spans="20:24" x14ac:dyDescent="0.3">
      <c r="T3205" s="13" t="str">
        <f t="shared" si="732"/>
        <v/>
      </c>
      <c r="U3205" s="14" t="str">
        <f t="shared" si="733"/>
        <v/>
      </c>
      <c r="V3205" s="13" t="str">
        <f t="shared" si="734"/>
        <v/>
      </c>
      <c r="W3205" s="13" t="str">
        <f t="shared" si="735"/>
        <v/>
      </c>
      <c r="X3205" s="14" t="str">
        <f t="shared" si="736"/>
        <v/>
      </c>
    </row>
    <row r="3206" spans="20:24" x14ac:dyDescent="0.3">
      <c r="T3206" s="13" t="str">
        <f t="shared" si="732"/>
        <v/>
      </c>
      <c r="U3206" s="14" t="str">
        <f t="shared" si="733"/>
        <v/>
      </c>
      <c r="V3206" s="13" t="str">
        <f t="shared" si="734"/>
        <v/>
      </c>
      <c r="W3206" s="13" t="str">
        <f t="shared" si="735"/>
        <v/>
      </c>
      <c r="X3206" s="14" t="str">
        <f t="shared" si="736"/>
        <v/>
      </c>
    </row>
    <row r="3207" spans="20:24" x14ac:dyDescent="0.3">
      <c r="T3207" s="13" t="str">
        <f t="shared" si="732"/>
        <v/>
      </c>
      <c r="U3207" s="14" t="str">
        <f t="shared" si="733"/>
        <v/>
      </c>
      <c r="V3207" s="13" t="str">
        <f t="shared" si="734"/>
        <v/>
      </c>
      <c r="W3207" s="13" t="str">
        <f t="shared" si="735"/>
        <v/>
      </c>
      <c r="X3207" s="14" t="str">
        <f t="shared" si="736"/>
        <v/>
      </c>
    </row>
    <row r="3208" spans="20:24" x14ac:dyDescent="0.3">
      <c r="T3208" s="13" t="str">
        <f t="shared" si="732"/>
        <v/>
      </c>
      <c r="U3208" s="14" t="str">
        <f t="shared" si="733"/>
        <v/>
      </c>
      <c r="V3208" s="13" t="str">
        <f t="shared" si="734"/>
        <v/>
      </c>
      <c r="W3208" s="13" t="str">
        <f t="shared" si="735"/>
        <v/>
      </c>
      <c r="X3208" s="14" t="str">
        <f t="shared" si="736"/>
        <v/>
      </c>
    </row>
    <row r="3209" spans="20:24" x14ac:dyDescent="0.3">
      <c r="T3209" s="13" t="str">
        <f t="shared" si="732"/>
        <v/>
      </c>
      <c r="U3209" s="14" t="str">
        <f t="shared" si="733"/>
        <v/>
      </c>
      <c r="V3209" s="13" t="str">
        <f t="shared" si="734"/>
        <v/>
      </c>
      <c r="W3209" s="13" t="str">
        <f t="shared" si="735"/>
        <v/>
      </c>
      <c r="X3209" s="14" t="str">
        <f t="shared" si="736"/>
        <v/>
      </c>
    </row>
    <row r="3210" spans="20:24" x14ac:dyDescent="0.3">
      <c r="T3210" s="13" t="str">
        <f t="shared" si="732"/>
        <v/>
      </c>
      <c r="U3210" s="14" t="str">
        <f t="shared" si="733"/>
        <v/>
      </c>
      <c r="V3210" s="13" t="str">
        <f t="shared" si="734"/>
        <v/>
      </c>
      <c r="W3210" s="13" t="str">
        <f t="shared" si="735"/>
        <v/>
      </c>
      <c r="X3210" s="14" t="str">
        <f t="shared" si="736"/>
        <v/>
      </c>
    </row>
    <row r="3211" spans="20:24" x14ac:dyDescent="0.3">
      <c r="T3211" s="13" t="str">
        <f t="shared" si="732"/>
        <v/>
      </c>
      <c r="U3211" s="14" t="str">
        <f t="shared" si="733"/>
        <v/>
      </c>
      <c r="V3211" s="13" t="str">
        <f t="shared" si="734"/>
        <v/>
      </c>
      <c r="W3211" s="13" t="str">
        <f t="shared" si="735"/>
        <v/>
      </c>
      <c r="X3211" s="14" t="str">
        <f t="shared" si="736"/>
        <v/>
      </c>
    </row>
    <row r="3212" spans="20:24" x14ac:dyDescent="0.3">
      <c r="T3212" s="13" t="str">
        <f t="shared" si="732"/>
        <v/>
      </c>
      <c r="U3212" s="14" t="str">
        <f t="shared" si="733"/>
        <v/>
      </c>
      <c r="V3212" s="13" t="str">
        <f t="shared" si="734"/>
        <v/>
      </c>
      <c r="W3212" s="13" t="str">
        <f t="shared" si="735"/>
        <v/>
      </c>
      <c r="X3212" s="14" t="str">
        <f t="shared" si="736"/>
        <v/>
      </c>
    </row>
    <row r="3213" spans="20:24" x14ac:dyDescent="0.3">
      <c r="T3213" s="13" t="str">
        <f t="shared" si="732"/>
        <v/>
      </c>
      <c r="U3213" s="14" t="str">
        <f t="shared" si="733"/>
        <v/>
      </c>
      <c r="V3213" s="13" t="str">
        <f t="shared" si="734"/>
        <v/>
      </c>
      <c r="W3213" s="13" t="str">
        <f t="shared" si="735"/>
        <v/>
      </c>
      <c r="X3213" s="14" t="str">
        <f t="shared" si="736"/>
        <v/>
      </c>
    </row>
    <row r="3214" spans="20:24" x14ac:dyDescent="0.3">
      <c r="T3214" s="13" t="str">
        <f t="shared" si="732"/>
        <v/>
      </c>
      <c r="U3214" s="14" t="str">
        <f t="shared" si="733"/>
        <v/>
      </c>
      <c r="V3214" s="13" t="str">
        <f t="shared" si="734"/>
        <v/>
      </c>
      <c r="W3214" s="13" t="str">
        <f t="shared" si="735"/>
        <v/>
      </c>
      <c r="X3214" s="14" t="str">
        <f t="shared" si="736"/>
        <v/>
      </c>
    </row>
    <row r="3215" spans="20:24" x14ac:dyDescent="0.3">
      <c r="T3215" s="13" t="str">
        <f t="shared" si="732"/>
        <v/>
      </c>
      <c r="U3215" s="14" t="str">
        <f t="shared" si="733"/>
        <v/>
      </c>
      <c r="V3215" s="13" t="str">
        <f t="shared" si="734"/>
        <v/>
      </c>
      <c r="W3215" s="13" t="str">
        <f t="shared" si="735"/>
        <v/>
      </c>
      <c r="X3215" s="14" t="str">
        <f t="shared" si="736"/>
        <v/>
      </c>
    </row>
    <row r="3216" spans="20:24" x14ac:dyDescent="0.3">
      <c r="T3216" s="13" t="str">
        <f t="shared" si="732"/>
        <v/>
      </c>
      <c r="U3216" s="14" t="str">
        <f t="shared" si="733"/>
        <v/>
      </c>
      <c r="V3216" s="13" t="str">
        <f t="shared" si="734"/>
        <v/>
      </c>
      <c r="W3216" s="13" t="str">
        <f t="shared" si="735"/>
        <v/>
      </c>
      <c r="X3216" s="14" t="str">
        <f t="shared" si="736"/>
        <v/>
      </c>
    </row>
    <row r="3217" spans="20:24" x14ac:dyDescent="0.3">
      <c r="T3217" s="13" t="str">
        <f t="shared" si="732"/>
        <v/>
      </c>
      <c r="U3217" s="14" t="str">
        <f t="shared" si="733"/>
        <v/>
      </c>
      <c r="V3217" s="13" t="str">
        <f t="shared" si="734"/>
        <v/>
      </c>
      <c r="W3217" s="13" t="str">
        <f t="shared" si="735"/>
        <v/>
      </c>
      <c r="X3217" s="14" t="str">
        <f t="shared" si="736"/>
        <v/>
      </c>
    </row>
    <row r="3218" spans="20:24" x14ac:dyDescent="0.3">
      <c r="T3218" s="13" t="str">
        <f t="shared" si="732"/>
        <v/>
      </c>
      <c r="U3218" s="14" t="str">
        <f t="shared" si="733"/>
        <v/>
      </c>
      <c r="V3218" s="13" t="str">
        <f t="shared" si="734"/>
        <v/>
      </c>
      <c r="W3218" s="13" t="str">
        <f t="shared" si="735"/>
        <v/>
      </c>
      <c r="X3218" s="14" t="str">
        <f t="shared" si="736"/>
        <v/>
      </c>
    </row>
    <row r="3219" spans="20:24" x14ac:dyDescent="0.3">
      <c r="T3219" s="13" t="str">
        <f t="shared" ref="T3219:T3282" si="737">IF(A3219="",IF(A3218="","",$T$1),IF(O3219=1,"#",IF(B3219=0,"*",DEC2HEX(R3219))))</f>
        <v/>
      </c>
      <c r="U3219" s="14" t="str">
        <f t="shared" ref="U3219:U3282" si="738">IF(A3219="",IF(A3218="","",$U$1),  IF(B3219=0,Q3219,I3219)  )</f>
        <v/>
      </c>
      <c r="V3219" s="13" t="str">
        <f t="shared" ref="V3219:V3282" si="739">IF(U3219=$U$1,"",IF(A3219="",IF(A3218="","",1),  IF(B3219=0,1,D3219)  ))</f>
        <v/>
      </c>
      <c r="W3219" s="13" t="str">
        <f t="shared" ref="W3219:W3282" si="740">IF(U3219=$U$1,"",IF(A3219="",IF(A3218="","",0),  IF(C3219=0,0,0)  ))</f>
        <v/>
      </c>
      <c r="X3219" s="14" t="str">
        <f t="shared" ref="X3219:X3282" si="741">IF(U3219=$U$1,"",IF(U3219="","",IF(B3219&gt;0,IF(Q3219&lt;&gt;"",Q3219,"No description"),"-")))</f>
        <v/>
      </c>
    </row>
    <row r="3220" spans="20:24" x14ac:dyDescent="0.3">
      <c r="T3220" s="13" t="str">
        <f t="shared" si="737"/>
        <v/>
      </c>
      <c r="U3220" s="14" t="str">
        <f t="shared" si="738"/>
        <v/>
      </c>
      <c r="V3220" s="13" t="str">
        <f t="shared" si="739"/>
        <v/>
      </c>
      <c r="W3220" s="13" t="str">
        <f t="shared" si="740"/>
        <v/>
      </c>
      <c r="X3220" s="14" t="str">
        <f t="shared" si="741"/>
        <v/>
      </c>
    </row>
    <row r="3221" spans="20:24" x14ac:dyDescent="0.3">
      <c r="T3221" s="13" t="str">
        <f t="shared" si="737"/>
        <v/>
      </c>
      <c r="U3221" s="14" t="str">
        <f t="shared" si="738"/>
        <v/>
      </c>
      <c r="V3221" s="13" t="str">
        <f t="shared" si="739"/>
        <v/>
      </c>
      <c r="W3221" s="13" t="str">
        <f t="shared" si="740"/>
        <v/>
      </c>
      <c r="X3221" s="14" t="str">
        <f t="shared" si="741"/>
        <v/>
      </c>
    </row>
    <row r="3222" spans="20:24" x14ac:dyDescent="0.3">
      <c r="T3222" s="13" t="str">
        <f t="shared" si="737"/>
        <v/>
      </c>
      <c r="U3222" s="14" t="str">
        <f t="shared" si="738"/>
        <v/>
      </c>
      <c r="V3222" s="13" t="str">
        <f t="shared" si="739"/>
        <v/>
      </c>
      <c r="W3222" s="13" t="str">
        <f t="shared" si="740"/>
        <v/>
      </c>
      <c r="X3222" s="14" t="str">
        <f t="shared" si="741"/>
        <v/>
      </c>
    </row>
    <row r="3223" spans="20:24" x14ac:dyDescent="0.3">
      <c r="T3223" s="13" t="str">
        <f t="shared" si="737"/>
        <v/>
      </c>
      <c r="U3223" s="14" t="str">
        <f t="shared" si="738"/>
        <v/>
      </c>
      <c r="V3223" s="13" t="str">
        <f t="shared" si="739"/>
        <v/>
      </c>
      <c r="W3223" s="13" t="str">
        <f t="shared" si="740"/>
        <v/>
      </c>
      <c r="X3223" s="14" t="str">
        <f t="shared" si="741"/>
        <v/>
      </c>
    </row>
    <row r="3224" spans="20:24" x14ac:dyDescent="0.3">
      <c r="T3224" s="13" t="str">
        <f t="shared" si="737"/>
        <v/>
      </c>
      <c r="U3224" s="14" t="str">
        <f t="shared" si="738"/>
        <v/>
      </c>
      <c r="V3224" s="13" t="str">
        <f t="shared" si="739"/>
        <v/>
      </c>
      <c r="W3224" s="13" t="str">
        <f t="shared" si="740"/>
        <v/>
      </c>
      <c r="X3224" s="14" t="str">
        <f t="shared" si="741"/>
        <v/>
      </c>
    </row>
    <row r="3225" spans="20:24" x14ac:dyDescent="0.3">
      <c r="T3225" s="13" t="str">
        <f t="shared" si="737"/>
        <v/>
      </c>
      <c r="U3225" s="14" t="str">
        <f t="shared" si="738"/>
        <v/>
      </c>
      <c r="V3225" s="13" t="str">
        <f t="shared" si="739"/>
        <v/>
      </c>
      <c r="W3225" s="13" t="str">
        <f t="shared" si="740"/>
        <v/>
      </c>
      <c r="X3225" s="14" t="str">
        <f t="shared" si="741"/>
        <v/>
      </c>
    </row>
    <row r="3226" spans="20:24" x14ac:dyDescent="0.3">
      <c r="T3226" s="13" t="str">
        <f t="shared" si="737"/>
        <v/>
      </c>
      <c r="U3226" s="14" t="str">
        <f t="shared" si="738"/>
        <v/>
      </c>
      <c r="V3226" s="13" t="str">
        <f t="shared" si="739"/>
        <v/>
      </c>
      <c r="W3226" s="13" t="str">
        <f t="shared" si="740"/>
        <v/>
      </c>
      <c r="X3226" s="14" t="str">
        <f t="shared" si="741"/>
        <v/>
      </c>
    </row>
    <row r="3227" spans="20:24" x14ac:dyDescent="0.3">
      <c r="T3227" s="13" t="str">
        <f t="shared" si="737"/>
        <v/>
      </c>
      <c r="U3227" s="14" t="str">
        <f t="shared" si="738"/>
        <v/>
      </c>
      <c r="V3227" s="13" t="str">
        <f t="shared" si="739"/>
        <v/>
      </c>
      <c r="W3227" s="13" t="str">
        <f t="shared" si="740"/>
        <v/>
      </c>
      <c r="X3227" s="14" t="str">
        <f t="shared" si="741"/>
        <v/>
      </c>
    </row>
    <row r="3228" spans="20:24" x14ac:dyDescent="0.3">
      <c r="T3228" s="13" t="str">
        <f t="shared" si="737"/>
        <v/>
      </c>
      <c r="U3228" s="14" t="str">
        <f t="shared" si="738"/>
        <v/>
      </c>
      <c r="V3228" s="13" t="str">
        <f t="shared" si="739"/>
        <v/>
      </c>
      <c r="W3228" s="13" t="str">
        <f t="shared" si="740"/>
        <v/>
      </c>
      <c r="X3228" s="14" t="str">
        <f t="shared" si="741"/>
        <v/>
      </c>
    </row>
    <row r="3229" spans="20:24" x14ac:dyDescent="0.3">
      <c r="T3229" s="13" t="str">
        <f t="shared" si="737"/>
        <v/>
      </c>
      <c r="U3229" s="14" t="str">
        <f t="shared" si="738"/>
        <v/>
      </c>
      <c r="V3229" s="13" t="str">
        <f t="shared" si="739"/>
        <v/>
      </c>
      <c r="W3229" s="13" t="str">
        <f t="shared" si="740"/>
        <v/>
      </c>
      <c r="X3229" s="14" t="str">
        <f t="shared" si="741"/>
        <v/>
      </c>
    </row>
    <row r="3230" spans="20:24" x14ac:dyDescent="0.3">
      <c r="T3230" s="13" t="str">
        <f t="shared" si="737"/>
        <v/>
      </c>
      <c r="U3230" s="14" t="str">
        <f t="shared" si="738"/>
        <v/>
      </c>
      <c r="V3230" s="13" t="str">
        <f t="shared" si="739"/>
        <v/>
      </c>
      <c r="W3230" s="13" t="str">
        <f t="shared" si="740"/>
        <v/>
      </c>
      <c r="X3230" s="14" t="str">
        <f t="shared" si="741"/>
        <v/>
      </c>
    </row>
    <row r="3231" spans="20:24" x14ac:dyDescent="0.3">
      <c r="T3231" s="13" t="str">
        <f t="shared" si="737"/>
        <v/>
      </c>
      <c r="U3231" s="14" t="str">
        <f t="shared" si="738"/>
        <v/>
      </c>
      <c r="V3231" s="13" t="str">
        <f t="shared" si="739"/>
        <v/>
      </c>
      <c r="W3231" s="13" t="str">
        <f t="shared" si="740"/>
        <v/>
      </c>
      <c r="X3231" s="14" t="str">
        <f t="shared" si="741"/>
        <v/>
      </c>
    </row>
    <row r="3232" spans="20:24" x14ac:dyDescent="0.3">
      <c r="T3232" s="13" t="str">
        <f t="shared" si="737"/>
        <v/>
      </c>
      <c r="U3232" s="14" t="str">
        <f t="shared" si="738"/>
        <v/>
      </c>
      <c r="V3232" s="13" t="str">
        <f t="shared" si="739"/>
        <v/>
      </c>
      <c r="W3232" s="13" t="str">
        <f t="shared" si="740"/>
        <v/>
      </c>
      <c r="X3232" s="14" t="str">
        <f t="shared" si="741"/>
        <v/>
      </c>
    </row>
    <row r="3233" spans="20:24" x14ac:dyDescent="0.3">
      <c r="T3233" s="13" t="str">
        <f t="shared" si="737"/>
        <v/>
      </c>
      <c r="U3233" s="14" t="str">
        <f t="shared" si="738"/>
        <v/>
      </c>
      <c r="V3233" s="13" t="str">
        <f t="shared" si="739"/>
        <v/>
      </c>
      <c r="W3233" s="13" t="str">
        <f t="shared" si="740"/>
        <v/>
      </c>
      <c r="X3233" s="14" t="str">
        <f t="shared" si="741"/>
        <v/>
      </c>
    </row>
    <row r="3234" spans="20:24" x14ac:dyDescent="0.3">
      <c r="T3234" s="13" t="str">
        <f t="shared" si="737"/>
        <v/>
      </c>
      <c r="U3234" s="14" t="str">
        <f t="shared" si="738"/>
        <v/>
      </c>
      <c r="V3234" s="13" t="str">
        <f t="shared" si="739"/>
        <v/>
      </c>
      <c r="W3234" s="13" t="str">
        <f t="shared" si="740"/>
        <v/>
      </c>
      <c r="X3234" s="14" t="str">
        <f t="shared" si="741"/>
        <v/>
      </c>
    </row>
    <row r="3235" spans="20:24" x14ac:dyDescent="0.3">
      <c r="T3235" s="13" t="str">
        <f t="shared" si="737"/>
        <v/>
      </c>
      <c r="U3235" s="14" t="str">
        <f t="shared" si="738"/>
        <v/>
      </c>
      <c r="V3235" s="13" t="str">
        <f t="shared" si="739"/>
        <v/>
      </c>
      <c r="W3235" s="13" t="str">
        <f t="shared" si="740"/>
        <v/>
      </c>
      <c r="X3235" s="14" t="str">
        <f t="shared" si="741"/>
        <v/>
      </c>
    </row>
    <row r="3236" spans="20:24" x14ac:dyDescent="0.3">
      <c r="T3236" s="13" t="str">
        <f t="shared" si="737"/>
        <v/>
      </c>
      <c r="U3236" s="14" t="str">
        <f t="shared" si="738"/>
        <v/>
      </c>
      <c r="V3236" s="13" t="str">
        <f t="shared" si="739"/>
        <v/>
      </c>
      <c r="W3236" s="13" t="str">
        <f t="shared" si="740"/>
        <v/>
      </c>
      <c r="X3236" s="14" t="str">
        <f t="shared" si="741"/>
        <v/>
      </c>
    </row>
    <row r="3237" spans="20:24" x14ac:dyDescent="0.3">
      <c r="T3237" s="13" t="str">
        <f t="shared" si="737"/>
        <v/>
      </c>
      <c r="U3237" s="14" t="str">
        <f t="shared" si="738"/>
        <v/>
      </c>
      <c r="V3237" s="13" t="str">
        <f t="shared" si="739"/>
        <v/>
      </c>
      <c r="W3237" s="13" t="str">
        <f t="shared" si="740"/>
        <v/>
      </c>
      <c r="X3237" s="14" t="str">
        <f t="shared" si="741"/>
        <v/>
      </c>
    </row>
    <row r="3238" spans="20:24" x14ac:dyDescent="0.3">
      <c r="T3238" s="13" t="str">
        <f t="shared" si="737"/>
        <v/>
      </c>
      <c r="U3238" s="14" t="str">
        <f t="shared" si="738"/>
        <v/>
      </c>
      <c r="V3238" s="13" t="str">
        <f t="shared" si="739"/>
        <v/>
      </c>
      <c r="W3238" s="13" t="str">
        <f t="shared" si="740"/>
        <v/>
      </c>
      <c r="X3238" s="14" t="str">
        <f t="shared" si="741"/>
        <v/>
      </c>
    </row>
    <row r="3239" spans="20:24" x14ac:dyDescent="0.3">
      <c r="T3239" s="13" t="str">
        <f t="shared" si="737"/>
        <v/>
      </c>
      <c r="U3239" s="14" t="str">
        <f t="shared" si="738"/>
        <v/>
      </c>
      <c r="V3239" s="13" t="str">
        <f t="shared" si="739"/>
        <v/>
      </c>
      <c r="W3239" s="13" t="str">
        <f t="shared" si="740"/>
        <v/>
      </c>
      <c r="X3239" s="14" t="str">
        <f t="shared" si="741"/>
        <v/>
      </c>
    </row>
    <row r="3240" spans="20:24" x14ac:dyDescent="0.3">
      <c r="T3240" s="13" t="str">
        <f t="shared" si="737"/>
        <v/>
      </c>
      <c r="U3240" s="14" t="str">
        <f t="shared" si="738"/>
        <v/>
      </c>
      <c r="V3240" s="13" t="str">
        <f t="shared" si="739"/>
        <v/>
      </c>
      <c r="W3240" s="13" t="str">
        <f t="shared" si="740"/>
        <v/>
      </c>
      <c r="X3240" s="14" t="str">
        <f t="shared" si="741"/>
        <v/>
      </c>
    </row>
    <row r="3241" spans="20:24" x14ac:dyDescent="0.3">
      <c r="T3241" s="13" t="str">
        <f t="shared" si="737"/>
        <v/>
      </c>
      <c r="U3241" s="14" t="str">
        <f t="shared" si="738"/>
        <v/>
      </c>
      <c r="V3241" s="13" t="str">
        <f t="shared" si="739"/>
        <v/>
      </c>
      <c r="W3241" s="13" t="str">
        <f t="shared" si="740"/>
        <v/>
      </c>
      <c r="X3241" s="14" t="str">
        <f t="shared" si="741"/>
        <v/>
      </c>
    </row>
    <row r="3242" spans="20:24" x14ac:dyDescent="0.3">
      <c r="T3242" s="13" t="str">
        <f t="shared" si="737"/>
        <v/>
      </c>
      <c r="U3242" s="14" t="str">
        <f t="shared" si="738"/>
        <v/>
      </c>
      <c r="V3242" s="13" t="str">
        <f t="shared" si="739"/>
        <v/>
      </c>
      <c r="W3242" s="13" t="str">
        <f t="shared" si="740"/>
        <v/>
      </c>
      <c r="X3242" s="14" t="str">
        <f t="shared" si="741"/>
        <v/>
      </c>
    </row>
    <row r="3243" spans="20:24" x14ac:dyDescent="0.3">
      <c r="T3243" s="13" t="str">
        <f t="shared" si="737"/>
        <v/>
      </c>
      <c r="U3243" s="14" t="str">
        <f t="shared" si="738"/>
        <v/>
      </c>
      <c r="V3243" s="13" t="str">
        <f t="shared" si="739"/>
        <v/>
      </c>
      <c r="W3243" s="13" t="str">
        <f t="shared" si="740"/>
        <v/>
      </c>
      <c r="X3243" s="14" t="str">
        <f t="shared" si="741"/>
        <v/>
      </c>
    </row>
    <row r="3244" spans="20:24" x14ac:dyDescent="0.3">
      <c r="T3244" s="13" t="str">
        <f t="shared" si="737"/>
        <v/>
      </c>
      <c r="U3244" s="14" t="str">
        <f t="shared" si="738"/>
        <v/>
      </c>
      <c r="V3244" s="13" t="str">
        <f t="shared" si="739"/>
        <v/>
      </c>
      <c r="W3244" s="13" t="str">
        <f t="shared" si="740"/>
        <v/>
      </c>
      <c r="X3244" s="14" t="str">
        <f t="shared" si="741"/>
        <v/>
      </c>
    </row>
    <row r="3245" spans="20:24" x14ac:dyDescent="0.3">
      <c r="T3245" s="13" t="str">
        <f t="shared" si="737"/>
        <v/>
      </c>
      <c r="U3245" s="14" t="str">
        <f t="shared" si="738"/>
        <v/>
      </c>
      <c r="V3245" s="13" t="str">
        <f t="shared" si="739"/>
        <v/>
      </c>
      <c r="W3245" s="13" t="str">
        <f t="shared" si="740"/>
        <v/>
      </c>
      <c r="X3245" s="14" t="str">
        <f t="shared" si="741"/>
        <v/>
      </c>
    </row>
    <row r="3246" spans="20:24" x14ac:dyDescent="0.3">
      <c r="T3246" s="13" t="str">
        <f t="shared" si="737"/>
        <v/>
      </c>
      <c r="U3246" s="14" t="str">
        <f t="shared" si="738"/>
        <v/>
      </c>
      <c r="V3246" s="13" t="str">
        <f t="shared" si="739"/>
        <v/>
      </c>
      <c r="W3246" s="13" t="str">
        <f t="shared" si="740"/>
        <v/>
      </c>
      <c r="X3246" s="14" t="str">
        <f t="shared" si="741"/>
        <v/>
      </c>
    </row>
    <row r="3247" spans="20:24" x14ac:dyDescent="0.3">
      <c r="T3247" s="13" t="str">
        <f t="shared" si="737"/>
        <v/>
      </c>
      <c r="U3247" s="14" t="str">
        <f t="shared" si="738"/>
        <v/>
      </c>
      <c r="V3247" s="13" t="str">
        <f t="shared" si="739"/>
        <v/>
      </c>
      <c r="W3247" s="13" t="str">
        <f t="shared" si="740"/>
        <v/>
      </c>
      <c r="X3247" s="14" t="str">
        <f t="shared" si="741"/>
        <v/>
      </c>
    </row>
    <row r="3248" spans="20:24" x14ac:dyDescent="0.3">
      <c r="T3248" s="13" t="str">
        <f t="shared" si="737"/>
        <v/>
      </c>
      <c r="U3248" s="14" t="str">
        <f t="shared" si="738"/>
        <v/>
      </c>
      <c r="V3248" s="13" t="str">
        <f t="shared" si="739"/>
        <v/>
      </c>
      <c r="W3248" s="13" t="str">
        <f t="shared" si="740"/>
        <v/>
      </c>
      <c r="X3248" s="14" t="str">
        <f t="shared" si="741"/>
        <v/>
      </c>
    </row>
    <row r="3249" spans="20:24" x14ac:dyDescent="0.3">
      <c r="T3249" s="13" t="str">
        <f t="shared" si="737"/>
        <v/>
      </c>
      <c r="U3249" s="14" t="str">
        <f t="shared" si="738"/>
        <v/>
      </c>
      <c r="V3249" s="13" t="str">
        <f t="shared" si="739"/>
        <v/>
      </c>
      <c r="W3249" s="13" t="str">
        <f t="shared" si="740"/>
        <v/>
      </c>
      <c r="X3249" s="14" t="str">
        <f t="shared" si="741"/>
        <v/>
      </c>
    </row>
    <row r="3250" spans="20:24" x14ac:dyDescent="0.3">
      <c r="T3250" s="13" t="str">
        <f t="shared" si="737"/>
        <v/>
      </c>
      <c r="U3250" s="14" t="str">
        <f t="shared" si="738"/>
        <v/>
      </c>
      <c r="V3250" s="13" t="str">
        <f t="shared" si="739"/>
        <v/>
      </c>
      <c r="W3250" s="13" t="str">
        <f t="shared" si="740"/>
        <v/>
      </c>
      <c r="X3250" s="14" t="str">
        <f t="shared" si="741"/>
        <v/>
      </c>
    </row>
    <row r="3251" spans="20:24" x14ac:dyDescent="0.3">
      <c r="T3251" s="13" t="str">
        <f t="shared" si="737"/>
        <v/>
      </c>
      <c r="U3251" s="14" t="str">
        <f t="shared" si="738"/>
        <v/>
      </c>
      <c r="V3251" s="13" t="str">
        <f t="shared" si="739"/>
        <v/>
      </c>
      <c r="W3251" s="13" t="str">
        <f t="shared" si="740"/>
        <v/>
      </c>
      <c r="X3251" s="14" t="str">
        <f t="shared" si="741"/>
        <v/>
      </c>
    </row>
    <row r="3252" spans="20:24" x14ac:dyDescent="0.3">
      <c r="T3252" s="13" t="str">
        <f t="shared" si="737"/>
        <v/>
      </c>
      <c r="U3252" s="14" t="str">
        <f t="shared" si="738"/>
        <v/>
      </c>
      <c r="V3252" s="13" t="str">
        <f t="shared" si="739"/>
        <v/>
      </c>
      <c r="W3252" s="13" t="str">
        <f t="shared" si="740"/>
        <v/>
      </c>
      <c r="X3252" s="14" t="str">
        <f t="shared" si="741"/>
        <v/>
      </c>
    </row>
    <row r="3253" spans="20:24" x14ac:dyDescent="0.3">
      <c r="T3253" s="13" t="str">
        <f t="shared" si="737"/>
        <v/>
      </c>
      <c r="U3253" s="14" t="str">
        <f t="shared" si="738"/>
        <v/>
      </c>
      <c r="V3253" s="13" t="str">
        <f t="shared" si="739"/>
        <v/>
      </c>
      <c r="W3253" s="13" t="str">
        <f t="shared" si="740"/>
        <v/>
      </c>
      <c r="X3253" s="14" t="str">
        <f t="shared" si="741"/>
        <v/>
      </c>
    </row>
    <row r="3254" spans="20:24" x14ac:dyDescent="0.3">
      <c r="T3254" s="13" t="str">
        <f t="shared" si="737"/>
        <v/>
      </c>
      <c r="U3254" s="14" t="str">
        <f t="shared" si="738"/>
        <v/>
      </c>
      <c r="V3254" s="13" t="str">
        <f t="shared" si="739"/>
        <v/>
      </c>
      <c r="W3254" s="13" t="str">
        <f t="shared" si="740"/>
        <v/>
      </c>
      <c r="X3254" s="14" t="str">
        <f t="shared" si="741"/>
        <v/>
      </c>
    </row>
    <row r="3255" spans="20:24" x14ac:dyDescent="0.3">
      <c r="T3255" s="13" t="str">
        <f t="shared" si="737"/>
        <v/>
      </c>
      <c r="U3255" s="14" t="str">
        <f t="shared" si="738"/>
        <v/>
      </c>
      <c r="V3255" s="13" t="str">
        <f t="shared" si="739"/>
        <v/>
      </c>
      <c r="W3255" s="13" t="str">
        <f t="shared" si="740"/>
        <v/>
      </c>
      <c r="X3255" s="14" t="str">
        <f t="shared" si="741"/>
        <v/>
      </c>
    </row>
    <row r="3256" spans="20:24" x14ac:dyDescent="0.3">
      <c r="T3256" s="13" t="str">
        <f t="shared" si="737"/>
        <v/>
      </c>
      <c r="U3256" s="14" t="str">
        <f t="shared" si="738"/>
        <v/>
      </c>
      <c r="V3256" s="13" t="str">
        <f t="shared" si="739"/>
        <v/>
      </c>
      <c r="W3256" s="13" t="str">
        <f t="shared" si="740"/>
        <v/>
      </c>
      <c r="X3256" s="14" t="str">
        <f t="shared" si="741"/>
        <v/>
      </c>
    </row>
    <row r="3257" spans="20:24" x14ac:dyDescent="0.3">
      <c r="T3257" s="13" t="str">
        <f t="shared" si="737"/>
        <v/>
      </c>
      <c r="U3257" s="14" t="str">
        <f t="shared" si="738"/>
        <v/>
      </c>
      <c r="V3257" s="13" t="str">
        <f t="shared" si="739"/>
        <v/>
      </c>
      <c r="W3257" s="13" t="str">
        <f t="shared" si="740"/>
        <v/>
      </c>
      <c r="X3257" s="14" t="str">
        <f t="shared" si="741"/>
        <v/>
      </c>
    </row>
    <row r="3258" spans="20:24" x14ac:dyDescent="0.3">
      <c r="T3258" s="13" t="str">
        <f t="shared" si="737"/>
        <v/>
      </c>
      <c r="U3258" s="14" t="str">
        <f t="shared" si="738"/>
        <v/>
      </c>
      <c r="V3258" s="13" t="str">
        <f t="shared" si="739"/>
        <v/>
      </c>
      <c r="W3258" s="13" t="str">
        <f t="shared" si="740"/>
        <v/>
      </c>
      <c r="X3258" s="14" t="str">
        <f t="shared" si="741"/>
        <v/>
      </c>
    </row>
    <row r="3259" spans="20:24" x14ac:dyDescent="0.3">
      <c r="T3259" s="13" t="str">
        <f t="shared" si="737"/>
        <v/>
      </c>
      <c r="U3259" s="14" t="str">
        <f t="shared" si="738"/>
        <v/>
      </c>
      <c r="V3259" s="13" t="str">
        <f t="shared" si="739"/>
        <v/>
      </c>
      <c r="W3259" s="13" t="str">
        <f t="shared" si="740"/>
        <v/>
      </c>
      <c r="X3259" s="14" t="str">
        <f t="shared" si="741"/>
        <v/>
      </c>
    </row>
    <row r="3260" spans="20:24" x14ac:dyDescent="0.3">
      <c r="T3260" s="13" t="str">
        <f t="shared" si="737"/>
        <v/>
      </c>
      <c r="U3260" s="14" t="str">
        <f t="shared" si="738"/>
        <v/>
      </c>
      <c r="V3260" s="13" t="str">
        <f t="shared" si="739"/>
        <v/>
      </c>
      <c r="W3260" s="13" t="str">
        <f t="shared" si="740"/>
        <v/>
      </c>
      <c r="X3260" s="14" t="str">
        <f t="shared" si="741"/>
        <v/>
      </c>
    </row>
    <row r="3261" spans="20:24" x14ac:dyDescent="0.3">
      <c r="T3261" s="13" t="str">
        <f t="shared" si="737"/>
        <v/>
      </c>
      <c r="U3261" s="14" t="str">
        <f t="shared" si="738"/>
        <v/>
      </c>
      <c r="V3261" s="13" t="str">
        <f t="shared" si="739"/>
        <v/>
      </c>
      <c r="W3261" s="13" t="str">
        <f t="shared" si="740"/>
        <v/>
      </c>
      <c r="X3261" s="14" t="str">
        <f t="shared" si="741"/>
        <v/>
      </c>
    </row>
    <row r="3262" spans="20:24" x14ac:dyDescent="0.3">
      <c r="T3262" s="13" t="str">
        <f t="shared" si="737"/>
        <v/>
      </c>
      <c r="U3262" s="14" t="str">
        <f t="shared" si="738"/>
        <v/>
      </c>
      <c r="V3262" s="13" t="str">
        <f t="shared" si="739"/>
        <v/>
      </c>
      <c r="W3262" s="13" t="str">
        <f t="shared" si="740"/>
        <v/>
      </c>
      <c r="X3262" s="14" t="str">
        <f t="shared" si="741"/>
        <v/>
      </c>
    </row>
    <row r="3263" spans="20:24" x14ac:dyDescent="0.3">
      <c r="T3263" s="13" t="str">
        <f t="shared" si="737"/>
        <v/>
      </c>
      <c r="U3263" s="14" t="str">
        <f t="shared" si="738"/>
        <v/>
      </c>
      <c r="V3263" s="13" t="str">
        <f t="shared" si="739"/>
        <v/>
      </c>
      <c r="W3263" s="13" t="str">
        <f t="shared" si="740"/>
        <v/>
      </c>
      <c r="X3263" s="14" t="str">
        <f t="shared" si="741"/>
        <v/>
      </c>
    </row>
    <row r="3264" spans="20:24" x14ac:dyDescent="0.3">
      <c r="T3264" s="13" t="str">
        <f t="shared" si="737"/>
        <v/>
      </c>
      <c r="U3264" s="14" t="str">
        <f t="shared" si="738"/>
        <v/>
      </c>
      <c r="V3264" s="13" t="str">
        <f t="shared" si="739"/>
        <v/>
      </c>
      <c r="W3264" s="13" t="str">
        <f t="shared" si="740"/>
        <v/>
      </c>
      <c r="X3264" s="14" t="str">
        <f t="shared" si="741"/>
        <v/>
      </c>
    </row>
    <row r="3265" spans="20:24" x14ac:dyDescent="0.3">
      <c r="T3265" s="13" t="str">
        <f t="shared" si="737"/>
        <v/>
      </c>
      <c r="U3265" s="14" t="str">
        <f t="shared" si="738"/>
        <v/>
      </c>
      <c r="V3265" s="13" t="str">
        <f t="shared" si="739"/>
        <v/>
      </c>
      <c r="W3265" s="13" t="str">
        <f t="shared" si="740"/>
        <v/>
      </c>
      <c r="X3265" s="14" t="str">
        <f t="shared" si="741"/>
        <v/>
      </c>
    </row>
    <row r="3266" spans="20:24" x14ac:dyDescent="0.3">
      <c r="T3266" s="13" t="str">
        <f t="shared" si="737"/>
        <v/>
      </c>
      <c r="U3266" s="14" t="str">
        <f t="shared" si="738"/>
        <v/>
      </c>
      <c r="V3266" s="13" t="str">
        <f t="shared" si="739"/>
        <v/>
      </c>
      <c r="W3266" s="13" t="str">
        <f t="shared" si="740"/>
        <v/>
      </c>
      <c r="X3266" s="14" t="str">
        <f t="shared" si="741"/>
        <v/>
      </c>
    </row>
    <row r="3267" spans="20:24" x14ac:dyDescent="0.3">
      <c r="T3267" s="13" t="str">
        <f t="shared" si="737"/>
        <v/>
      </c>
      <c r="U3267" s="14" t="str">
        <f t="shared" si="738"/>
        <v/>
      </c>
      <c r="V3267" s="13" t="str">
        <f t="shared" si="739"/>
        <v/>
      </c>
      <c r="W3267" s="13" t="str">
        <f t="shared" si="740"/>
        <v/>
      </c>
      <c r="X3267" s="14" t="str">
        <f t="shared" si="741"/>
        <v/>
      </c>
    </row>
    <row r="3268" spans="20:24" x14ac:dyDescent="0.3">
      <c r="T3268" s="13" t="str">
        <f t="shared" si="737"/>
        <v/>
      </c>
      <c r="U3268" s="14" t="str">
        <f t="shared" si="738"/>
        <v/>
      </c>
      <c r="V3268" s="13" t="str">
        <f t="shared" si="739"/>
        <v/>
      </c>
      <c r="W3268" s="13" t="str">
        <f t="shared" si="740"/>
        <v/>
      </c>
      <c r="X3268" s="14" t="str">
        <f t="shared" si="741"/>
        <v/>
      </c>
    </row>
    <row r="3269" spans="20:24" x14ac:dyDescent="0.3">
      <c r="T3269" s="13" t="str">
        <f t="shared" si="737"/>
        <v/>
      </c>
      <c r="U3269" s="14" t="str">
        <f t="shared" si="738"/>
        <v/>
      </c>
      <c r="V3269" s="13" t="str">
        <f t="shared" si="739"/>
        <v/>
      </c>
      <c r="W3269" s="13" t="str">
        <f t="shared" si="740"/>
        <v/>
      </c>
      <c r="X3269" s="14" t="str">
        <f t="shared" si="741"/>
        <v/>
      </c>
    </row>
    <row r="3270" spans="20:24" x14ac:dyDescent="0.3">
      <c r="T3270" s="13" t="str">
        <f t="shared" si="737"/>
        <v/>
      </c>
      <c r="U3270" s="14" t="str">
        <f t="shared" si="738"/>
        <v/>
      </c>
      <c r="V3270" s="13" t="str">
        <f t="shared" si="739"/>
        <v/>
      </c>
      <c r="W3270" s="13" t="str">
        <f t="shared" si="740"/>
        <v/>
      </c>
      <c r="X3270" s="14" t="str">
        <f t="shared" si="741"/>
        <v/>
      </c>
    </row>
    <row r="3271" spans="20:24" x14ac:dyDescent="0.3">
      <c r="T3271" s="13" t="str">
        <f t="shared" si="737"/>
        <v/>
      </c>
      <c r="U3271" s="14" t="str">
        <f t="shared" si="738"/>
        <v/>
      </c>
      <c r="V3271" s="13" t="str">
        <f t="shared" si="739"/>
        <v/>
      </c>
      <c r="W3271" s="13" t="str">
        <f t="shared" si="740"/>
        <v/>
      </c>
      <c r="X3271" s="14" t="str">
        <f t="shared" si="741"/>
        <v/>
      </c>
    </row>
    <row r="3272" spans="20:24" x14ac:dyDescent="0.3">
      <c r="T3272" s="13" t="str">
        <f t="shared" si="737"/>
        <v/>
      </c>
      <c r="U3272" s="14" t="str">
        <f t="shared" si="738"/>
        <v/>
      </c>
      <c r="V3272" s="13" t="str">
        <f t="shared" si="739"/>
        <v/>
      </c>
      <c r="W3272" s="13" t="str">
        <f t="shared" si="740"/>
        <v/>
      </c>
      <c r="X3272" s="14" t="str">
        <f t="shared" si="741"/>
        <v/>
      </c>
    </row>
    <row r="3273" spans="20:24" x14ac:dyDescent="0.3">
      <c r="T3273" s="13" t="str">
        <f t="shared" si="737"/>
        <v/>
      </c>
      <c r="U3273" s="14" t="str">
        <f t="shared" si="738"/>
        <v/>
      </c>
      <c r="V3273" s="13" t="str">
        <f t="shared" si="739"/>
        <v/>
      </c>
      <c r="W3273" s="13" t="str">
        <f t="shared" si="740"/>
        <v/>
      </c>
      <c r="X3273" s="14" t="str">
        <f t="shared" si="741"/>
        <v/>
      </c>
    </row>
    <row r="3274" spans="20:24" x14ac:dyDescent="0.3">
      <c r="T3274" s="13" t="str">
        <f t="shared" si="737"/>
        <v/>
      </c>
      <c r="U3274" s="14" t="str">
        <f t="shared" si="738"/>
        <v/>
      </c>
      <c r="V3274" s="13" t="str">
        <f t="shared" si="739"/>
        <v/>
      </c>
      <c r="W3274" s="13" t="str">
        <f t="shared" si="740"/>
        <v/>
      </c>
      <c r="X3274" s="14" t="str">
        <f t="shared" si="741"/>
        <v/>
      </c>
    </row>
    <row r="3275" spans="20:24" x14ac:dyDescent="0.3">
      <c r="T3275" s="13" t="str">
        <f t="shared" si="737"/>
        <v/>
      </c>
      <c r="U3275" s="14" t="str">
        <f t="shared" si="738"/>
        <v/>
      </c>
      <c r="V3275" s="13" t="str">
        <f t="shared" si="739"/>
        <v/>
      </c>
      <c r="W3275" s="13" t="str">
        <f t="shared" si="740"/>
        <v/>
      </c>
      <c r="X3275" s="14" t="str">
        <f t="shared" si="741"/>
        <v/>
      </c>
    </row>
    <row r="3276" spans="20:24" x14ac:dyDescent="0.3">
      <c r="T3276" s="13" t="str">
        <f t="shared" si="737"/>
        <v/>
      </c>
      <c r="U3276" s="14" t="str">
        <f t="shared" si="738"/>
        <v/>
      </c>
      <c r="V3276" s="13" t="str">
        <f t="shared" si="739"/>
        <v/>
      </c>
      <c r="W3276" s="13" t="str">
        <f t="shared" si="740"/>
        <v/>
      </c>
      <c r="X3276" s="14" t="str">
        <f t="shared" si="741"/>
        <v/>
      </c>
    </row>
    <row r="3277" spans="20:24" x14ac:dyDescent="0.3">
      <c r="T3277" s="13" t="str">
        <f t="shared" si="737"/>
        <v/>
      </c>
      <c r="U3277" s="14" t="str">
        <f t="shared" si="738"/>
        <v/>
      </c>
      <c r="V3277" s="13" t="str">
        <f t="shared" si="739"/>
        <v/>
      </c>
      <c r="W3277" s="13" t="str">
        <f t="shared" si="740"/>
        <v/>
      </c>
      <c r="X3277" s="14" t="str">
        <f t="shared" si="741"/>
        <v/>
      </c>
    </row>
    <row r="3278" spans="20:24" x14ac:dyDescent="0.3">
      <c r="T3278" s="13" t="str">
        <f t="shared" si="737"/>
        <v/>
      </c>
      <c r="U3278" s="14" t="str">
        <f t="shared" si="738"/>
        <v/>
      </c>
      <c r="V3278" s="13" t="str">
        <f t="shared" si="739"/>
        <v/>
      </c>
      <c r="W3278" s="13" t="str">
        <f t="shared" si="740"/>
        <v/>
      </c>
      <c r="X3278" s="14" t="str">
        <f t="shared" si="741"/>
        <v/>
      </c>
    </row>
    <row r="3279" spans="20:24" x14ac:dyDescent="0.3">
      <c r="T3279" s="13" t="str">
        <f t="shared" si="737"/>
        <v/>
      </c>
      <c r="U3279" s="14" t="str">
        <f t="shared" si="738"/>
        <v/>
      </c>
      <c r="V3279" s="13" t="str">
        <f t="shared" si="739"/>
        <v/>
      </c>
      <c r="W3279" s="13" t="str">
        <f t="shared" si="740"/>
        <v/>
      </c>
      <c r="X3279" s="14" t="str">
        <f t="shared" si="741"/>
        <v/>
      </c>
    </row>
    <row r="3280" spans="20:24" x14ac:dyDescent="0.3">
      <c r="T3280" s="13" t="str">
        <f t="shared" si="737"/>
        <v/>
      </c>
      <c r="U3280" s="14" t="str">
        <f t="shared" si="738"/>
        <v/>
      </c>
      <c r="V3280" s="13" t="str">
        <f t="shared" si="739"/>
        <v/>
      </c>
      <c r="W3280" s="13" t="str">
        <f t="shared" si="740"/>
        <v/>
      </c>
      <c r="X3280" s="14" t="str">
        <f t="shared" si="741"/>
        <v/>
      </c>
    </row>
    <row r="3281" spans="20:24" x14ac:dyDescent="0.3">
      <c r="T3281" s="13" t="str">
        <f t="shared" si="737"/>
        <v/>
      </c>
      <c r="U3281" s="14" t="str">
        <f t="shared" si="738"/>
        <v/>
      </c>
      <c r="V3281" s="13" t="str">
        <f t="shared" si="739"/>
        <v/>
      </c>
      <c r="W3281" s="13" t="str">
        <f t="shared" si="740"/>
        <v/>
      </c>
      <c r="X3281" s="14" t="str">
        <f t="shared" si="741"/>
        <v/>
      </c>
    </row>
    <row r="3282" spans="20:24" x14ac:dyDescent="0.3">
      <c r="T3282" s="13" t="str">
        <f t="shared" si="737"/>
        <v/>
      </c>
      <c r="U3282" s="14" t="str">
        <f t="shared" si="738"/>
        <v/>
      </c>
      <c r="V3282" s="13" t="str">
        <f t="shared" si="739"/>
        <v/>
      </c>
      <c r="W3282" s="13" t="str">
        <f t="shared" si="740"/>
        <v/>
      </c>
      <c r="X3282" s="14" t="str">
        <f t="shared" si="741"/>
        <v/>
      </c>
    </row>
    <row r="3283" spans="20:24" x14ac:dyDescent="0.3">
      <c r="T3283" s="13" t="str">
        <f t="shared" ref="T3283:T3346" si="742">IF(A3283="",IF(A3282="","",$T$1),IF(O3283=1,"#",IF(B3283=0,"*",DEC2HEX(R3283))))</f>
        <v/>
      </c>
      <c r="U3283" s="14" t="str">
        <f t="shared" ref="U3283:U3346" si="743">IF(A3283="",IF(A3282="","",$U$1),  IF(B3283=0,Q3283,I3283)  )</f>
        <v/>
      </c>
      <c r="V3283" s="13" t="str">
        <f t="shared" ref="V3283:V3346" si="744">IF(U3283=$U$1,"",IF(A3283="",IF(A3282="","",1),  IF(B3283=0,1,D3283)  ))</f>
        <v/>
      </c>
      <c r="W3283" s="13" t="str">
        <f t="shared" ref="W3283:W3346" si="745">IF(U3283=$U$1,"",IF(A3283="",IF(A3282="","",0),  IF(C3283=0,0,0)  ))</f>
        <v/>
      </c>
      <c r="X3283" s="14" t="str">
        <f t="shared" ref="X3283:X3346" si="746">IF(U3283=$U$1,"",IF(U3283="","",IF(B3283&gt;0,IF(Q3283&lt;&gt;"",Q3283,"No description"),"-")))</f>
        <v/>
      </c>
    </row>
    <row r="3284" spans="20:24" x14ac:dyDescent="0.3">
      <c r="T3284" s="13" t="str">
        <f t="shared" si="742"/>
        <v/>
      </c>
      <c r="U3284" s="14" t="str">
        <f t="shared" si="743"/>
        <v/>
      </c>
      <c r="V3284" s="13" t="str">
        <f t="shared" si="744"/>
        <v/>
      </c>
      <c r="W3284" s="13" t="str">
        <f t="shared" si="745"/>
        <v/>
      </c>
      <c r="X3284" s="14" t="str">
        <f t="shared" si="746"/>
        <v/>
      </c>
    </row>
    <row r="3285" spans="20:24" x14ac:dyDescent="0.3">
      <c r="T3285" s="13" t="str">
        <f t="shared" si="742"/>
        <v/>
      </c>
      <c r="U3285" s="14" t="str">
        <f t="shared" si="743"/>
        <v/>
      </c>
      <c r="V3285" s="13" t="str">
        <f t="shared" si="744"/>
        <v/>
      </c>
      <c r="W3285" s="13" t="str">
        <f t="shared" si="745"/>
        <v/>
      </c>
      <c r="X3285" s="14" t="str">
        <f t="shared" si="746"/>
        <v/>
      </c>
    </row>
    <row r="3286" spans="20:24" x14ac:dyDescent="0.3">
      <c r="T3286" s="13" t="str">
        <f t="shared" si="742"/>
        <v/>
      </c>
      <c r="U3286" s="14" t="str">
        <f t="shared" si="743"/>
        <v/>
      </c>
      <c r="V3286" s="13" t="str">
        <f t="shared" si="744"/>
        <v/>
      </c>
      <c r="W3286" s="13" t="str">
        <f t="shared" si="745"/>
        <v/>
      </c>
      <c r="X3286" s="14" t="str">
        <f t="shared" si="746"/>
        <v/>
      </c>
    </row>
    <row r="3287" spans="20:24" x14ac:dyDescent="0.3">
      <c r="T3287" s="13" t="str">
        <f t="shared" si="742"/>
        <v/>
      </c>
      <c r="U3287" s="14" t="str">
        <f t="shared" si="743"/>
        <v/>
      </c>
      <c r="V3287" s="13" t="str">
        <f t="shared" si="744"/>
        <v/>
      </c>
      <c r="W3287" s="13" t="str">
        <f t="shared" si="745"/>
        <v/>
      </c>
      <c r="X3287" s="14" t="str">
        <f t="shared" si="746"/>
        <v/>
      </c>
    </row>
    <row r="3288" spans="20:24" x14ac:dyDescent="0.3">
      <c r="T3288" s="13" t="str">
        <f t="shared" si="742"/>
        <v/>
      </c>
      <c r="U3288" s="14" t="str">
        <f t="shared" si="743"/>
        <v/>
      </c>
      <c r="V3288" s="13" t="str">
        <f t="shared" si="744"/>
        <v/>
      </c>
      <c r="W3288" s="13" t="str">
        <f t="shared" si="745"/>
        <v/>
      </c>
      <c r="X3288" s="14" t="str">
        <f t="shared" si="746"/>
        <v/>
      </c>
    </row>
    <row r="3289" spans="20:24" x14ac:dyDescent="0.3">
      <c r="T3289" s="13" t="str">
        <f t="shared" si="742"/>
        <v/>
      </c>
      <c r="U3289" s="14" t="str">
        <f t="shared" si="743"/>
        <v/>
      </c>
      <c r="V3289" s="13" t="str">
        <f t="shared" si="744"/>
        <v/>
      </c>
      <c r="W3289" s="13" t="str">
        <f t="shared" si="745"/>
        <v/>
      </c>
      <c r="X3289" s="14" t="str">
        <f t="shared" si="746"/>
        <v/>
      </c>
    </row>
    <row r="3290" spans="20:24" x14ac:dyDescent="0.3">
      <c r="T3290" s="13" t="str">
        <f t="shared" si="742"/>
        <v/>
      </c>
      <c r="U3290" s="14" t="str">
        <f t="shared" si="743"/>
        <v/>
      </c>
      <c r="V3290" s="13" t="str">
        <f t="shared" si="744"/>
        <v/>
      </c>
      <c r="W3290" s="13" t="str">
        <f t="shared" si="745"/>
        <v/>
      </c>
      <c r="X3290" s="14" t="str">
        <f t="shared" si="746"/>
        <v/>
      </c>
    </row>
    <row r="3291" spans="20:24" x14ac:dyDescent="0.3">
      <c r="T3291" s="13" t="str">
        <f t="shared" si="742"/>
        <v/>
      </c>
      <c r="U3291" s="14" t="str">
        <f t="shared" si="743"/>
        <v/>
      </c>
      <c r="V3291" s="13" t="str">
        <f t="shared" si="744"/>
        <v/>
      </c>
      <c r="W3291" s="13" t="str">
        <f t="shared" si="745"/>
        <v/>
      </c>
      <c r="X3291" s="14" t="str">
        <f t="shared" si="746"/>
        <v/>
      </c>
    </row>
    <row r="3292" spans="20:24" x14ac:dyDescent="0.3">
      <c r="T3292" s="13" t="str">
        <f t="shared" si="742"/>
        <v/>
      </c>
      <c r="U3292" s="14" t="str">
        <f t="shared" si="743"/>
        <v/>
      </c>
      <c r="V3292" s="13" t="str">
        <f t="shared" si="744"/>
        <v/>
      </c>
      <c r="W3292" s="13" t="str">
        <f t="shared" si="745"/>
        <v/>
      </c>
      <c r="X3292" s="14" t="str">
        <f t="shared" si="746"/>
        <v/>
      </c>
    </row>
    <row r="3293" spans="20:24" x14ac:dyDescent="0.3">
      <c r="T3293" s="13" t="str">
        <f t="shared" si="742"/>
        <v/>
      </c>
      <c r="U3293" s="14" t="str">
        <f t="shared" si="743"/>
        <v/>
      </c>
      <c r="V3293" s="13" t="str">
        <f t="shared" si="744"/>
        <v/>
      </c>
      <c r="W3293" s="13" t="str">
        <f t="shared" si="745"/>
        <v/>
      </c>
      <c r="X3293" s="14" t="str">
        <f t="shared" si="746"/>
        <v/>
      </c>
    </row>
    <row r="3294" spans="20:24" x14ac:dyDescent="0.3">
      <c r="T3294" s="13" t="str">
        <f t="shared" si="742"/>
        <v/>
      </c>
      <c r="U3294" s="14" t="str">
        <f t="shared" si="743"/>
        <v/>
      </c>
      <c r="V3294" s="13" t="str">
        <f t="shared" si="744"/>
        <v/>
      </c>
      <c r="W3294" s="13" t="str">
        <f t="shared" si="745"/>
        <v/>
      </c>
      <c r="X3294" s="14" t="str">
        <f t="shared" si="746"/>
        <v/>
      </c>
    </row>
    <row r="3295" spans="20:24" x14ac:dyDescent="0.3">
      <c r="T3295" s="13" t="str">
        <f t="shared" si="742"/>
        <v/>
      </c>
      <c r="U3295" s="14" t="str">
        <f t="shared" si="743"/>
        <v/>
      </c>
      <c r="V3295" s="13" t="str">
        <f t="shared" si="744"/>
        <v/>
      </c>
      <c r="W3295" s="13" t="str">
        <f t="shared" si="745"/>
        <v/>
      </c>
      <c r="X3295" s="14" t="str">
        <f t="shared" si="746"/>
        <v/>
      </c>
    </row>
    <row r="3296" spans="20:24" x14ac:dyDescent="0.3">
      <c r="T3296" s="13" t="str">
        <f t="shared" si="742"/>
        <v/>
      </c>
      <c r="U3296" s="14" t="str">
        <f t="shared" si="743"/>
        <v/>
      </c>
      <c r="V3296" s="13" t="str">
        <f t="shared" si="744"/>
        <v/>
      </c>
      <c r="W3296" s="13" t="str">
        <f t="shared" si="745"/>
        <v/>
      </c>
      <c r="X3296" s="14" t="str">
        <f t="shared" si="746"/>
        <v/>
      </c>
    </row>
    <row r="3297" spans="20:24" x14ac:dyDescent="0.3">
      <c r="T3297" s="13" t="str">
        <f t="shared" si="742"/>
        <v/>
      </c>
      <c r="U3297" s="14" t="str">
        <f t="shared" si="743"/>
        <v/>
      </c>
      <c r="V3297" s="13" t="str">
        <f t="shared" si="744"/>
        <v/>
      </c>
      <c r="W3297" s="13" t="str">
        <f t="shared" si="745"/>
        <v/>
      </c>
      <c r="X3297" s="14" t="str">
        <f t="shared" si="746"/>
        <v/>
      </c>
    </row>
    <row r="3298" spans="20:24" x14ac:dyDescent="0.3">
      <c r="T3298" s="13" t="str">
        <f t="shared" si="742"/>
        <v/>
      </c>
      <c r="U3298" s="14" t="str">
        <f t="shared" si="743"/>
        <v/>
      </c>
      <c r="V3298" s="13" t="str">
        <f t="shared" si="744"/>
        <v/>
      </c>
      <c r="W3298" s="13" t="str">
        <f t="shared" si="745"/>
        <v/>
      </c>
      <c r="X3298" s="14" t="str">
        <f t="shared" si="746"/>
        <v/>
      </c>
    </row>
    <row r="3299" spans="20:24" x14ac:dyDescent="0.3">
      <c r="T3299" s="13" t="str">
        <f t="shared" si="742"/>
        <v/>
      </c>
      <c r="U3299" s="14" t="str">
        <f t="shared" si="743"/>
        <v/>
      </c>
      <c r="V3299" s="13" t="str">
        <f t="shared" si="744"/>
        <v/>
      </c>
      <c r="W3299" s="13" t="str">
        <f t="shared" si="745"/>
        <v/>
      </c>
      <c r="X3299" s="14" t="str">
        <f t="shared" si="746"/>
        <v/>
      </c>
    </row>
    <row r="3300" spans="20:24" x14ac:dyDescent="0.3">
      <c r="T3300" s="13" t="str">
        <f t="shared" si="742"/>
        <v/>
      </c>
      <c r="U3300" s="14" t="str">
        <f t="shared" si="743"/>
        <v/>
      </c>
      <c r="V3300" s="13" t="str">
        <f t="shared" si="744"/>
        <v/>
      </c>
      <c r="W3300" s="13" t="str">
        <f t="shared" si="745"/>
        <v/>
      </c>
      <c r="X3300" s="14" t="str">
        <f t="shared" si="746"/>
        <v/>
      </c>
    </row>
    <row r="3301" spans="20:24" x14ac:dyDescent="0.3">
      <c r="T3301" s="13" t="str">
        <f t="shared" si="742"/>
        <v/>
      </c>
      <c r="U3301" s="14" t="str">
        <f t="shared" si="743"/>
        <v/>
      </c>
      <c r="V3301" s="13" t="str">
        <f t="shared" si="744"/>
        <v/>
      </c>
      <c r="W3301" s="13" t="str">
        <f t="shared" si="745"/>
        <v/>
      </c>
      <c r="X3301" s="14" t="str">
        <f t="shared" si="746"/>
        <v/>
      </c>
    </row>
    <row r="3302" spans="20:24" x14ac:dyDescent="0.3">
      <c r="T3302" s="13" t="str">
        <f t="shared" si="742"/>
        <v/>
      </c>
      <c r="U3302" s="14" t="str">
        <f t="shared" si="743"/>
        <v/>
      </c>
      <c r="V3302" s="13" t="str">
        <f t="shared" si="744"/>
        <v/>
      </c>
      <c r="W3302" s="13" t="str">
        <f t="shared" si="745"/>
        <v/>
      </c>
      <c r="X3302" s="14" t="str">
        <f t="shared" si="746"/>
        <v/>
      </c>
    </row>
    <row r="3303" spans="20:24" x14ac:dyDescent="0.3">
      <c r="T3303" s="13" t="str">
        <f t="shared" si="742"/>
        <v/>
      </c>
      <c r="U3303" s="14" t="str">
        <f t="shared" si="743"/>
        <v/>
      </c>
      <c r="V3303" s="13" t="str">
        <f t="shared" si="744"/>
        <v/>
      </c>
      <c r="W3303" s="13" t="str">
        <f t="shared" si="745"/>
        <v/>
      </c>
      <c r="X3303" s="14" t="str">
        <f t="shared" si="746"/>
        <v/>
      </c>
    </row>
    <row r="3304" spans="20:24" x14ac:dyDescent="0.3">
      <c r="T3304" s="13" t="str">
        <f t="shared" si="742"/>
        <v/>
      </c>
      <c r="U3304" s="14" t="str">
        <f t="shared" si="743"/>
        <v/>
      </c>
      <c r="V3304" s="13" t="str">
        <f t="shared" si="744"/>
        <v/>
      </c>
      <c r="W3304" s="13" t="str">
        <f t="shared" si="745"/>
        <v/>
      </c>
      <c r="X3304" s="14" t="str">
        <f t="shared" si="746"/>
        <v/>
      </c>
    </row>
    <row r="3305" spans="20:24" x14ac:dyDescent="0.3">
      <c r="T3305" s="13" t="str">
        <f t="shared" si="742"/>
        <v/>
      </c>
      <c r="U3305" s="14" t="str">
        <f t="shared" si="743"/>
        <v/>
      </c>
      <c r="V3305" s="13" t="str">
        <f t="shared" si="744"/>
        <v/>
      </c>
      <c r="W3305" s="13" t="str">
        <f t="shared" si="745"/>
        <v/>
      </c>
      <c r="X3305" s="14" t="str">
        <f t="shared" si="746"/>
        <v/>
      </c>
    </row>
    <row r="3306" spans="20:24" x14ac:dyDescent="0.3">
      <c r="T3306" s="13" t="str">
        <f t="shared" si="742"/>
        <v/>
      </c>
      <c r="U3306" s="14" t="str">
        <f t="shared" si="743"/>
        <v/>
      </c>
      <c r="V3306" s="13" t="str">
        <f t="shared" si="744"/>
        <v/>
      </c>
      <c r="W3306" s="13" t="str">
        <f t="shared" si="745"/>
        <v/>
      </c>
      <c r="X3306" s="14" t="str">
        <f t="shared" si="746"/>
        <v/>
      </c>
    </row>
    <row r="3307" spans="20:24" x14ac:dyDescent="0.3">
      <c r="T3307" s="13" t="str">
        <f t="shared" si="742"/>
        <v/>
      </c>
      <c r="U3307" s="14" t="str">
        <f t="shared" si="743"/>
        <v/>
      </c>
      <c r="V3307" s="13" t="str">
        <f t="shared" si="744"/>
        <v/>
      </c>
      <c r="W3307" s="13" t="str">
        <f t="shared" si="745"/>
        <v/>
      </c>
      <c r="X3307" s="14" t="str">
        <f t="shared" si="746"/>
        <v/>
      </c>
    </row>
    <row r="3308" spans="20:24" x14ac:dyDescent="0.3">
      <c r="T3308" s="13" t="str">
        <f t="shared" si="742"/>
        <v/>
      </c>
      <c r="U3308" s="14" t="str">
        <f t="shared" si="743"/>
        <v/>
      </c>
      <c r="V3308" s="13" t="str">
        <f t="shared" si="744"/>
        <v/>
      </c>
      <c r="W3308" s="13" t="str">
        <f t="shared" si="745"/>
        <v/>
      </c>
      <c r="X3308" s="14" t="str">
        <f t="shared" si="746"/>
        <v/>
      </c>
    </row>
    <row r="3309" spans="20:24" x14ac:dyDescent="0.3">
      <c r="T3309" s="13" t="str">
        <f t="shared" si="742"/>
        <v/>
      </c>
      <c r="U3309" s="14" t="str">
        <f t="shared" si="743"/>
        <v/>
      </c>
      <c r="V3309" s="13" t="str">
        <f t="shared" si="744"/>
        <v/>
      </c>
      <c r="W3309" s="13" t="str">
        <f t="shared" si="745"/>
        <v/>
      </c>
      <c r="X3309" s="14" t="str">
        <f t="shared" si="746"/>
        <v/>
      </c>
    </row>
    <row r="3310" spans="20:24" x14ac:dyDescent="0.3">
      <c r="T3310" s="13" t="str">
        <f t="shared" si="742"/>
        <v/>
      </c>
      <c r="U3310" s="14" t="str">
        <f t="shared" si="743"/>
        <v/>
      </c>
      <c r="V3310" s="13" t="str">
        <f t="shared" si="744"/>
        <v/>
      </c>
      <c r="W3310" s="13" t="str">
        <f t="shared" si="745"/>
        <v/>
      </c>
      <c r="X3310" s="14" t="str">
        <f t="shared" si="746"/>
        <v/>
      </c>
    </row>
    <row r="3311" spans="20:24" x14ac:dyDescent="0.3">
      <c r="T3311" s="13" t="str">
        <f t="shared" si="742"/>
        <v/>
      </c>
      <c r="U3311" s="14" t="str">
        <f t="shared" si="743"/>
        <v/>
      </c>
      <c r="V3311" s="13" t="str">
        <f t="shared" si="744"/>
        <v/>
      </c>
      <c r="W3311" s="13" t="str">
        <f t="shared" si="745"/>
        <v/>
      </c>
      <c r="X3311" s="14" t="str">
        <f t="shared" si="746"/>
        <v/>
      </c>
    </row>
    <row r="3312" spans="20:24" x14ac:dyDescent="0.3">
      <c r="T3312" s="13" t="str">
        <f t="shared" si="742"/>
        <v/>
      </c>
      <c r="U3312" s="14" t="str">
        <f t="shared" si="743"/>
        <v/>
      </c>
      <c r="V3312" s="13" t="str">
        <f t="shared" si="744"/>
        <v/>
      </c>
      <c r="W3312" s="13" t="str">
        <f t="shared" si="745"/>
        <v/>
      </c>
      <c r="X3312" s="14" t="str">
        <f t="shared" si="746"/>
        <v/>
      </c>
    </row>
    <row r="3313" spans="20:24" x14ac:dyDescent="0.3">
      <c r="T3313" s="13" t="str">
        <f t="shared" si="742"/>
        <v/>
      </c>
      <c r="U3313" s="14" t="str">
        <f t="shared" si="743"/>
        <v/>
      </c>
      <c r="V3313" s="13" t="str">
        <f t="shared" si="744"/>
        <v/>
      </c>
      <c r="W3313" s="13" t="str">
        <f t="shared" si="745"/>
        <v/>
      </c>
      <c r="X3313" s="14" t="str">
        <f t="shared" si="746"/>
        <v/>
      </c>
    </row>
    <row r="3314" spans="20:24" x14ac:dyDescent="0.3">
      <c r="T3314" s="13" t="str">
        <f t="shared" si="742"/>
        <v/>
      </c>
      <c r="U3314" s="14" t="str">
        <f t="shared" si="743"/>
        <v/>
      </c>
      <c r="V3314" s="13" t="str">
        <f t="shared" si="744"/>
        <v/>
      </c>
      <c r="W3314" s="13" t="str">
        <f t="shared" si="745"/>
        <v/>
      </c>
      <c r="X3314" s="14" t="str">
        <f t="shared" si="746"/>
        <v/>
      </c>
    </row>
    <row r="3315" spans="20:24" x14ac:dyDescent="0.3">
      <c r="T3315" s="13" t="str">
        <f t="shared" si="742"/>
        <v/>
      </c>
      <c r="U3315" s="14" t="str">
        <f t="shared" si="743"/>
        <v/>
      </c>
      <c r="V3315" s="13" t="str">
        <f t="shared" si="744"/>
        <v/>
      </c>
      <c r="W3315" s="13" t="str">
        <f t="shared" si="745"/>
        <v/>
      </c>
      <c r="X3315" s="14" t="str">
        <f t="shared" si="746"/>
        <v/>
      </c>
    </row>
    <row r="3316" spans="20:24" x14ac:dyDescent="0.3">
      <c r="T3316" s="13" t="str">
        <f t="shared" si="742"/>
        <v/>
      </c>
      <c r="U3316" s="14" t="str">
        <f t="shared" si="743"/>
        <v/>
      </c>
      <c r="V3316" s="13" t="str">
        <f t="shared" si="744"/>
        <v/>
      </c>
      <c r="W3316" s="13" t="str">
        <f t="shared" si="745"/>
        <v/>
      </c>
      <c r="X3316" s="14" t="str">
        <f t="shared" si="746"/>
        <v/>
      </c>
    </row>
    <row r="3317" spans="20:24" x14ac:dyDescent="0.3">
      <c r="T3317" s="13" t="str">
        <f t="shared" si="742"/>
        <v/>
      </c>
      <c r="U3317" s="14" t="str">
        <f t="shared" si="743"/>
        <v/>
      </c>
      <c r="V3317" s="13" t="str">
        <f t="shared" si="744"/>
        <v/>
      </c>
      <c r="W3317" s="13" t="str">
        <f t="shared" si="745"/>
        <v/>
      </c>
      <c r="X3317" s="14" t="str">
        <f t="shared" si="746"/>
        <v/>
      </c>
    </row>
    <row r="3318" spans="20:24" x14ac:dyDescent="0.3">
      <c r="T3318" s="13" t="str">
        <f t="shared" si="742"/>
        <v/>
      </c>
      <c r="U3318" s="14" t="str">
        <f t="shared" si="743"/>
        <v/>
      </c>
      <c r="V3318" s="13" t="str">
        <f t="shared" si="744"/>
        <v/>
      </c>
      <c r="W3318" s="13" t="str">
        <f t="shared" si="745"/>
        <v/>
      </c>
      <c r="X3318" s="14" t="str">
        <f t="shared" si="746"/>
        <v/>
      </c>
    </row>
    <row r="3319" spans="20:24" x14ac:dyDescent="0.3">
      <c r="T3319" s="13" t="str">
        <f t="shared" si="742"/>
        <v/>
      </c>
      <c r="U3319" s="14" t="str">
        <f t="shared" si="743"/>
        <v/>
      </c>
      <c r="V3319" s="13" t="str">
        <f t="shared" si="744"/>
        <v/>
      </c>
      <c r="W3319" s="13" t="str">
        <f t="shared" si="745"/>
        <v/>
      </c>
      <c r="X3319" s="14" t="str">
        <f t="shared" si="746"/>
        <v/>
      </c>
    </row>
    <row r="3320" spans="20:24" x14ac:dyDescent="0.3">
      <c r="T3320" s="13" t="str">
        <f t="shared" si="742"/>
        <v/>
      </c>
      <c r="U3320" s="14" t="str">
        <f t="shared" si="743"/>
        <v/>
      </c>
      <c r="V3320" s="13" t="str">
        <f t="shared" si="744"/>
        <v/>
      </c>
      <c r="W3320" s="13" t="str">
        <f t="shared" si="745"/>
        <v/>
      </c>
      <c r="X3320" s="14" t="str">
        <f t="shared" si="746"/>
        <v/>
      </c>
    </row>
    <row r="3321" spans="20:24" x14ac:dyDescent="0.3">
      <c r="T3321" s="13" t="str">
        <f t="shared" si="742"/>
        <v/>
      </c>
      <c r="U3321" s="14" t="str">
        <f t="shared" si="743"/>
        <v/>
      </c>
      <c r="V3321" s="13" t="str">
        <f t="shared" si="744"/>
        <v/>
      </c>
      <c r="W3321" s="13" t="str">
        <f t="shared" si="745"/>
        <v/>
      </c>
      <c r="X3321" s="14" t="str">
        <f t="shared" si="746"/>
        <v/>
      </c>
    </row>
    <row r="3322" spans="20:24" x14ac:dyDescent="0.3">
      <c r="T3322" s="13" t="str">
        <f t="shared" si="742"/>
        <v/>
      </c>
      <c r="U3322" s="14" t="str">
        <f t="shared" si="743"/>
        <v/>
      </c>
      <c r="V3322" s="13" t="str">
        <f t="shared" si="744"/>
        <v/>
      </c>
      <c r="W3322" s="13" t="str">
        <f t="shared" si="745"/>
        <v/>
      </c>
      <c r="X3322" s="14" t="str">
        <f t="shared" si="746"/>
        <v/>
      </c>
    </row>
    <row r="3323" spans="20:24" x14ac:dyDescent="0.3">
      <c r="T3323" s="13" t="str">
        <f t="shared" si="742"/>
        <v/>
      </c>
      <c r="U3323" s="14" t="str">
        <f t="shared" si="743"/>
        <v/>
      </c>
      <c r="V3323" s="13" t="str">
        <f t="shared" si="744"/>
        <v/>
      </c>
      <c r="W3323" s="13" t="str">
        <f t="shared" si="745"/>
        <v/>
      </c>
      <c r="X3323" s="14" t="str">
        <f t="shared" si="746"/>
        <v/>
      </c>
    </row>
    <row r="3324" spans="20:24" x14ac:dyDescent="0.3">
      <c r="T3324" s="13" t="str">
        <f t="shared" si="742"/>
        <v/>
      </c>
      <c r="U3324" s="14" t="str">
        <f t="shared" si="743"/>
        <v/>
      </c>
      <c r="V3324" s="13" t="str">
        <f t="shared" si="744"/>
        <v/>
      </c>
      <c r="W3324" s="13" t="str">
        <f t="shared" si="745"/>
        <v/>
      </c>
      <c r="X3324" s="14" t="str">
        <f t="shared" si="746"/>
        <v/>
      </c>
    </row>
    <row r="3325" spans="20:24" x14ac:dyDescent="0.3">
      <c r="T3325" s="13" t="str">
        <f t="shared" si="742"/>
        <v/>
      </c>
      <c r="U3325" s="14" t="str">
        <f t="shared" si="743"/>
        <v/>
      </c>
      <c r="V3325" s="13" t="str">
        <f t="shared" si="744"/>
        <v/>
      </c>
      <c r="W3325" s="13" t="str">
        <f t="shared" si="745"/>
        <v/>
      </c>
      <c r="X3325" s="14" t="str">
        <f t="shared" si="746"/>
        <v/>
      </c>
    </row>
    <row r="3326" spans="20:24" x14ac:dyDescent="0.3">
      <c r="T3326" s="13" t="str">
        <f t="shared" si="742"/>
        <v/>
      </c>
      <c r="U3326" s="14" t="str">
        <f t="shared" si="743"/>
        <v/>
      </c>
      <c r="V3326" s="13" t="str">
        <f t="shared" si="744"/>
        <v/>
      </c>
      <c r="W3326" s="13" t="str">
        <f t="shared" si="745"/>
        <v/>
      </c>
      <c r="X3326" s="14" t="str">
        <f t="shared" si="746"/>
        <v/>
      </c>
    </row>
    <row r="3327" spans="20:24" x14ac:dyDescent="0.3">
      <c r="T3327" s="13" t="str">
        <f t="shared" si="742"/>
        <v/>
      </c>
      <c r="U3327" s="14" t="str">
        <f t="shared" si="743"/>
        <v/>
      </c>
      <c r="V3327" s="13" t="str">
        <f t="shared" si="744"/>
        <v/>
      </c>
      <c r="W3327" s="13" t="str">
        <f t="shared" si="745"/>
        <v/>
      </c>
      <c r="X3327" s="14" t="str">
        <f t="shared" si="746"/>
        <v/>
      </c>
    </row>
    <row r="3328" spans="20:24" x14ac:dyDescent="0.3">
      <c r="T3328" s="13" t="str">
        <f t="shared" si="742"/>
        <v/>
      </c>
      <c r="U3328" s="14" t="str">
        <f t="shared" si="743"/>
        <v/>
      </c>
      <c r="V3328" s="13" t="str">
        <f t="shared" si="744"/>
        <v/>
      </c>
      <c r="W3328" s="13" t="str">
        <f t="shared" si="745"/>
        <v/>
      </c>
      <c r="X3328" s="14" t="str">
        <f t="shared" si="746"/>
        <v/>
      </c>
    </row>
    <row r="3329" spans="20:24" x14ac:dyDescent="0.3">
      <c r="T3329" s="13" t="str">
        <f t="shared" si="742"/>
        <v/>
      </c>
      <c r="U3329" s="14" t="str">
        <f t="shared" si="743"/>
        <v/>
      </c>
      <c r="V3329" s="13" t="str">
        <f t="shared" si="744"/>
        <v/>
      </c>
      <c r="W3329" s="13" t="str">
        <f t="shared" si="745"/>
        <v/>
      </c>
      <c r="X3329" s="14" t="str">
        <f t="shared" si="746"/>
        <v/>
      </c>
    </row>
    <row r="3330" spans="20:24" x14ac:dyDescent="0.3">
      <c r="T3330" s="13" t="str">
        <f t="shared" si="742"/>
        <v/>
      </c>
      <c r="U3330" s="14" t="str">
        <f t="shared" si="743"/>
        <v/>
      </c>
      <c r="V3330" s="13" t="str">
        <f t="shared" si="744"/>
        <v/>
      </c>
      <c r="W3330" s="13" t="str">
        <f t="shared" si="745"/>
        <v/>
      </c>
      <c r="X3330" s="14" t="str">
        <f t="shared" si="746"/>
        <v/>
      </c>
    </row>
    <row r="3331" spans="20:24" x14ac:dyDescent="0.3">
      <c r="T3331" s="13" t="str">
        <f t="shared" si="742"/>
        <v/>
      </c>
      <c r="U3331" s="14" t="str">
        <f t="shared" si="743"/>
        <v/>
      </c>
      <c r="V3331" s="13" t="str">
        <f t="shared" si="744"/>
        <v/>
      </c>
      <c r="W3331" s="13" t="str">
        <f t="shared" si="745"/>
        <v/>
      </c>
      <c r="X3331" s="14" t="str">
        <f t="shared" si="746"/>
        <v/>
      </c>
    </row>
    <row r="3332" spans="20:24" x14ac:dyDescent="0.3">
      <c r="T3332" s="13" t="str">
        <f t="shared" si="742"/>
        <v/>
      </c>
      <c r="U3332" s="14" t="str">
        <f t="shared" si="743"/>
        <v/>
      </c>
      <c r="V3332" s="13" t="str">
        <f t="shared" si="744"/>
        <v/>
      </c>
      <c r="W3332" s="13" t="str">
        <f t="shared" si="745"/>
        <v/>
      </c>
      <c r="X3332" s="14" t="str">
        <f t="shared" si="746"/>
        <v/>
      </c>
    </row>
    <row r="3333" spans="20:24" x14ac:dyDescent="0.3">
      <c r="T3333" s="13" t="str">
        <f t="shared" si="742"/>
        <v/>
      </c>
      <c r="U3333" s="14" t="str">
        <f t="shared" si="743"/>
        <v/>
      </c>
      <c r="V3333" s="13" t="str">
        <f t="shared" si="744"/>
        <v/>
      </c>
      <c r="W3333" s="13" t="str">
        <f t="shared" si="745"/>
        <v/>
      </c>
      <c r="X3333" s="14" t="str">
        <f t="shared" si="746"/>
        <v/>
      </c>
    </row>
    <row r="3334" spans="20:24" x14ac:dyDescent="0.3">
      <c r="T3334" s="13" t="str">
        <f t="shared" si="742"/>
        <v/>
      </c>
      <c r="U3334" s="14" t="str">
        <f t="shared" si="743"/>
        <v/>
      </c>
      <c r="V3334" s="13" t="str">
        <f t="shared" si="744"/>
        <v/>
      </c>
      <c r="W3334" s="13" t="str">
        <f t="shared" si="745"/>
        <v/>
      </c>
      <c r="X3334" s="14" t="str">
        <f t="shared" si="746"/>
        <v/>
      </c>
    </row>
    <row r="3335" spans="20:24" x14ac:dyDescent="0.3">
      <c r="T3335" s="13" t="str">
        <f t="shared" si="742"/>
        <v/>
      </c>
      <c r="U3335" s="14" t="str">
        <f t="shared" si="743"/>
        <v/>
      </c>
      <c r="V3335" s="13" t="str">
        <f t="shared" si="744"/>
        <v/>
      </c>
      <c r="W3335" s="13" t="str">
        <f t="shared" si="745"/>
        <v/>
      </c>
      <c r="X3335" s="14" t="str">
        <f t="shared" si="746"/>
        <v/>
      </c>
    </row>
    <row r="3336" spans="20:24" x14ac:dyDescent="0.3">
      <c r="T3336" s="13" t="str">
        <f t="shared" si="742"/>
        <v/>
      </c>
      <c r="U3336" s="14" t="str">
        <f t="shared" si="743"/>
        <v/>
      </c>
      <c r="V3336" s="13" t="str">
        <f t="shared" si="744"/>
        <v/>
      </c>
      <c r="W3336" s="13" t="str">
        <f t="shared" si="745"/>
        <v/>
      </c>
      <c r="X3336" s="14" t="str">
        <f t="shared" si="746"/>
        <v/>
      </c>
    </row>
    <row r="3337" spans="20:24" x14ac:dyDescent="0.3">
      <c r="T3337" s="13" t="str">
        <f t="shared" si="742"/>
        <v/>
      </c>
      <c r="U3337" s="14" t="str">
        <f t="shared" si="743"/>
        <v/>
      </c>
      <c r="V3337" s="13" t="str">
        <f t="shared" si="744"/>
        <v/>
      </c>
      <c r="W3337" s="13" t="str">
        <f t="shared" si="745"/>
        <v/>
      </c>
      <c r="X3337" s="14" t="str">
        <f t="shared" si="746"/>
        <v/>
      </c>
    </row>
    <row r="3338" spans="20:24" x14ac:dyDescent="0.3">
      <c r="T3338" s="13" t="str">
        <f t="shared" si="742"/>
        <v/>
      </c>
      <c r="U3338" s="14" t="str">
        <f t="shared" si="743"/>
        <v/>
      </c>
      <c r="V3338" s="13" t="str">
        <f t="shared" si="744"/>
        <v/>
      </c>
      <c r="W3338" s="13" t="str">
        <f t="shared" si="745"/>
        <v/>
      </c>
      <c r="X3338" s="14" t="str">
        <f t="shared" si="746"/>
        <v/>
      </c>
    </row>
    <row r="3339" spans="20:24" x14ac:dyDescent="0.3">
      <c r="T3339" s="13" t="str">
        <f t="shared" si="742"/>
        <v/>
      </c>
      <c r="U3339" s="14" t="str">
        <f t="shared" si="743"/>
        <v/>
      </c>
      <c r="V3339" s="13" t="str">
        <f t="shared" si="744"/>
        <v/>
      </c>
      <c r="W3339" s="13" t="str">
        <f t="shared" si="745"/>
        <v/>
      </c>
      <c r="X3339" s="14" t="str">
        <f t="shared" si="746"/>
        <v/>
      </c>
    </row>
    <row r="3340" spans="20:24" x14ac:dyDescent="0.3">
      <c r="T3340" s="13" t="str">
        <f t="shared" si="742"/>
        <v/>
      </c>
      <c r="U3340" s="14" t="str">
        <f t="shared" si="743"/>
        <v/>
      </c>
      <c r="V3340" s="13" t="str">
        <f t="shared" si="744"/>
        <v/>
      </c>
      <c r="W3340" s="13" t="str">
        <f t="shared" si="745"/>
        <v/>
      </c>
      <c r="X3340" s="14" t="str">
        <f t="shared" si="746"/>
        <v/>
      </c>
    </row>
    <row r="3341" spans="20:24" x14ac:dyDescent="0.3">
      <c r="T3341" s="13" t="str">
        <f t="shared" si="742"/>
        <v/>
      </c>
      <c r="U3341" s="14" t="str">
        <f t="shared" si="743"/>
        <v/>
      </c>
      <c r="V3341" s="13" t="str">
        <f t="shared" si="744"/>
        <v/>
      </c>
      <c r="W3341" s="13" t="str">
        <f t="shared" si="745"/>
        <v/>
      </c>
      <c r="X3341" s="14" t="str">
        <f t="shared" si="746"/>
        <v/>
      </c>
    </row>
    <row r="3342" spans="20:24" x14ac:dyDescent="0.3">
      <c r="T3342" s="13" t="str">
        <f t="shared" si="742"/>
        <v/>
      </c>
      <c r="U3342" s="14" t="str">
        <f t="shared" si="743"/>
        <v/>
      </c>
      <c r="V3342" s="13" t="str">
        <f t="shared" si="744"/>
        <v/>
      </c>
      <c r="W3342" s="13" t="str">
        <f t="shared" si="745"/>
        <v/>
      </c>
      <c r="X3342" s="14" t="str">
        <f t="shared" si="746"/>
        <v/>
      </c>
    </row>
    <row r="3343" spans="20:24" x14ac:dyDescent="0.3">
      <c r="T3343" s="13" t="str">
        <f t="shared" si="742"/>
        <v/>
      </c>
      <c r="U3343" s="14" t="str">
        <f t="shared" si="743"/>
        <v/>
      </c>
      <c r="V3343" s="13" t="str">
        <f t="shared" si="744"/>
        <v/>
      </c>
      <c r="W3343" s="13" t="str">
        <f t="shared" si="745"/>
        <v/>
      </c>
      <c r="X3343" s="14" t="str">
        <f t="shared" si="746"/>
        <v/>
      </c>
    </row>
    <row r="3344" spans="20:24" x14ac:dyDescent="0.3">
      <c r="T3344" s="13" t="str">
        <f t="shared" si="742"/>
        <v/>
      </c>
      <c r="U3344" s="14" t="str">
        <f t="shared" si="743"/>
        <v/>
      </c>
      <c r="V3344" s="13" t="str">
        <f t="shared" si="744"/>
        <v/>
      </c>
      <c r="W3344" s="13" t="str">
        <f t="shared" si="745"/>
        <v/>
      </c>
      <c r="X3344" s="14" t="str">
        <f t="shared" si="746"/>
        <v/>
      </c>
    </row>
    <row r="3345" spans="20:24" x14ac:dyDescent="0.3">
      <c r="T3345" s="13" t="str">
        <f t="shared" si="742"/>
        <v/>
      </c>
      <c r="U3345" s="14" t="str">
        <f t="shared" si="743"/>
        <v/>
      </c>
      <c r="V3345" s="13" t="str">
        <f t="shared" si="744"/>
        <v/>
      </c>
      <c r="W3345" s="13" t="str">
        <f t="shared" si="745"/>
        <v/>
      </c>
      <c r="X3345" s="14" t="str">
        <f t="shared" si="746"/>
        <v/>
      </c>
    </row>
    <row r="3346" spans="20:24" x14ac:dyDescent="0.3">
      <c r="T3346" s="13" t="str">
        <f t="shared" si="742"/>
        <v/>
      </c>
      <c r="U3346" s="14" t="str">
        <f t="shared" si="743"/>
        <v/>
      </c>
      <c r="V3346" s="13" t="str">
        <f t="shared" si="744"/>
        <v/>
      </c>
      <c r="W3346" s="13" t="str">
        <f t="shared" si="745"/>
        <v/>
      </c>
      <c r="X3346" s="14" t="str">
        <f t="shared" si="746"/>
        <v/>
      </c>
    </row>
    <row r="3347" spans="20:24" x14ac:dyDescent="0.3">
      <c r="T3347" s="13" t="str">
        <f t="shared" ref="T3347:T3410" si="747">IF(A3347="",IF(A3346="","",$T$1),IF(O3347=1,"#",IF(B3347=0,"*",DEC2HEX(R3347))))</f>
        <v/>
      </c>
      <c r="U3347" s="14" t="str">
        <f t="shared" ref="U3347:U3410" si="748">IF(A3347="",IF(A3346="","",$U$1),  IF(B3347=0,Q3347,I3347)  )</f>
        <v/>
      </c>
      <c r="V3347" s="13" t="str">
        <f t="shared" ref="V3347:V3410" si="749">IF(U3347=$U$1,"",IF(A3347="",IF(A3346="","",1),  IF(B3347=0,1,D3347)  ))</f>
        <v/>
      </c>
      <c r="W3347" s="13" t="str">
        <f t="shared" ref="W3347:W3410" si="750">IF(U3347=$U$1,"",IF(A3347="",IF(A3346="","",0),  IF(C3347=0,0,0)  ))</f>
        <v/>
      </c>
      <c r="X3347" s="14" t="str">
        <f t="shared" ref="X3347:X3410" si="751">IF(U3347=$U$1,"",IF(U3347="","",IF(B3347&gt;0,IF(Q3347&lt;&gt;"",Q3347,"No description"),"-")))</f>
        <v/>
      </c>
    </row>
    <row r="3348" spans="20:24" x14ac:dyDescent="0.3">
      <c r="T3348" s="13" t="str">
        <f t="shared" si="747"/>
        <v/>
      </c>
      <c r="U3348" s="14" t="str">
        <f t="shared" si="748"/>
        <v/>
      </c>
      <c r="V3348" s="13" t="str">
        <f t="shared" si="749"/>
        <v/>
      </c>
      <c r="W3348" s="13" t="str">
        <f t="shared" si="750"/>
        <v/>
      </c>
      <c r="X3348" s="14" t="str">
        <f t="shared" si="751"/>
        <v/>
      </c>
    </row>
    <row r="3349" spans="20:24" x14ac:dyDescent="0.3">
      <c r="T3349" s="13" t="str">
        <f t="shared" si="747"/>
        <v/>
      </c>
      <c r="U3349" s="14" t="str">
        <f t="shared" si="748"/>
        <v/>
      </c>
      <c r="V3349" s="13" t="str">
        <f t="shared" si="749"/>
        <v/>
      </c>
      <c r="W3349" s="13" t="str">
        <f t="shared" si="750"/>
        <v/>
      </c>
      <c r="X3349" s="14" t="str">
        <f t="shared" si="751"/>
        <v/>
      </c>
    </row>
    <row r="3350" spans="20:24" x14ac:dyDescent="0.3">
      <c r="T3350" s="13" t="str">
        <f t="shared" si="747"/>
        <v/>
      </c>
      <c r="U3350" s="14" t="str">
        <f t="shared" si="748"/>
        <v/>
      </c>
      <c r="V3350" s="13" t="str">
        <f t="shared" si="749"/>
        <v/>
      </c>
      <c r="W3350" s="13" t="str">
        <f t="shared" si="750"/>
        <v/>
      </c>
      <c r="X3350" s="14" t="str">
        <f t="shared" si="751"/>
        <v/>
      </c>
    </row>
    <row r="3351" spans="20:24" x14ac:dyDescent="0.3">
      <c r="T3351" s="13" t="str">
        <f t="shared" si="747"/>
        <v/>
      </c>
      <c r="U3351" s="14" t="str">
        <f t="shared" si="748"/>
        <v/>
      </c>
      <c r="V3351" s="13" t="str">
        <f t="shared" si="749"/>
        <v/>
      </c>
      <c r="W3351" s="13" t="str">
        <f t="shared" si="750"/>
        <v/>
      </c>
      <c r="X3351" s="14" t="str">
        <f t="shared" si="751"/>
        <v/>
      </c>
    </row>
    <row r="3352" spans="20:24" x14ac:dyDescent="0.3">
      <c r="T3352" s="13" t="str">
        <f t="shared" si="747"/>
        <v/>
      </c>
      <c r="U3352" s="14" t="str">
        <f t="shared" si="748"/>
        <v/>
      </c>
      <c r="V3352" s="13" t="str">
        <f t="shared" si="749"/>
        <v/>
      </c>
      <c r="W3352" s="13" t="str">
        <f t="shared" si="750"/>
        <v/>
      </c>
      <c r="X3352" s="14" t="str">
        <f t="shared" si="751"/>
        <v/>
      </c>
    </row>
    <row r="3353" spans="20:24" x14ac:dyDescent="0.3">
      <c r="T3353" s="13" t="str">
        <f t="shared" si="747"/>
        <v/>
      </c>
      <c r="U3353" s="14" t="str">
        <f t="shared" si="748"/>
        <v/>
      </c>
      <c r="V3353" s="13" t="str">
        <f t="shared" si="749"/>
        <v/>
      </c>
      <c r="W3353" s="13" t="str">
        <f t="shared" si="750"/>
        <v/>
      </c>
      <c r="X3353" s="14" t="str">
        <f t="shared" si="751"/>
        <v/>
      </c>
    </row>
    <row r="3354" spans="20:24" x14ac:dyDescent="0.3">
      <c r="T3354" s="13" t="str">
        <f t="shared" si="747"/>
        <v/>
      </c>
      <c r="U3354" s="14" t="str">
        <f t="shared" si="748"/>
        <v/>
      </c>
      <c r="V3354" s="13" t="str">
        <f t="shared" si="749"/>
        <v/>
      </c>
      <c r="W3354" s="13" t="str">
        <f t="shared" si="750"/>
        <v/>
      </c>
      <c r="X3354" s="14" t="str">
        <f t="shared" si="751"/>
        <v/>
      </c>
    </row>
    <row r="3355" spans="20:24" x14ac:dyDescent="0.3">
      <c r="T3355" s="13" t="str">
        <f t="shared" si="747"/>
        <v/>
      </c>
      <c r="U3355" s="14" t="str">
        <f t="shared" si="748"/>
        <v/>
      </c>
      <c r="V3355" s="13" t="str">
        <f t="shared" si="749"/>
        <v/>
      </c>
      <c r="W3355" s="13" t="str">
        <f t="shared" si="750"/>
        <v/>
      </c>
      <c r="X3355" s="14" t="str">
        <f t="shared" si="751"/>
        <v/>
      </c>
    </row>
    <row r="3356" spans="20:24" x14ac:dyDescent="0.3">
      <c r="T3356" s="13" t="str">
        <f t="shared" si="747"/>
        <v/>
      </c>
      <c r="U3356" s="14" t="str">
        <f t="shared" si="748"/>
        <v/>
      </c>
      <c r="V3356" s="13" t="str">
        <f t="shared" si="749"/>
        <v/>
      </c>
      <c r="W3356" s="13" t="str">
        <f t="shared" si="750"/>
        <v/>
      </c>
      <c r="X3356" s="14" t="str">
        <f t="shared" si="751"/>
        <v/>
      </c>
    </row>
    <row r="3357" spans="20:24" x14ac:dyDescent="0.3">
      <c r="T3357" s="13" t="str">
        <f t="shared" si="747"/>
        <v/>
      </c>
      <c r="U3357" s="14" t="str">
        <f t="shared" si="748"/>
        <v/>
      </c>
      <c r="V3357" s="13" t="str">
        <f t="shared" si="749"/>
        <v/>
      </c>
      <c r="W3357" s="13" t="str">
        <f t="shared" si="750"/>
        <v/>
      </c>
      <c r="X3357" s="14" t="str">
        <f t="shared" si="751"/>
        <v/>
      </c>
    </row>
    <row r="3358" spans="20:24" x14ac:dyDescent="0.3">
      <c r="T3358" s="13" t="str">
        <f t="shared" si="747"/>
        <v/>
      </c>
      <c r="U3358" s="14" t="str">
        <f t="shared" si="748"/>
        <v/>
      </c>
      <c r="V3358" s="13" t="str">
        <f t="shared" si="749"/>
        <v/>
      </c>
      <c r="W3358" s="13" t="str">
        <f t="shared" si="750"/>
        <v/>
      </c>
      <c r="X3358" s="14" t="str">
        <f t="shared" si="751"/>
        <v/>
      </c>
    </row>
    <row r="3359" spans="20:24" x14ac:dyDescent="0.3">
      <c r="T3359" s="13" t="str">
        <f t="shared" si="747"/>
        <v/>
      </c>
      <c r="U3359" s="14" t="str">
        <f t="shared" si="748"/>
        <v/>
      </c>
      <c r="V3359" s="13" t="str">
        <f t="shared" si="749"/>
        <v/>
      </c>
      <c r="W3359" s="13" t="str">
        <f t="shared" si="750"/>
        <v/>
      </c>
      <c r="X3359" s="14" t="str">
        <f t="shared" si="751"/>
        <v/>
      </c>
    </row>
    <row r="3360" spans="20:24" x14ac:dyDescent="0.3">
      <c r="T3360" s="13" t="str">
        <f t="shared" si="747"/>
        <v/>
      </c>
      <c r="U3360" s="14" t="str">
        <f t="shared" si="748"/>
        <v/>
      </c>
      <c r="V3360" s="13" t="str">
        <f t="shared" si="749"/>
        <v/>
      </c>
      <c r="W3360" s="13" t="str">
        <f t="shared" si="750"/>
        <v/>
      </c>
      <c r="X3360" s="14" t="str">
        <f t="shared" si="751"/>
        <v/>
      </c>
    </row>
    <row r="3361" spans="20:24" x14ac:dyDescent="0.3">
      <c r="T3361" s="13" t="str">
        <f t="shared" si="747"/>
        <v/>
      </c>
      <c r="U3361" s="14" t="str">
        <f t="shared" si="748"/>
        <v/>
      </c>
      <c r="V3361" s="13" t="str">
        <f t="shared" si="749"/>
        <v/>
      </c>
      <c r="W3361" s="13" t="str">
        <f t="shared" si="750"/>
        <v/>
      </c>
      <c r="X3361" s="14" t="str">
        <f t="shared" si="751"/>
        <v/>
      </c>
    </row>
    <row r="3362" spans="20:24" x14ac:dyDescent="0.3">
      <c r="T3362" s="13" t="str">
        <f t="shared" si="747"/>
        <v/>
      </c>
      <c r="U3362" s="14" t="str">
        <f t="shared" si="748"/>
        <v/>
      </c>
      <c r="V3362" s="13" t="str">
        <f t="shared" si="749"/>
        <v/>
      </c>
      <c r="W3362" s="13" t="str">
        <f t="shared" si="750"/>
        <v/>
      </c>
      <c r="X3362" s="14" t="str">
        <f t="shared" si="751"/>
        <v/>
      </c>
    </row>
    <row r="3363" spans="20:24" x14ac:dyDescent="0.3">
      <c r="T3363" s="13" t="str">
        <f t="shared" si="747"/>
        <v/>
      </c>
      <c r="U3363" s="14" t="str">
        <f t="shared" si="748"/>
        <v/>
      </c>
      <c r="V3363" s="13" t="str">
        <f t="shared" si="749"/>
        <v/>
      </c>
      <c r="W3363" s="13" t="str">
        <f t="shared" si="750"/>
        <v/>
      </c>
      <c r="X3363" s="14" t="str">
        <f t="shared" si="751"/>
        <v/>
      </c>
    </row>
    <row r="3364" spans="20:24" x14ac:dyDescent="0.3">
      <c r="T3364" s="13" t="str">
        <f t="shared" si="747"/>
        <v/>
      </c>
      <c r="U3364" s="14" t="str">
        <f t="shared" si="748"/>
        <v/>
      </c>
      <c r="V3364" s="13" t="str">
        <f t="shared" si="749"/>
        <v/>
      </c>
      <c r="W3364" s="13" t="str">
        <f t="shared" si="750"/>
        <v/>
      </c>
      <c r="X3364" s="14" t="str">
        <f t="shared" si="751"/>
        <v/>
      </c>
    </row>
    <row r="3365" spans="20:24" x14ac:dyDescent="0.3">
      <c r="T3365" s="13" t="str">
        <f t="shared" si="747"/>
        <v/>
      </c>
      <c r="U3365" s="14" t="str">
        <f t="shared" si="748"/>
        <v/>
      </c>
      <c r="V3365" s="13" t="str">
        <f t="shared" si="749"/>
        <v/>
      </c>
      <c r="W3365" s="13" t="str">
        <f t="shared" si="750"/>
        <v/>
      </c>
      <c r="X3365" s="14" t="str">
        <f t="shared" si="751"/>
        <v/>
      </c>
    </row>
    <row r="3366" spans="20:24" x14ac:dyDescent="0.3">
      <c r="T3366" s="13" t="str">
        <f t="shared" si="747"/>
        <v/>
      </c>
      <c r="U3366" s="14" t="str">
        <f t="shared" si="748"/>
        <v/>
      </c>
      <c r="V3366" s="13" t="str">
        <f t="shared" si="749"/>
        <v/>
      </c>
      <c r="W3366" s="13" t="str">
        <f t="shared" si="750"/>
        <v/>
      </c>
      <c r="X3366" s="14" t="str">
        <f t="shared" si="751"/>
        <v/>
      </c>
    </row>
    <row r="3367" spans="20:24" x14ac:dyDescent="0.3">
      <c r="T3367" s="13" t="str">
        <f t="shared" si="747"/>
        <v/>
      </c>
      <c r="U3367" s="14" t="str">
        <f t="shared" si="748"/>
        <v/>
      </c>
      <c r="V3367" s="13" t="str">
        <f t="shared" si="749"/>
        <v/>
      </c>
      <c r="W3367" s="13" t="str">
        <f t="shared" si="750"/>
        <v/>
      </c>
      <c r="X3367" s="14" t="str">
        <f t="shared" si="751"/>
        <v/>
      </c>
    </row>
    <row r="3368" spans="20:24" x14ac:dyDescent="0.3">
      <c r="T3368" s="13" t="str">
        <f t="shared" si="747"/>
        <v/>
      </c>
      <c r="U3368" s="14" t="str">
        <f t="shared" si="748"/>
        <v/>
      </c>
      <c r="V3368" s="13" t="str">
        <f t="shared" si="749"/>
        <v/>
      </c>
      <c r="W3368" s="13" t="str">
        <f t="shared" si="750"/>
        <v/>
      </c>
      <c r="X3368" s="14" t="str">
        <f t="shared" si="751"/>
        <v/>
      </c>
    </row>
    <row r="3369" spans="20:24" x14ac:dyDescent="0.3">
      <c r="T3369" s="13" t="str">
        <f t="shared" si="747"/>
        <v/>
      </c>
      <c r="U3369" s="14" t="str">
        <f t="shared" si="748"/>
        <v/>
      </c>
      <c r="V3369" s="13" t="str">
        <f t="shared" si="749"/>
        <v/>
      </c>
      <c r="W3369" s="13" t="str">
        <f t="shared" si="750"/>
        <v/>
      </c>
      <c r="X3369" s="14" t="str">
        <f t="shared" si="751"/>
        <v/>
      </c>
    </row>
    <row r="3370" spans="20:24" x14ac:dyDescent="0.3">
      <c r="T3370" s="13" t="str">
        <f t="shared" si="747"/>
        <v/>
      </c>
      <c r="U3370" s="14" t="str">
        <f t="shared" si="748"/>
        <v/>
      </c>
      <c r="V3370" s="13" t="str">
        <f t="shared" si="749"/>
        <v/>
      </c>
      <c r="W3370" s="13" t="str">
        <f t="shared" si="750"/>
        <v/>
      </c>
      <c r="X3370" s="14" t="str">
        <f t="shared" si="751"/>
        <v/>
      </c>
    </row>
    <row r="3371" spans="20:24" x14ac:dyDescent="0.3">
      <c r="T3371" s="13" t="str">
        <f t="shared" si="747"/>
        <v/>
      </c>
      <c r="U3371" s="14" t="str">
        <f t="shared" si="748"/>
        <v/>
      </c>
      <c r="V3371" s="13" t="str">
        <f t="shared" si="749"/>
        <v/>
      </c>
      <c r="W3371" s="13" t="str">
        <f t="shared" si="750"/>
        <v/>
      </c>
      <c r="X3371" s="14" t="str">
        <f t="shared" si="751"/>
        <v/>
      </c>
    </row>
    <row r="3372" spans="20:24" x14ac:dyDescent="0.3">
      <c r="T3372" s="13" t="str">
        <f t="shared" si="747"/>
        <v/>
      </c>
      <c r="U3372" s="14" t="str">
        <f t="shared" si="748"/>
        <v/>
      </c>
      <c r="V3372" s="13" t="str">
        <f t="shared" si="749"/>
        <v/>
      </c>
      <c r="W3372" s="13" t="str">
        <f t="shared" si="750"/>
        <v/>
      </c>
      <c r="X3372" s="14" t="str">
        <f t="shared" si="751"/>
        <v/>
      </c>
    </row>
    <row r="3373" spans="20:24" x14ac:dyDescent="0.3">
      <c r="T3373" s="13" t="str">
        <f t="shared" si="747"/>
        <v/>
      </c>
      <c r="U3373" s="14" t="str">
        <f t="shared" si="748"/>
        <v/>
      </c>
      <c r="V3373" s="13" t="str">
        <f t="shared" si="749"/>
        <v/>
      </c>
      <c r="W3373" s="13" t="str">
        <f t="shared" si="750"/>
        <v/>
      </c>
      <c r="X3373" s="14" t="str">
        <f t="shared" si="751"/>
        <v/>
      </c>
    </row>
    <row r="3374" spans="20:24" x14ac:dyDescent="0.3">
      <c r="T3374" s="13" t="str">
        <f t="shared" si="747"/>
        <v/>
      </c>
      <c r="U3374" s="14" t="str">
        <f t="shared" si="748"/>
        <v/>
      </c>
      <c r="V3374" s="13" t="str">
        <f t="shared" si="749"/>
        <v/>
      </c>
      <c r="W3374" s="13" t="str">
        <f t="shared" si="750"/>
        <v/>
      </c>
      <c r="X3374" s="14" t="str">
        <f t="shared" si="751"/>
        <v/>
      </c>
    </row>
    <row r="3375" spans="20:24" x14ac:dyDescent="0.3">
      <c r="T3375" s="13" t="str">
        <f t="shared" si="747"/>
        <v/>
      </c>
      <c r="U3375" s="14" t="str">
        <f t="shared" si="748"/>
        <v/>
      </c>
      <c r="V3375" s="13" t="str">
        <f t="shared" si="749"/>
        <v/>
      </c>
      <c r="W3375" s="13" t="str">
        <f t="shared" si="750"/>
        <v/>
      </c>
      <c r="X3375" s="14" t="str">
        <f t="shared" si="751"/>
        <v/>
      </c>
    </row>
    <row r="3376" spans="20:24" x14ac:dyDescent="0.3">
      <c r="T3376" s="13" t="str">
        <f t="shared" si="747"/>
        <v/>
      </c>
      <c r="U3376" s="14" t="str">
        <f t="shared" si="748"/>
        <v/>
      </c>
      <c r="V3376" s="13" t="str">
        <f t="shared" si="749"/>
        <v/>
      </c>
      <c r="W3376" s="13" t="str">
        <f t="shared" si="750"/>
        <v/>
      </c>
      <c r="X3376" s="14" t="str">
        <f t="shared" si="751"/>
        <v/>
      </c>
    </row>
    <row r="3377" spans="20:24" x14ac:dyDescent="0.3">
      <c r="T3377" s="13" t="str">
        <f t="shared" si="747"/>
        <v/>
      </c>
      <c r="U3377" s="14" t="str">
        <f t="shared" si="748"/>
        <v/>
      </c>
      <c r="V3377" s="13" t="str">
        <f t="shared" si="749"/>
        <v/>
      </c>
      <c r="W3377" s="13" t="str">
        <f t="shared" si="750"/>
        <v/>
      </c>
      <c r="X3377" s="14" t="str">
        <f t="shared" si="751"/>
        <v/>
      </c>
    </row>
    <row r="3378" spans="20:24" x14ac:dyDescent="0.3">
      <c r="T3378" s="13" t="str">
        <f t="shared" si="747"/>
        <v/>
      </c>
      <c r="U3378" s="14" t="str">
        <f t="shared" si="748"/>
        <v/>
      </c>
      <c r="V3378" s="13" t="str">
        <f t="shared" si="749"/>
        <v/>
      </c>
      <c r="W3378" s="13" t="str">
        <f t="shared" si="750"/>
        <v/>
      </c>
      <c r="X3378" s="14" t="str">
        <f t="shared" si="751"/>
        <v/>
      </c>
    </row>
    <row r="3379" spans="20:24" x14ac:dyDescent="0.3">
      <c r="T3379" s="13" t="str">
        <f t="shared" si="747"/>
        <v/>
      </c>
      <c r="U3379" s="14" t="str">
        <f t="shared" si="748"/>
        <v/>
      </c>
      <c r="V3379" s="13" t="str">
        <f t="shared" si="749"/>
        <v/>
      </c>
      <c r="W3379" s="13" t="str">
        <f t="shared" si="750"/>
        <v/>
      </c>
      <c r="X3379" s="14" t="str">
        <f t="shared" si="751"/>
        <v/>
      </c>
    </row>
    <row r="3380" spans="20:24" x14ac:dyDescent="0.3">
      <c r="T3380" s="13" t="str">
        <f t="shared" si="747"/>
        <v/>
      </c>
      <c r="U3380" s="14" t="str">
        <f t="shared" si="748"/>
        <v/>
      </c>
      <c r="V3380" s="13" t="str">
        <f t="shared" si="749"/>
        <v/>
      </c>
      <c r="W3380" s="13" t="str">
        <f t="shared" si="750"/>
        <v/>
      </c>
      <c r="X3380" s="14" t="str">
        <f t="shared" si="751"/>
        <v/>
      </c>
    </row>
    <row r="3381" spans="20:24" x14ac:dyDescent="0.3">
      <c r="T3381" s="13" t="str">
        <f t="shared" si="747"/>
        <v/>
      </c>
      <c r="U3381" s="14" t="str">
        <f t="shared" si="748"/>
        <v/>
      </c>
      <c r="V3381" s="13" t="str">
        <f t="shared" si="749"/>
        <v/>
      </c>
      <c r="W3381" s="13" t="str">
        <f t="shared" si="750"/>
        <v/>
      </c>
      <c r="X3381" s="14" t="str">
        <f t="shared" si="751"/>
        <v/>
      </c>
    </row>
    <row r="3382" spans="20:24" x14ac:dyDescent="0.3">
      <c r="T3382" s="13" t="str">
        <f t="shared" si="747"/>
        <v/>
      </c>
      <c r="U3382" s="14" t="str">
        <f t="shared" si="748"/>
        <v/>
      </c>
      <c r="V3382" s="13" t="str">
        <f t="shared" si="749"/>
        <v/>
      </c>
      <c r="W3382" s="13" t="str">
        <f t="shared" si="750"/>
        <v/>
      </c>
      <c r="X3382" s="14" t="str">
        <f t="shared" si="751"/>
        <v/>
      </c>
    </row>
    <row r="3383" spans="20:24" x14ac:dyDescent="0.3">
      <c r="T3383" s="13" t="str">
        <f t="shared" si="747"/>
        <v/>
      </c>
      <c r="U3383" s="14" t="str">
        <f t="shared" si="748"/>
        <v/>
      </c>
      <c r="V3383" s="13" t="str">
        <f t="shared" si="749"/>
        <v/>
      </c>
      <c r="W3383" s="13" t="str">
        <f t="shared" si="750"/>
        <v/>
      </c>
      <c r="X3383" s="14" t="str">
        <f t="shared" si="751"/>
        <v/>
      </c>
    </row>
    <row r="3384" spans="20:24" x14ac:dyDescent="0.3">
      <c r="T3384" s="13" t="str">
        <f t="shared" si="747"/>
        <v/>
      </c>
      <c r="U3384" s="14" t="str">
        <f t="shared" si="748"/>
        <v/>
      </c>
      <c r="V3384" s="13" t="str">
        <f t="shared" si="749"/>
        <v/>
      </c>
      <c r="W3384" s="13" t="str">
        <f t="shared" si="750"/>
        <v/>
      </c>
      <c r="X3384" s="14" t="str">
        <f t="shared" si="751"/>
        <v/>
      </c>
    </row>
    <row r="3385" spans="20:24" x14ac:dyDescent="0.3">
      <c r="T3385" s="13" t="str">
        <f t="shared" si="747"/>
        <v/>
      </c>
      <c r="U3385" s="14" t="str">
        <f t="shared" si="748"/>
        <v/>
      </c>
      <c r="V3385" s="13" t="str">
        <f t="shared" si="749"/>
        <v/>
      </c>
      <c r="W3385" s="13" t="str">
        <f t="shared" si="750"/>
        <v/>
      </c>
      <c r="X3385" s="14" t="str">
        <f t="shared" si="751"/>
        <v/>
      </c>
    </row>
    <row r="3386" spans="20:24" x14ac:dyDescent="0.3">
      <c r="T3386" s="13" t="str">
        <f t="shared" si="747"/>
        <v/>
      </c>
      <c r="U3386" s="14" t="str">
        <f t="shared" si="748"/>
        <v/>
      </c>
      <c r="V3386" s="13" t="str">
        <f t="shared" si="749"/>
        <v/>
      </c>
      <c r="W3386" s="13" t="str">
        <f t="shared" si="750"/>
        <v/>
      </c>
      <c r="X3386" s="14" t="str">
        <f t="shared" si="751"/>
        <v/>
      </c>
    </row>
    <row r="3387" spans="20:24" x14ac:dyDescent="0.3">
      <c r="T3387" s="13" t="str">
        <f t="shared" si="747"/>
        <v/>
      </c>
      <c r="U3387" s="14" t="str">
        <f t="shared" si="748"/>
        <v/>
      </c>
      <c r="V3387" s="13" t="str">
        <f t="shared" si="749"/>
        <v/>
      </c>
      <c r="W3387" s="13" t="str">
        <f t="shared" si="750"/>
        <v/>
      </c>
      <c r="X3387" s="14" t="str">
        <f t="shared" si="751"/>
        <v/>
      </c>
    </row>
    <row r="3388" spans="20:24" x14ac:dyDescent="0.3">
      <c r="T3388" s="13" t="str">
        <f t="shared" si="747"/>
        <v/>
      </c>
      <c r="U3388" s="14" t="str">
        <f t="shared" si="748"/>
        <v/>
      </c>
      <c r="V3388" s="13" t="str">
        <f t="shared" si="749"/>
        <v/>
      </c>
      <c r="W3388" s="13" t="str">
        <f t="shared" si="750"/>
        <v/>
      </c>
      <c r="X3388" s="14" t="str">
        <f t="shared" si="751"/>
        <v/>
      </c>
    </row>
    <row r="3389" spans="20:24" x14ac:dyDescent="0.3">
      <c r="T3389" s="13" t="str">
        <f t="shared" si="747"/>
        <v/>
      </c>
      <c r="U3389" s="14" t="str">
        <f t="shared" si="748"/>
        <v/>
      </c>
      <c r="V3389" s="13" t="str">
        <f t="shared" si="749"/>
        <v/>
      </c>
      <c r="W3389" s="13" t="str">
        <f t="shared" si="750"/>
        <v/>
      </c>
      <c r="X3389" s="14" t="str">
        <f t="shared" si="751"/>
        <v/>
      </c>
    </row>
    <row r="3390" spans="20:24" x14ac:dyDescent="0.3">
      <c r="T3390" s="13" t="str">
        <f t="shared" si="747"/>
        <v/>
      </c>
      <c r="U3390" s="14" t="str">
        <f t="shared" si="748"/>
        <v/>
      </c>
      <c r="V3390" s="13" t="str">
        <f t="shared" si="749"/>
        <v/>
      </c>
      <c r="W3390" s="13" t="str">
        <f t="shared" si="750"/>
        <v/>
      </c>
      <c r="X3390" s="14" t="str">
        <f t="shared" si="751"/>
        <v/>
      </c>
    </row>
    <row r="3391" spans="20:24" x14ac:dyDescent="0.3">
      <c r="T3391" s="13" t="str">
        <f t="shared" si="747"/>
        <v/>
      </c>
      <c r="U3391" s="14" t="str">
        <f t="shared" si="748"/>
        <v/>
      </c>
      <c r="V3391" s="13" t="str">
        <f t="shared" si="749"/>
        <v/>
      </c>
      <c r="W3391" s="13" t="str">
        <f t="shared" si="750"/>
        <v/>
      </c>
      <c r="X3391" s="14" t="str">
        <f t="shared" si="751"/>
        <v/>
      </c>
    </row>
    <row r="3392" spans="20:24" x14ac:dyDescent="0.3">
      <c r="T3392" s="13" t="str">
        <f t="shared" si="747"/>
        <v/>
      </c>
      <c r="U3392" s="14" t="str">
        <f t="shared" si="748"/>
        <v/>
      </c>
      <c r="V3392" s="13" t="str">
        <f t="shared" si="749"/>
        <v/>
      </c>
      <c r="W3392" s="13" t="str">
        <f t="shared" si="750"/>
        <v/>
      </c>
      <c r="X3392" s="14" t="str">
        <f t="shared" si="751"/>
        <v/>
      </c>
    </row>
    <row r="3393" spans="20:24" x14ac:dyDescent="0.3">
      <c r="T3393" s="13" t="str">
        <f t="shared" si="747"/>
        <v/>
      </c>
      <c r="U3393" s="14" t="str">
        <f t="shared" si="748"/>
        <v/>
      </c>
      <c r="V3393" s="13" t="str">
        <f t="shared" si="749"/>
        <v/>
      </c>
      <c r="W3393" s="13" t="str">
        <f t="shared" si="750"/>
        <v/>
      </c>
      <c r="X3393" s="14" t="str">
        <f t="shared" si="751"/>
        <v/>
      </c>
    </row>
    <row r="3394" spans="20:24" x14ac:dyDescent="0.3">
      <c r="T3394" s="13" t="str">
        <f t="shared" si="747"/>
        <v/>
      </c>
      <c r="U3394" s="14" t="str">
        <f t="shared" si="748"/>
        <v/>
      </c>
      <c r="V3394" s="13" t="str">
        <f t="shared" si="749"/>
        <v/>
      </c>
      <c r="W3394" s="13" t="str">
        <f t="shared" si="750"/>
        <v/>
      </c>
      <c r="X3394" s="14" t="str">
        <f t="shared" si="751"/>
        <v/>
      </c>
    </row>
    <row r="3395" spans="20:24" x14ac:dyDescent="0.3">
      <c r="T3395" s="13" t="str">
        <f t="shared" si="747"/>
        <v/>
      </c>
      <c r="U3395" s="14" t="str">
        <f t="shared" si="748"/>
        <v/>
      </c>
      <c r="V3395" s="13" t="str">
        <f t="shared" si="749"/>
        <v/>
      </c>
      <c r="W3395" s="13" t="str">
        <f t="shared" si="750"/>
        <v/>
      </c>
      <c r="X3395" s="14" t="str">
        <f t="shared" si="751"/>
        <v/>
      </c>
    </row>
    <row r="3396" spans="20:24" x14ac:dyDescent="0.3">
      <c r="T3396" s="13" t="str">
        <f t="shared" si="747"/>
        <v/>
      </c>
      <c r="U3396" s="14" t="str">
        <f t="shared" si="748"/>
        <v/>
      </c>
      <c r="V3396" s="13" t="str">
        <f t="shared" si="749"/>
        <v/>
      </c>
      <c r="W3396" s="13" t="str">
        <f t="shared" si="750"/>
        <v/>
      </c>
      <c r="X3396" s="14" t="str">
        <f t="shared" si="751"/>
        <v/>
      </c>
    </row>
    <row r="3397" spans="20:24" x14ac:dyDescent="0.3">
      <c r="T3397" s="13" t="str">
        <f t="shared" si="747"/>
        <v/>
      </c>
      <c r="U3397" s="14" t="str">
        <f t="shared" si="748"/>
        <v/>
      </c>
      <c r="V3397" s="13" t="str">
        <f t="shared" si="749"/>
        <v/>
      </c>
      <c r="W3397" s="13" t="str">
        <f t="shared" si="750"/>
        <v/>
      </c>
      <c r="X3397" s="14" t="str">
        <f t="shared" si="751"/>
        <v/>
      </c>
    </row>
    <row r="3398" spans="20:24" x14ac:dyDescent="0.3">
      <c r="T3398" s="13" t="str">
        <f t="shared" si="747"/>
        <v/>
      </c>
      <c r="U3398" s="14" t="str">
        <f t="shared" si="748"/>
        <v/>
      </c>
      <c r="V3398" s="13" t="str">
        <f t="shared" si="749"/>
        <v/>
      </c>
      <c r="W3398" s="13" t="str">
        <f t="shared" si="750"/>
        <v/>
      </c>
      <c r="X3398" s="14" t="str">
        <f t="shared" si="751"/>
        <v/>
      </c>
    </row>
    <row r="3399" spans="20:24" x14ac:dyDescent="0.3">
      <c r="T3399" s="13" t="str">
        <f t="shared" si="747"/>
        <v/>
      </c>
      <c r="U3399" s="14" t="str">
        <f t="shared" si="748"/>
        <v/>
      </c>
      <c r="V3399" s="13" t="str">
        <f t="shared" si="749"/>
        <v/>
      </c>
      <c r="W3399" s="13" t="str">
        <f t="shared" si="750"/>
        <v/>
      </c>
      <c r="X3399" s="14" t="str">
        <f t="shared" si="751"/>
        <v/>
      </c>
    </row>
    <row r="3400" spans="20:24" x14ac:dyDescent="0.3">
      <c r="T3400" s="13" t="str">
        <f t="shared" si="747"/>
        <v/>
      </c>
      <c r="U3400" s="14" t="str">
        <f t="shared" si="748"/>
        <v/>
      </c>
      <c r="V3400" s="13" t="str">
        <f t="shared" si="749"/>
        <v/>
      </c>
      <c r="W3400" s="13" t="str">
        <f t="shared" si="750"/>
        <v/>
      </c>
      <c r="X3400" s="14" t="str">
        <f t="shared" si="751"/>
        <v/>
      </c>
    </row>
    <row r="3401" spans="20:24" x14ac:dyDescent="0.3">
      <c r="T3401" s="13" t="str">
        <f t="shared" si="747"/>
        <v/>
      </c>
      <c r="U3401" s="14" t="str">
        <f t="shared" si="748"/>
        <v/>
      </c>
      <c r="V3401" s="13" t="str">
        <f t="shared" si="749"/>
        <v/>
      </c>
      <c r="W3401" s="13" t="str">
        <f t="shared" si="750"/>
        <v/>
      </c>
      <c r="X3401" s="14" t="str">
        <f t="shared" si="751"/>
        <v/>
      </c>
    </row>
    <row r="3402" spans="20:24" x14ac:dyDescent="0.3">
      <c r="T3402" s="13" t="str">
        <f t="shared" si="747"/>
        <v/>
      </c>
      <c r="U3402" s="14" t="str">
        <f t="shared" si="748"/>
        <v/>
      </c>
      <c r="V3402" s="13" t="str">
        <f t="shared" si="749"/>
        <v/>
      </c>
      <c r="W3402" s="13" t="str">
        <f t="shared" si="750"/>
        <v/>
      </c>
      <c r="X3402" s="14" t="str">
        <f t="shared" si="751"/>
        <v/>
      </c>
    </row>
    <row r="3403" spans="20:24" x14ac:dyDescent="0.3">
      <c r="T3403" s="13" t="str">
        <f t="shared" si="747"/>
        <v/>
      </c>
      <c r="U3403" s="14" t="str">
        <f t="shared" si="748"/>
        <v/>
      </c>
      <c r="V3403" s="13" t="str">
        <f t="shared" si="749"/>
        <v/>
      </c>
      <c r="W3403" s="13" t="str">
        <f t="shared" si="750"/>
        <v/>
      </c>
      <c r="X3403" s="14" t="str">
        <f t="shared" si="751"/>
        <v/>
      </c>
    </row>
    <row r="3404" spans="20:24" x14ac:dyDescent="0.3">
      <c r="T3404" s="13" t="str">
        <f t="shared" si="747"/>
        <v/>
      </c>
      <c r="U3404" s="14" t="str">
        <f t="shared" si="748"/>
        <v/>
      </c>
      <c r="V3404" s="13" t="str">
        <f t="shared" si="749"/>
        <v/>
      </c>
      <c r="W3404" s="13" t="str">
        <f t="shared" si="750"/>
        <v/>
      </c>
      <c r="X3404" s="14" t="str">
        <f t="shared" si="751"/>
        <v/>
      </c>
    </row>
    <row r="3405" spans="20:24" x14ac:dyDescent="0.3">
      <c r="T3405" s="13" t="str">
        <f t="shared" si="747"/>
        <v/>
      </c>
      <c r="U3405" s="14" t="str">
        <f t="shared" si="748"/>
        <v/>
      </c>
      <c r="V3405" s="13" t="str">
        <f t="shared" si="749"/>
        <v/>
      </c>
      <c r="W3405" s="13" t="str">
        <f t="shared" si="750"/>
        <v/>
      </c>
      <c r="X3405" s="14" t="str">
        <f t="shared" si="751"/>
        <v/>
      </c>
    </row>
    <row r="3406" spans="20:24" x14ac:dyDescent="0.3">
      <c r="T3406" s="13" t="str">
        <f t="shared" si="747"/>
        <v/>
      </c>
      <c r="U3406" s="14" t="str">
        <f t="shared" si="748"/>
        <v/>
      </c>
      <c r="V3406" s="13" t="str">
        <f t="shared" si="749"/>
        <v/>
      </c>
      <c r="W3406" s="13" t="str">
        <f t="shared" si="750"/>
        <v/>
      </c>
      <c r="X3406" s="14" t="str">
        <f t="shared" si="751"/>
        <v/>
      </c>
    </row>
    <row r="3407" spans="20:24" x14ac:dyDescent="0.3">
      <c r="T3407" s="13" t="str">
        <f t="shared" si="747"/>
        <v/>
      </c>
      <c r="U3407" s="14" t="str">
        <f t="shared" si="748"/>
        <v/>
      </c>
      <c r="V3407" s="13" t="str">
        <f t="shared" si="749"/>
        <v/>
      </c>
      <c r="W3407" s="13" t="str">
        <f t="shared" si="750"/>
        <v/>
      </c>
      <c r="X3407" s="14" t="str">
        <f t="shared" si="751"/>
        <v/>
      </c>
    </row>
    <row r="3408" spans="20:24" x14ac:dyDescent="0.3">
      <c r="T3408" s="13" t="str">
        <f t="shared" si="747"/>
        <v/>
      </c>
      <c r="U3408" s="14" t="str">
        <f t="shared" si="748"/>
        <v/>
      </c>
      <c r="V3408" s="13" t="str">
        <f t="shared" si="749"/>
        <v/>
      </c>
      <c r="W3408" s="13" t="str">
        <f t="shared" si="750"/>
        <v/>
      </c>
      <c r="X3408" s="14" t="str">
        <f t="shared" si="751"/>
        <v/>
      </c>
    </row>
    <row r="3409" spans="20:24" x14ac:dyDescent="0.3">
      <c r="T3409" s="13" t="str">
        <f t="shared" si="747"/>
        <v/>
      </c>
      <c r="U3409" s="14" t="str">
        <f t="shared" si="748"/>
        <v/>
      </c>
      <c r="V3409" s="13" t="str">
        <f t="shared" si="749"/>
        <v/>
      </c>
      <c r="W3409" s="13" t="str">
        <f t="shared" si="750"/>
        <v/>
      </c>
      <c r="X3409" s="14" t="str">
        <f t="shared" si="751"/>
        <v/>
      </c>
    </row>
    <row r="3410" spans="20:24" x14ac:dyDescent="0.3">
      <c r="T3410" s="13" t="str">
        <f t="shared" si="747"/>
        <v/>
      </c>
      <c r="U3410" s="14" t="str">
        <f t="shared" si="748"/>
        <v/>
      </c>
      <c r="V3410" s="13" t="str">
        <f t="shared" si="749"/>
        <v/>
      </c>
      <c r="W3410" s="13" t="str">
        <f t="shared" si="750"/>
        <v/>
      </c>
      <c r="X3410" s="14" t="str">
        <f t="shared" si="751"/>
        <v/>
      </c>
    </row>
    <row r="3411" spans="20:24" x14ac:dyDescent="0.3">
      <c r="T3411" s="13" t="str">
        <f t="shared" ref="T3411:T3474" si="752">IF(A3411="",IF(A3410="","",$T$1),IF(O3411=1,"#",IF(B3411=0,"*",DEC2HEX(R3411))))</f>
        <v/>
      </c>
      <c r="U3411" s="14" t="str">
        <f t="shared" ref="U3411:U3474" si="753">IF(A3411="",IF(A3410="","",$U$1),  IF(B3411=0,Q3411,I3411)  )</f>
        <v/>
      </c>
      <c r="V3411" s="13" t="str">
        <f t="shared" ref="V3411:V3474" si="754">IF(U3411=$U$1,"",IF(A3411="",IF(A3410="","",1),  IF(B3411=0,1,D3411)  ))</f>
        <v/>
      </c>
      <c r="W3411" s="13" t="str">
        <f t="shared" ref="W3411:W3474" si="755">IF(U3411=$U$1,"",IF(A3411="",IF(A3410="","",0),  IF(C3411=0,0,0)  ))</f>
        <v/>
      </c>
      <c r="X3411" s="14" t="str">
        <f t="shared" ref="X3411:X3474" si="756">IF(U3411=$U$1,"",IF(U3411="","",IF(B3411&gt;0,IF(Q3411&lt;&gt;"",Q3411,"No description"),"-")))</f>
        <v/>
      </c>
    </row>
    <row r="3412" spans="20:24" x14ac:dyDescent="0.3">
      <c r="T3412" s="13" t="str">
        <f t="shared" si="752"/>
        <v/>
      </c>
      <c r="U3412" s="14" t="str">
        <f t="shared" si="753"/>
        <v/>
      </c>
      <c r="V3412" s="13" t="str">
        <f t="shared" si="754"/>
        <v/>
      </c>
      <c r="W3412" s="13" t="str">
        <f t="shared" si="755"/>
        <v/>
      </c>
      <c r="X3412" s="14" t="str">
        <f t="shared" si="756"/>
        <v/>
      </c>
    </row>
    <row r="3413" spans="20:24" x14ac:dyDescent="0.3">
      <c r="T3413" s="13" t="str">
        <f t="shared" si="752"/>
        <v/>
      </c>
      <c r="U3413" s="14" t="str">
        <f t="shared" si="753"/>
        <v/>
      </c>
      <c r="V3413" s="13" t="str">
        <f t="shared" si="754"/>
        <v/>
      </c>
      <c r="W3413" s="13" t="str">
        <f t="shared" si="755"/>
        <v/>
      </c>
      <c r="X3413" s="14" t="str">
        <f t="shared" si="756"/>
        <v/>
      </c>
    </row>
    <row r="3414" spans="20:24" x14ac:dyDescent="0.3">
      <c r="T3414" s="13" t="str">
        <f t="shared" si="752"/>
        <v/>
      </c>
      <c r="U3414" s="14" t="str">
        <f t="shared" si="753"/>
        <v/>
      </c>
      <c r="V3414" s="13" t="str">
        <f t="shared" si="754"/>
        <v/>
      </c>
      <c r="W3414" s="13" t="str">
        <f t="shared" si="755"/>
        <v/>
      </c>
      <c r="X3414" s="14" t="str">
        <f t="shared" si="756"/>
        <v/>
      </c>
    </row>
    <row r="3415" spans="20:24" x14ac:dyDescent="0.3">
      <c r="T3415" s="13" t="str">
        <f t="shared" si="752"/>
        <v/>
      </c>
      <c r="U3415" s="14" t="str">
        <f t="shared" si="753"/>
        <v/>
      </c>
      <c r="V3415" s="13" t="str">
        <f t="shared" si="754"/>
        <v/>
      </c>
      <c r="W3415" s="13" t="str">
        <f t="shared" si="755"/>
        <v/>
      </c>
      <c r="X3415" s="14" t="str">
        <f t="shared" si="756"/>
        <v/>
      </c>
    </row>
    <row r="3416" spans="20:24" x14ac:dyDescent="0.3">
      <c r="T3416" s="13" t="str">
        <f t="shared" si="752"/>
        <v/>
      </c>
      <c r="U3416" s="14" t="str">
        <f t="shared" si="753"/>
        <v/>
      </c>
      <c r="V3416" s="13" t="str">
        <f t="shared" si="754"/>
        <v/>
      </c>
      <c r="W3416" s="13" t="str">
        <f t="shared" si="755"/>
        <v/>
      </c>
      <c r="X3416" s="14" t="str">
        <f t="shared" si="756"/>
        <v/>
      </c>
    </row>
    <row r="3417" spans="20:24" x14ac:dyDescent="0.3">
      <c r="T3417" s="13" t="str">
        <f t="shared" si="752"/>
        <v/>
      </c>
      <c r="U3417" s="14" t="str">
        <f t="shared" si="753"/>
        <v/>
      </c>
      <c r="V3417" s="13" t="str">
        <f t="shared" si="754"/>
        <v/>
      </c>
      <c r="W3417" s="13" t="str">
        <f t="shared" si="755"/>
        <v/>
      </c>
      <c r="X3417" s="14" t="str">
        <f t="shared" si="756"/>
        <v/>
      </c>
    </row>
    <row r="3418" spans="20:24" x14ac:dyDescent="0.3">
      <c r="T3418" s="13" t="str">
        <f t="shared" si="752"/>
        <v/>
      </c>
      <c r="U3418" s="14" t="str">
        <f t="shared" si="753"/>
        <v/>
      </c>
      <c r="V3418" s="13" t="str">
        <f t="shared" si="754"/>
        <v/>
      </c>
      <c r="W3418" s="13" t="str">
        <f t="shared" si="755"/>
        <v/>
      </c>
      <c r="X3418" s="14" t="str">
        <f t="shared" si="756"/>
        <v/>
      </c>
    </row>
    <row r="3419" spans="20:24" x14ac:dyDescent="0.3">
      <c r="T3419" s="13" t="str">
        <f t="shared" si="752"/>
        <v/>
      </c>
      <c r="U3419" s="14" t="str">
        <f t="shared" si="753"/>
        <v/>
      </c>
      <c r="V3419" s="13" t="str">
        <f t="shared" si="754"/>
        <v/>
      </c>
      <c r="W3419" s="13" t="str">
        <f t="shared" si="755"/>
        <v/>
      </c>
      <c r="X3419" s="14" t="str">
        <f t="shared" si="756"/>
        <v/>
      </c>
    </row>
    <row r="3420" spans="20:24" x14ac:dyDescent="0.3">
      <c r="T3420" s="13" t="str">
        <f t="shared" si="752"/>
        <v/>
      </c>
      <c r="U3420" s="14" t="str">
        <f t="shared" si="753"/>
        <v/>
      </c>
      <c r="V3420" s="13" t="str">
        <f t="shared" si="754"/>
        <v/>
      </c>
      <c r="W3420" s="13" t="str">
        <f t="shared" si="755"/>
        <v/>
      </c>
      <c r="X3420" s="14" t="str">
        <f t="shared" si="756"/>
        <v/>
      </c>
    </row>
    <row r="3421" spans="20:24" x14ac:dyDescent="0.3">
      <c r="T3421" s="13" t="str">
        <f t="shared" si="752"/>
        <v/>
      </c>
      <c r="U3421" s="14" t="str">
        <f t="shared" si="753"/>
        <v/>
      </c>
      <c r="V3421" s="13" t="str">
        <f t="shared" si="754"/>
        <v/>
      </c>
      <c r="W3421" s="13" t="str">
        <f t="shared" si="755"/>
        <v/>
      </c>
      <c r="X3421" s="14" t="str">
        <f t="shared" si="756"/>
        <v/>
      </c>
    </row>
    <row r="3422" spans="20:24" x14ac:dyDescent="0.3">
      <c r="T3422" s="13" t="str">
        <f t="shared" si="752"/>
        <v/>
      </c>
      <c r="U3422" s="14" t="str">
        <f t="shared" si="753"/>
        <v/>
      </c>
      <c r="V3422" s="13" t="str">
        <f t="shared" si="754"/>
        <v/>
      </c>
      <c r="W3422" s="13" t="str">
        <f t="shared" si="755"/>
        <v/>
      </c>
      <c r="X3422" s="14" t="str">
        <f t="shared" si="756"/>
        <v/>
      </c>
    </row>
    <row r="3423" spans="20:24" x14ac:dyDescent="0.3">
      <c r="T3423" s="13" t="str">
        <f t="shared" si="752"/>
        <v/>
      </c>
      <c r="U3423" s="14" t="str">
        <f t="shared" si="753"/>
        <v/>
      </c>
      <c r="V3423" s="13" t="str">
        <f t="shared" si="754"/>
        <v/>
      </c>
      <c r="W3423" s="13" t="str">
        <f t="shared" si="755"/>
        <v/>
      </c>
      <c r="X3423" s="14" t="str">
        <f t="shared" si="756"/>
        <v/>
      </c>
    </row>
    <row r="3424" spans="20:24" x14ac:dyDescent="0.3">
      <c r="T3424" s="13" t="str">
        <f t="shared" si="752"/>
        <v/>
      </c>
      <c r="U3424" s="14" t="str">
        <f t="shared" si="753"/>
        <v/>
      </c>
      <c r="V3424" s="13" t="str">
        <f t="shared" si="754"/>
        <v/>
      </c>
      <c r="W3424" s="13" t="str">
        <f t="shared" si="755"/>
        <v/>
      </c>
      <c r="X3424" s="14" t="str">
        <f t="shared" si="756"/>
        <v/>
      </c>
    </row>
    <row r="3425" spans="20:24" x14ac:dyDescent="0.3">
      <c r="T3425" s="13" t="str">
        <f t="shared" si="752"/>
        <v/>
      </c>
      <c r="U3425" s="14" t="str">
        <f t="shared" si="753"/>
        <v/>
      </c>
      <c r="V3425" s="13" t="str">
        <f t="shared" si="754"/>
        <v/>
      </c>
      <c r="W3425" s="13" t="str">
        <f t="shared" si="755"/>
        <v/>
      </c>
      <c r="X3425" s="14" t="str">
        <f t="shared" si="756"/>
        <v/>
      </c>
    </row>
    <row r="3426" spans="20:24" x14ac:dyDescent="0.3">
      <c r="T3426" s="13" t="str">
        <f t="shared" si="752"/>
        <v/>
      </c>
      <c r="U3426" s="14" t="str">
        <f t="shared" si="753"/>
        <v/>
      </c>
      <c r="V3426" s="13" t="str">
        <f t="shared" si="754"/>
        <v/>
      </c>
      <c r="W3426" s="13" t="str">
        <f t="shared" si="755"/>
        <v/>
      </c>
      <c r="X3426" s="14" t="str">
        <f t="shared" si="756"/>
        <v/>
      </c>
    </row>
    <row r="3427" spans="20:24" x14ac:dyDescent="0.3">
      <c r="T3427" s="13" t="str">
        <f t="shared" si="752"/>
        <v/>
      </c>
      <c r="U3427" s="14" t="str">
        <f t="shared" si="753"/>
        <v/>
      </c>
      <c r="V3427" s="13" t="str">
        <f t="shared" si="754"/>
        <v/>
      </c>
      <c r="W3427" s="13" t="str">
        <f t="shared" si="755"/>
        <v/>
      </c>
      <c r="X3427" s="14" t="str">
        <f t="shared" si="756"/>
        <v/>
      </c>
    </row>
    <row r="3428" spans="20:24" x14ac:dyDescent="0.3">
      <c r="T3428" s="13" t="str">
        <f t="shared" si="752"/>
        <v/>
      </c>
      <c r="U3428" s="14" t="str">
        <f t="shared" si="753"/>
        <v/>
      </c>
      <c r="V3428" s="13" t="str">
        <f t="shared" si="754"/>
        <v/>
      </c>
      <c r="W3428" s="13" t="str">
        <f t="shared" si="755"/>
        <v/>
      </c>
      <c r="X3428" s="14" t="str">
        <f t="shared" si="756"/>
        <v/>
      </c>
    </row>
    <row r="3429" spans="20:24" x14ac:dyDescent="0.3">
      <c r="T3429" s="13" t="str">
        <f t="shared" si="752"/>
        <v/>
      </c>
      <c r="U3429" s="14" t="str">
        <f t="shared" si="753"/>
        <v/>
      </c>
      <c r="V3429" s="13" t="str">
        <f t="shared" si="754"/>
        <v/>
      </c>
      <c r="W3429" s="13" t="str">
        <f t="shared" si="755"/>
        <v/>
      </c>
      <c r="X3429" s="14" t="str">
        <f t="shared" si="756"/>
        <v/>
      </c>
    </row>
    <row r="3430" spans="20:24" x14ac:dyDescent="0.3">
      <c r="T3430" s="13" t="str">
        <f t="shared" si="752"/>
        <v/>
      </c>
      <c r="U3430" s="14" t="str">
        <f t="shared" si="753"/>
        <v/>
      </c>
      <c r="V3430" s="13" t="str">
        <f t="shared" si="754"/>
        <v/>
      </c>
      <c r="W3430" s="13" t="str">
        <f t="shared" si="755"/>
        <v/>
      </c>
      <c r="X3430" s="14" t="str">
        <f t="shared" si="756"/>
        <v/>
      </c>
    </row>
    <row r="3431" spans="20:24" x14ac:dyDescent="0.3">
      <c r="T3431" s="13" t="str">
        <f t="shared" si="752"/>
        <v/>
      </c>
      <c r="U3431" s="14" t="str">
        <f t="shared" si="753"/>
        <v/>
      </c>
      <c r="V3431" s="13" t="str">
        <f t="shared" si="754"/>
        <v/>
      </c>
      <c r="W3431" s="13" t="str">
        <f t="shared" si="755"/>
        <v/>
      </c>
      <c r="X3431" s="14" t="str">
        <f t="shared" si="756"/>
        <v/>
      </c>
    </row>
    <row r="3432" spans="20:24" x14ac:dyDescent="0.3">
      <c r="T3432" s="13" t="str">
        <f t="shared" si="752"/>
        <v/>
      </c>
      <c r="U3432" s="14" t="str">
        <f t="shared" si="753"/>
        <v/>
      </c>
      <c r="V3432" s="13" t="str">
        <f t="shared" si="754"/>
        <v/>
      </c>
      <c r="W3432" s="13" t="str">
        <f t="shared" si="755"/>
        <v/>
      </c>
      <c r="X3432" s="14" t="str">
        <f t="shared" si="756"/>
        <v/>
      </c>
    </row>
    <row r="3433" spans="20:24" x14ac:dyDescent="0.3">
      <c r="T3433" s="13" t="str">
        <f t="shared" si="752"/>
        <v/>
      </c>
      <c r="U3433" s="14" t="str">
        <f t="shared" si="753"/>
        <v/>
      </c>
      <c r="V3433" s="13" t="str">
        <f t="shared" si="754"/>
        <v/>
      </c>
      <c r="W3433" s="13" t="str">
        <f t="shared" si="755"/>
        <v/>
      </c>
      <c r="X3433" s="14" t="str">
        <f t="shared" si="756"/>
        <v/>
      </c>
    </row>
    <row r="3434" spans="20:24" x14ac:dyDescent="0.3">
      <c r="T3434" s="13" t="str">
        <f t="shared" si="752"/>
        <v/>
      </c>
      <c r="U3434" s="14" t="str">
        <f t="shared" si="753"/>
        <v/>
      </c>
      <c r="V3434" s="13" t="str">
        <f t="shared" si="754"/>
        <v/>
      </c>
      <c r="W3434" s="13" t="str">
        <f t="shared" si="755"/>
        <v/>
      </c>
      <c r="X3434" s="14" t="str">
        <f t="shared" si="756"/>
        <v/>
      </c>
    </row>
    <row r="3435" spans="20:24" x14ac:dyDescent="0.3">
      <c r="T3435" s="13" t="str">
        <f t="shared" si="752"/>
        <v/>
      </c>
      <c r="U3435" s="14" t="str">
        <f t="shared" si="753"/>
        <v/>
      </c>
      <c r="V3435" s="13" t="str">
        <f t="shared" si="754"/>
        <v/>
      </c>
      <c r="W3435" s="13" t="str">
        <f t="shared" si="755"/>
        <v/>
      </c>
      <c r="X3435" s="14" t="str">
        <f t="shared" si="756"/>
        <v/>
      </c>
    </row>
    <row r="3436" spans="20:24" x14ac:dyDescent="0.3">
      <c r="T3436" s="13" t="str">
        <f t="shared" si="752"/>
        <v/>
      </c>
      <c r="U3436" s="14" t="str">
        <f t="shared" si="753"/>
        <v/>
      </c>
      <c r="V3436" s="13" t="str">
        <f t="shared" si="754"/>
        <v/>
      </c>
      <c r="W3436" s="13" t="str">
        <f t="shared" si="755"/>
        <v/>
      </c>
      <c r="X3436" s="14" t="str">
        <f t="shared" si="756"/>
        <v/>
      </c>
    </row>
    <row r="3437" spans="20:24" x14ac:dyDescent="0.3">
      <c r="T3437" s="13" t="str">
        <f t="shared" si="752"/>
        <v/>
      </c>
      <c r="U3437" s="14" t="str">
        <f t="shared" si="753"/>
        <v/>
      </c>
      <c r="V3437" s="13" t="str">
        <f t="shared" si="754"/>
        <v/>
      </c>
      <c r="W3437" s="13" t="str">
        <f t="shared" si="755"/>
        <v/>
      </c>
      <c r="X3437" s="14" t="str">
        <f t="shared" si="756"/>
        <v/>
      </c>
    </row>
    <row r="3438" spans="20:24" x14ac:dyDescent="0.3">
      <c r="T3438" s="13" t="str">
        <f t="shared" si="752"/>
        <v/>
      </c>
      <c r="U3438" s="14" t="str">
        <f t="shared" si="753"/>
        <v/>
      </c>
      <c r="V3438" s="13" t="str">
        <f t="shared" si="754"/>
        <v/>
      </c>
      <c r="W3438" s="13" t="str">
        <f t="shared" si="755"/>
        <v/>
      </c>
      <c r="X3438" s="14" t="str">
        <f t="shared" si="756"/>
        <v/>
      </c>
    </row>
    <row r="3439" spans="20:24" x14ac:dyDescent="0.3">
      <c r="T3439" s="13" t="str">
        <f t="shared" si="752"/>
        <v/>
      </c>
      <c r="U3439" s="14" t="str">
        <f t="shared" si="753"/>
        <v/>
      </c>
      <c r="V3439" s="13" t="str">
        <f t="shared" si="754"/>
        <v/>
      </c>
      <c r="W3439" s="13" t="str">
        <f t="shared" si="755"/>
        <v/>
      </c>
      <c r="X3439" s="14" t="str">
        <f t="shared" si="756"/>
        <v/>
      </c>
    </row>
    <row r="3440" spans="20:24" x14ac:dyDescent="0.3">
      <c r="T3440" s="13" t="str">
        <f t="shared" si="752"/>
        <v/>
      </c>
      <c r="U3440" s="14" t="str">
        <f t="shared" si="753"/>
        <v/>
      </c>
      <c r="V3440" s="13" t="str">
        <f t="shared" si="754"/>
        <v/>
      </c>
      <c r="W3440" s="13" t="str">
        <f t="shared" si="755"/>
        <v/>
      </c>
      <c r="X3440" s="14" t="str">
        <f t="shared" si="756"/>
        <v/>
      </c>
    </row>
    <row r="3441" spans="20:24" x14ac:dyDescent="0.3">
      <c r="T3441" s="13" t="str">
        <f t="shared" si="752"/>
        <v/>
      </c>
      <c r="U3441" s="14" t="str">
        <f t="shared" si="753"/>
        <v/>
      </c>
      <c r="V3441" s="13" t="str">
        <f t="shared" si="754"/>
        <v/>
      </c>
      <c r="W3441" s="13" t="str">
        <f t="shared" si="755"/>
        <v/>
      </c>
      <c r="X3441" s="14" t="str">
        <f t="shared" si="756"/>
        <v/>
      </c>
    </row>
    <row r="3442" spans="20:24" x14ac:dyDescent="0.3">
      <c r="T3442" s="13" t="str">
        <f t="shared" si="752"/>
        <v/>
      </c>
      <c r="U3442" s="14" t="str">
        <f t="shared" si="753"/>
        <v/>
      </c>
      <c r="V3442" s="13" t="str">
        <f t="shared" si="754"/>
        <v/>
      </c>
      <c r="W3442" s="13" t="str">
        <f t="shared" si="755"/>
        <v/>
      </c>
      <c r="X3442" s="14" t="str">
        <f t="shared" si="756"/>
        <v/>
      </c>
    </row>
    <row r="3443" spans="20:24" x14ac:dyDescent="0.3">
      <c r="T3443" s="13" t="str">
        <f t="shared" si="752"/>
        <v/>
      </c>
      <c r="U3443" s="14" t="str">
        <f t="shared" si="753"/>
        <v/>
      </c>
      <c r="V3443" s="13" t="str">
        <f t="shared" si="754"/>
        <v/>
      </c>
      <c r="W3443" s="13" t="str">
        <f t="shared" si="755"/>
        <v/>
      </c>
      <c r="X3443" s="14" t="str">
        <f t="shared" si="756"/>
        <v/>
      </c>
    </row>
    <row r="3444" spans="20:24" x14ac:dyDescent="0.3">
      <c r="T3444" s="13" t="str">
        <f t="shared" si="752"/>
        <v/>
      </c>
      <c r="U3444" s="14" t="str">
        <f t="shared" si="753"/>
        <v/>
      </c>
      <c r="V3444" s="13" t="str">
        <f t="shared" si="754"/>
        <v/>
      </c>
      <c r="W3444" s="13" t="str">
        <f t="shared" si="755"/>
        <v/>
      </c>
      <c r="X3444" s="14" t="str">
        <f t="shared" si="756"/>
        <v/>
      </c>
    </row>
    <row r="3445" spans="20:24" x14ac:dyDescent="0.3">
      <c r="T3445" s="13" t="str">
        <f t="shared" si="752"/>
        <v/>
      </c>
      <c r="U3445" s="14" t="str">
        <f t="shared" si="753"/>
        <v/>
      </c>
      <c r="V3445" s="13" t="str">
        <f t="shared" si="754"/>
        <v/>
      </c>
      <c r="W3445" s="13" t="str">
        <f t="shared" si="755"/>
        <v/>
      </c>
      <c r="X3445" s="14" t="str">
        <f t="shared" si="756"/>
        <v/>
      </c>
    </row>
    <row r="3446" spans="20:24" x14ac:dyDescent="0.3">
      <c r="T3446" s="13" t="str">
        <f t="shared" si="752"/>
        <v/>
      </c>
      <c r="U3446" s="14" t="str">
        <f t="shared" si="753"/>
        <v/>
      </c>
      <c r="V3446" s="13" t="str">
        <f t="shared" si="754"/>
        <v/>
      </c>
      <c r="W3446" s="13" t="str">
        <f t="shared" si="755"/>
        <v/>
      </c>
      <c r="X3446" s="14" t="str">
        <f t="shared" si="756"/>
        <v/>
      </c>
    </row>
    <row r="3447" spans="20:24" x14ac:dyDescent="0.3">
      <c r="T3447" s="13" t="str">
        <f t="shared" si="752"/>
        <v/>
      </c>
      <c r="U3447" s="14" t="str">
        <f t="shared" si="753"/>
        <v/>
      </c>
      <c r="V3447" s="13" t="str">
        <f t="shared" si="754"/>
        <v/>
      </c>
      <c r="W3447" s="13" t="str">
        <f t="shared" si="755"/>
        <v/>
      </c>
      <c r="X3447" s="14" t="str">
        <f t="shared" si="756"/>
        <v/>
      </c>
    </row>
    <row r="3448" spans="20:24" x14ac:dyDescent="0.3">
      <c r="T3448" s="13" t="str">
        <f t="shared" si="752"/>
        <v/>
      </c>
      <c r="U3448" s="14" t="str">
        <f t="shared" si="753"/>
        <v/>
      </c>
      <c r="V3448" s="13" t="str">
        <f t="shared" si="754"/>
        <v/>
      </c>
      <c r="W3448" s="13" t="str">
        <f t="shared" si="755"/>
        <v/>
      </c>
      <c r="X3448" s="14" t="str">
        <f t="shared" si="756"/>
        <v/>
      </c>
    </row>
    <row r="3449" spans="20:24" x14ac:dyDescent="0.3">
      <c r="T3449" s="13" t="str">
        <f t="shared" si="752"/>
        <v/>
      </c>
      <c r="U3449" s="14" t="str">
        <f t="shared" si="753"/>
        <v/>
      </c>
      <c r="V3449" s="13" t="str">
        <f t="shared" si="754"/>
        <v/>
      </c>
      <c r="W3449" s="13" t="str">
        <f t="shared" si="755"/>
        <v/>
      </c>
      <c r="X3449" s="14" t="str">
        <f t="shared" si="756"/>
        <v/>
      </c>
    </row>
    <row r="3450" spans="20:24" x14ac:dyDescent="0.3">
      <c r="T3450" s="13" t="str">
        <f t="shared" si="752"/>
        <v/>
      </c>
      <c r="U3450" s="14" t="str">
        <f t="shared" si="753"/>
        <v/>
      </c>
      <c r="V3450" s="13" t="str">
        <f t="shared" si="754"/>
        <v/>
      </c>
      <c r="W3450" s="13" t="str">
        <f t="shared" si="755"/>
        <v/>
      </c>
      <c r="X3450" s="14" t="str">
        <f t="shared" si="756"/>
        <v/>
      </c>
    </row>
    <row r="3451" spans="20:24" x14ac:dyDescent="0.3">
      <c r="T3451" s="13" t="str">
        <f t="shared" si="752"/>
        <v/>
      </c>
      <c r="U3451" s="14" t="str">
        <f t="shared" si="753"/>
        <v/>
      </c>
      <c r="V3451" s="13" t="str">
        <f t="shared" si="754"/>
        <v/>
      </c>
      <c r="W3451" s="13" t="str">
        <f t="shared" si="755"/>
        <v/>
      </c>
      <c r="X3451" s="14" t="str">
        <f t="shared" si="756"/>
        <v/>
      </c>
    </row>
    <row r="3452" spans="20:24" x14ac:dyDescent="0.3">
      <c r="T3452" s="13" t="str">
        <f t="shared" si="752"/>
        <v/>
      </c>
      <c r="U3452" s="14" t="str">
        <f t="shared" si="753"/>
        <v/>
      </c>
      <c r="V3452" s="13" t="str">
        <f t="shared" si="754"/>
        <v/>
      </c>
      <c r="W3452" s="13" t="str">
        <f t="shared" si="755"/>
        <v/>
      </c>
      <c r="X3452" s="14" t="str">
        <f t="shared" si="756"/>
        <v/>
      </c>
    </row>
    <row r="3453" spans="20:24" x14ac:dyDescent="0.3">
      <c r="T3453" s="13" t="str">
        <f t="shared" si="752"/>
        <v/>
      </c>
      <c r="U3453" s="14" t="str">
        <f t="shared" si="753"/>
        <v/>
      </c>
      <c r="V3453" s="13" t="str">
        <f t="shared" si="754"/>
        <v/>
      </c>
      <c r="W3453" s="13" t="str">
        <f t="shared" si="755"/>
        <v/>
      </c>
      <c r="X3453" s="14" t="str">
        <f t="shared" si="756"/>
        <v/>
      </c>
    </row>
    <row r="3454" spans="20:24" x14ac:dyDescent="0.3">
      <c r="T3454" s="13" t="str">
        <f t="shared" si="752"/>
        <v/>
      </c>
      <c r="U3454" s="14" t="str">
        <f t="shared" si="753"/>
        <v/>
      </c>
      <c r="V3454" s="13" t="str">
        <f t="shared" si="754"/>
        <v/>
      </c>
      <c r="W3454" s="13" t="str">
        <f t="shared" si="755"/>
        <v/>
      </c>
      <c r="X3454" s="14" t="str">
        <f t="shared" si="756"/>
        <v/>
      </c>
    </row>
    <row r="3455" spans="20:24" x14ac:dyDescent="0.3">
      <c r="T3455" s="13" t="str">
        <f t="shared" si="752"/>
        <v/>
      </c>
      <c r="U3455" s="14" t="str">
        <f t="shared" si="753"/>
        <v/>
      </c>
      <c r="V3455" s="13" t="str">
        <f t="shared" si="754"/>
        <v/>
      </c>
      <c r="W3455" s="13" t="str">
        <f t="shared" si="755"/>
        <v/>
      </c>
      <c r="X3455" s="14" t="str">
        <f t="shared" si="756"/>
        <v/>
      </c>
    </row>
    <row r="3456" spans="20:24" x14ac:dyDescent="0.3">
      <c r="T3456" s="13" t="str">
        <f t="shared" si="752"/>
        <v/>
      </c>
      <c r="U3456" s="14" t="str">
        <f t="shared" si="753"/>
        <v/>
      </c>
      <c r="V3456" s="13" t="str">
        <f t="shared" si="754"/>
        <v/>
      </c>
      <c r="W3456" s="13" t="str">
        <f t="shared" si="755"/>
        <v/>
      </c>
      <c r="X3456" s="14" t="str">
        <f t="shared" si="756"/>
        <v/>
      </c>
    </row>
    <row r="3457" spans="20:24" x14ac:dyDescent="0.3">
      <c r="T3457" s="13" t="str">
        <f t="shared" si="752"/>
        <v/>
      </c>
      <c r="U3457" s="14" t="str">
        <f t="shared" si="753"/>
        <v/>
      </c>
      <c r="V3457" s="13" t="str">
        <f t="shared" si="754"/>
        <v/>
      </c>
      <c r="W3457" s="13" t="str">
        <f t="shared" si="755"/>
        <v/>
      </c>
      <c r="X3457" s="14" t="str">
        <f t="shared" si="756"/>
        <v/>
      </c>
    </row>
    <row r="3458" spans="20:24" x14ac:dyDescent="0.3">
      <c r="T3458" s="13" t="str">
        <f t="shared" si="752"/>
        <v/>
      </c>
      <c r="U3458" s="14" t="str">
        <f t="shared" si="753"/>
        <v/>
      </c>
      <c r="V3458" s="13" t="str">
        <f t="shared" si="754"/>
        <v/>
      </c>
      <c r="W3458" s="13" t="str">
        <f t="shared" si="755"/>
        <v/>
      </c>
      <c r="X3458" s="14" t="str">
        <f t="shared" si="756"/>
        <v/>
      </c>
    </row>
    <row r="3459" spans="20:24" x14ac:dyDescent="0.3">
      <c r="T3459" s="13" t="str">
        <f t="shared" si="752"/>
        <v/>
      </c>
      <c r="U3459" s="14" t="str">
        <f t="shared" si="753"/>
        <v/>
      </c>
      <c r="V3459" s="13" t="str">
        <f t="shared" si="754"/>
        <v/>
      </c>
      <c r="W3459" s="13" t="str">
        <f t="shared" si="755"/>
        <v/>
      </c>
      <c r="X3459" s="14" t="str">
        <f t="shared" si="756"/>
        <v/>
      </c>
    </row>
    <row r="3460" spans="20:24" x14ac:dyDescent="0.3">
      <c r="T3460" s="13" t="str">
        <f t="shared" si="752"/>
        <v/>
      </c>
      <c r="U3460" s="14" t="str">
        <f t="shared" si="753"/>
        <v/>
      </c>
      <c r="V3460" s="13" t="str">
        <f t="shared" si="754"/>
        <v/>
      </c>
      <c r="W3460" s="13" t="str">
        <f t="shared" si="755"/>
        <v/>
      </c>
      <c r="X3460" s="14" t="str">
        <f t="shared" si="756"/>
        <v/>
      </c>
    </row>
    <row r="3461" spans="20:24" x14ac:dyDescent="0.3">
      <c r="T3461" s="13" t="str">
        <f t="shared" si="752"/>
        <v/>
      </c>
      <c r="U3461" s="14" t="str">
        <f t="shared" si="753"/>
        <v/>
      </c>
      <c r="V3461" s="13" t="str">
        <f t="shared" si="754"/>
        <v/>
      </c>
      <c r="W3461" s="13" t="str">
        <f t="shared" si="755"/>
        <v/>
      </c>
      <c r="X3461" s="14" t="str">
        <f t="shared" si="756"/>
        <v/>
      </c>
    </row>
    <row r="3462" spans="20:24" x14ac:dyDescent="0.3">
      <c r="T3462" s="13" t="str">
        <f t="shared" si="752"/>
        <v/>
      </c>
      <c r="U3462" s="14" t="str">
        <f t="shared" si="753"/>
        <v/>
      </c>
      <c r="V3462" s="13" t="str">
        <f t="shared" si="754"/>
        <v/>
      </c>
      <c r="W3462" s="13" t="str">
        <f t="shared" si="755"/>
        <v/>
      </c>
      <c r="X3462" s="14" t="str">
        <f t="shared" si="756"/>
        <v/>
      </c>
    </row>
    <row r="3463" spans="20:24" x14ac:dyDescent="0.3">
      <c r="T3463" s="13" t="str">
        <f t="shared" si="752"/>
        <v/>
      </c>
      <c r="U3463" s="14" t="str">
        <f t="shared" si="753"/>
        <v/>
      </c>
      <c r="V3463" s="13" t="str">
        <f t="shared" si="754"/>
        <v/>
      </c>
      <c r="W3463" s="13" t="str">
        <f t="shared" si="755"/>
        <v/>
      </c>
      <c r="X3463" s="14" t="str">
        <f t="shared" si="756"/>
        <v/>
      </c>
    </row>
    <row r="3464" spans="20:24" x14ac:dyDescent="0.3">
      <c r="T3464" s="13" t="str">
        <f t="shared" si="752"/>
        <v/>
      </c>
      <c r="U3464" s="14" t="str">
        <f t="shared" si="753"/>
        <v/>
      </c>
      <c r="V3464" s="13" t="str">
        <f t="shared" si="754"/>
        <v/>
      </c>
      <c r="W3464" s="13" t="str">
        <f t="shared" si="755"/>
        <v/>
      </c>
      <c r="X3464" s="14" t="str">
        <f t="shared" si="756"/>
        <v/>
      </c>
    </row>
    <row r="3465" spans="20:24" x14ac:dyDescent="0.3">
      <c r="T3465" s="13" t="str">
        <f t="shared" si="752"/>
        <v/>
      </c>
      <c r="U3465" s="14" t="str">
        <f t="shared" si="753"/>
        <v/>
      </c>
      <c r="V3465" s="13" t="str">
        <f t="shared" si="754"/>
        <v/>
      </c>
      <c r="W3465" s="13" t="str">
        <f t="shared" si="755"/>
        <v/>
      </c>
      <c r="X3465" s="14" t="str">
        <f t="shared" si="756"/>
        <v/>
      </c>
    </row>
    <row r="3466" spans="20:24" x14ac:dyDescent="0.3">
      <c r="T3466" s="13" t="str">
        <f t="shared" si="752"/>
        <v/>
      </c>
      <c r="U3466" s="14" t="str">
        <f t="shared" si="753"/>
        <v/>
      </c>
      <c r="V3466" s="13" t="str">
        <f t="shared" si="754"/>
        <v/>
      </c>
      <c r="W3466" s="13" t="str">
        <f t="shared" si="755"/>
        <v/>
      </c>
      <c r="X3466" s="14" t="str">
        <f t="shared" si="756"/>
        <v/>
      </c>
    </row>
    <row r="3467" spans="20:24" x14ac:dyDescent="0.3">
      <c r="T3467" s="13" t="str">
        <f t="shared" si="752"/>
        <v/>
      </c>
      <c r="U3467" s="14" t="str">
        <f t="shared" si="753"/>
        <v/>
      </c>
      <c r="V3467" s="13" t="str">
        <f t="shared" si="754"/>
        <v/>
      </c>
      <c r="W3467" s="13" t="str">
        <f t="shared" si="755"/>
        <v/>
      </c>
      <c r="X3467" s="14" t="str">
        <f t="shared" si="756"/>
        <v/>
      </c>
    </row>
    <row r="3468" spans="20:24" x14ac:dyDescent="0.3">
      <c r="T3468" s="13" t="str">
        <f t="shared" si="752"/>
        <v/>
      </c>
      <c r="U3468" s="14" t="str">
        <f t="shared" si="753"/>
        <v/>
      </c>
      <c r="V3468" s="13" t="str">
        <f t="shared" si="754"/>
        <v/>
      </c>
      <c r="W3468" s="13" t="str">
        <f t="shared" si="755"/>
        <v/>
      </c>
      <c r="X3468" s="14" t="str">
        <f t="shared" si="756"/>
        <v/>
      </c>
    </row>
    <row r="3469" spans="20:24" x14ac:dyDescent="0.3">
      <c r="T3469" s="13" t="str">
        <f t="shared" si="752"/>
        <v/>
      </c>
      <c r="U3469" s="14" t="str">
        <f t="shared" si="753"/>
        <v/>
      </c>
      <c r="V3469" s="13" t="str">
        <f t="shared" si="754"/>
        <v/>
      </c>
      <c r="W3469" s="13" t="str">
        <f t="shared" si="755"/>
        <v/>
      </c>
      <c r="X3469" s="14" t="str">
        <f t="shared" si="756"/>
        <v/>
      </c>
    </row>
    <row r="3470" spans="20:24" x14ac:dyDescent="0.3">
      <c r="T3470" s="13" t="str">
        <f t="shared" si="752"/>
        <v/>
      </c>
      <c r="U3470" s="14" t="str">
        <f t="shared" si="753"/>
        <v/>
      </c>
      <c r="V3470" s="13" t="str">
        <f t="shared" si="754"/>
        <v/>
      </c>
      <c r="W3470" s="13" t="str">
        <f t="shared" si="755"/>
        <v/>
      </c>
      <c r="X3470" s="14" t="str">
        <f t="shared" si="756"/>
        <v/>
      </c>
    </row>
    <row r="3471" spans="20:24" x14ac:dyDescent="0.3">
      <c r="T3471" s="13" t="str">
        <f t="shared" si="752"/>
        <v/>
      </c>
      <c r="U3471" s="14" t="str">
        <f t="shared" si="753"/>
        <v/>
      </c>
      <c r="V3471" s="13" t="str">
        <f t="shared" si="754"/>
        <v/>
      </c>
      <c r="W3471" s="13" t="str">
        <f t="shared" si="755"/>
        <v/>
      </c>
      <c r="X3471" s="14" t="str">
        <f t="shared" si="756"/>
        <v/>
      </c>
    </row>
    <row r="3472" spans="20:24" x14ac:dyDescent="0.3">
      <c r="T3472" s="13" t="str">
        <f t="shared" si="752"/>
        <v/>
      </c>
      <c r="U3472" s="14" t="str">
        <f t="shared" si="753"/>
        <v/>
      </c>
      <c r="V3472" s="13" t="str">
        <f t="shared" si="754"/>
        <v/>
      </c>
      <c r="W3472" s="13" t="str">
        <f t="shared" si="755"/>
        <v/>
      </c>
      <c r="X3472" s="14" t="str">
        <f t="shared" si="756"/>
        <v/>
      </c>
    </row>
    <row r="3473" spans="20:24" x14ac:dyDescent="0.3">
      <c r="T3473" s="13" t="str">
        <f t="shared" si="752"/>
        <v/>
      </c>
      <c r="U3473" s="14" t="str">
        <f t="shared" si="753"/>
        <v/>
      </c>
      <c r="V3473" s="13" t="str">
        <f t="shared" si="754"/>
        <v/>
      </c>
      <c r="W3473" s="13" t="str">
        <f t="shared" si="755"/>
        <v/>
      </c>
      <c r="X3473" s="14" t="str">
        <f t="shared" si="756"/>
        <v/>
      </c>
    </row>
    <row r="3474" spans="20:24" x14ac:dyDescent="0.3">
      <c r="T3474" s="13" t="str">
        <f t="shared" si="752"/>
        <v/>
      </c>
      <c r="U3474" s="14" t="str">
        <f t="shared" si="753"/>
        <v/>
      </c>
      <c r="V3474" s="13" t="str">
        <f t="shared" si="754"/>
        <v/>
      </c>
      <c r="W3474" s="13" t="str">
        <f t="shared" si="755"/>
        <v/>
      </c>
      <c r="X3474" s="14" t="str">
        <f t="shared" si="756"/>
        <v/>
      </c>
    </row>
    <row r="3475" spans="20:24" x14ac:dyDescent="0.3">
      <c r="T3475" s="13" t="str">
        <f t="shared" ref="T3475:T3538" si="757">IF(A3475="",IF(A3474="","",$T$1),IF(O3475=1,"#",IF(B3475=0,"*",DEC2HEX(R3475))))</f>
        <v/>
      </c>
      <c r="U3475" s="14" t="str">
        <f t="shared" ref="U3475:U3538" si="758">IF(A3475="",IF(A3474="","",$U$1),  IF(B3475=0,Q3475,I3475)  )</f>
        <v/>
      </c>
      <c r="V3475" s="13" t="str">
        <f t="shared" ref="V3475:V3538" si="759">IF(U3475=$U$1,"",IF(A3475="",IF(A3474="","",1),  IF(B3475=0,1,D3475)  ))</f>
        <v/>
      </c>
      <c r="W3475" s="13" t="str">
        <f t="shared" ref="W3475:W3538" si="760">IF(U3475=$U$1,"",IF(A3475="",IF(A3474="","",0),  IF(C3475=0,0,0)  ))</f>
        <v/>
      </c>
      <c r="X3475" s="14" t="str">
        <f t="shared" ref="X3475:X3538" si="761">IF(U3475=$U$1,"",IF(U3475="","",IF(B3475&gt;0,IF(Q3475&lt;&gt;"",Q3475,"No description"),"-")))</f>
        <v/>
      </c>
    </row>
    <row r="3476" spans="20:24" x14ac:dyDescent="0.3">
      <c r="T3476" s="13" t="str">
        <f t="shared" si="757"/>
        <v/>
      </c>
      <c r="U3476" s="14" t="str">
        <f t="shared" si="758"/>
        <v/>
      </c>
      <c r="V3476" s="13" t="str">
        <f t="shared" si="759"/>
        <v/>
      </c>
      <c r="W3476" s="13" t="str">
        <f t="shared" si="760"/>
        <v/>
      </c>
      <c r="X3476" s="14" t="str">
        <f t="shared" si="761"/>
        <v/>
      </c>
    </row>
    <row r="3477" spans="20:24" x14ac:dyDescent="0.3">
      <c r="T3477" s="13" t="str">
        <f t="shared" si="757"/>
        <v/>
      </c>
      <c r="U3477" s="14" t="str">
        <f t="shared" si="758"/>
        <v/>
      </c>
      <c r="V3477" s="13" t="str">
        <f t="shared" si="759"/>
        <v/>
      </c>
      <c r="W3477" s="13" t="str">
        <f t="shared" si="760"/>
        <v/>
      </c>
      <c r="X3477" s="14" t="str">
        <f t="shared" si="761"/>
        <v/>
      </c>
    </row>
    <row r="3478" spans="20:24" x14ac:dyDescent="0.3">
      <c r="T3478" s="13" t="str">
        <f t="shared" si="757"/>
        <v/>
      </c>
      <c r="U3478" s="14" t="str">
        <f t="shared" si="758"/>
        <v/>
      </c>
      <c r="V3478" s="13" t="str">
        <f t="shared" si="759"/>
        <v/>
      </c>
      <c r="W3478" s="13" t="str">
        <f t="shared" si="760"/>
        <v/>
      </c>
      <c r="X3478" s="14" t="str">
        <f t="shared" si="761"/>
        <v/>
      </c>
    </row>
    <row r="3479" spans="20:24" x14ac:dyDescent="0.3">
      <c r="T3479" s="13" t="str">
        <f t="shared" si="757"/>
        <v/>
      </c>
      <c r="U3479" s="14" t="str">
        <f t="shared" si="758"/>
        <v/>
      </c>
      <c r="V3479" s="13" t="str">
        <f t="shared" si="759"/>
        <v/>
      </c>
      <c r="W3479" s="13" t="str">
        <f t="shared" si="760"/>
        <v/>
      </c>
      <c r="X3479" s="14" t="str">
        <f t="shared" si="761"/>
        <v/>
      </c>
    </row>
    <row r="3480" spans="20:24" x14ac:dyDescent="0.3">
      <c r="T3480" s="13" t="str">
        <f t="shared" si="757"/>
        <v/>
      </c>
      <c r="U3480" s="14" t="str">
        <f t="shared" si="758"/>
        <v/>
      </c>
      <c r="V3480" s="13" t="str">
        <f t="shared" si="759"/>
        <v/>
      </c>
      <c r="W3480" s="13" t="str">
        <f t="shared" si="760"/>
        <v/>
      </c>
      <c r="X3480" s="14" t="str">
        <f t="shared" si="761"/>
        <v/>
      </c>
    </row>
    <row r="3481" spans="20:24" x14ac:dyDescent="0.3">
      <c r="T3481" s="13" t="str">
        <f t="shared" si="757"/>
        <v/>
      </c>
      <c r="U3481" s="14" t="str">
        <f t="shared" si="758"/>
        <v/>
      </c>
      <c r="V3481" s="13" t="str">
        <f t="shared" si="759"/>
        <v/>
      </c>
      <c r="W3481" s="13" t="str">
        <f t="shared" si="760"/>
        <v/>
      </c>
      <c r="X3481" s="14" t="str">
        <f t="shared" si="761"/>
        <v/>
      </c>
    </row>
    <row r="3482" spans="20:24" x14ac:dyDescent="0.3">
      <c r="T3482" s="13" t="str">
        <f t="shared" si="757"/>
        <v/>
      </c>
      <c r="U3482" s="14" t="str">
        <f t="shared" si="758"/>
        <v/>
      </c>
      <c r="V3482" s="13" t="str">
        <f t="shared" si="759"/>
        <v/>
      </c>
      <c r="W3482" s="13" t="str">
        <f t="shared" si="760"/>
        <v/>
      </c>
      <c r="X3482" s="14" t="str">
        <f t="shared" si="761"/>
        <v/>
      </c>
    </row>
    <row r="3483" spans="20:24" x14ac:dyDescent="0.3">
      <c r="T3483" s="13" t="str">
        <f t="shared" si="757"/>
        <v/>
      </c>
      <c r="U3483" s="14" t="str">
        <f t="shared" si="758"/>
        <v/>
      </c>
      <c r="V3483" s="13" t="str">
        <f t="shared" si="759"/>
        <v/>
      </c>
      <c r="W3483" s="13" t="str">
        <f t="shared" si="760"/>
        <v/>
      </c>
      <c r="X3483" s="14" t="str">
        <f t="shared" si="761"/>
        <v/>
      </c>
    </row>
    <row r="3484" spans="20:24" x14ac:dyDescent="0.3">
      <c r="T3484" s="13" t="str">
        <f t="shared" si="757"/>
        <v/>
      </c>
      <c r="U3484" s="14" t="str">
        <f t="shared" si="758"/>
        <v/>
      </c>
      <c r="V3484" s="13" t="str">
        <f t="shared" si="759"/>
        <v/>
      </c>
      <c r="W3484" s="13" t="str">
        <f t="shared" si="760"/>
        <v/>
      </c>
      <c r="X3484" s="14" t="str">
        <f t="shared" si="761"/>
        <v/>
      </c>
    </row>
    <row r="3485" spans="20:24" x14ac:dyDescent="0.3">
      <c r="T3485" s="13" t="str">
        <f t="shared" si="757"/>
        <v/>
      </c>
      <c r="U3485" s="14" t="str">
        <f t="shared" si="758"/>
        <v/>
      </c>
      <c r="V3485" s="13" t="str">
        <f t="shared" si="759"/>
        <v/>
      </c>
      <c r="W3485" s="13" t="str">
        <f t="shared" si="760"/>
        <v/>
      </c>
      <c r="X3485" s="14" t="str">
        <f t="shared" si="761"/>
        <v/>
      </c>
    </row>
    <row r="3486" spans="20:24" x14ac:dyDescent="0.3">
      <c r="T3486" s="13" t="str">
        <f t="shared" si="757"/>
        <v/>
      </c>
      <c r="U3486" s="14" t="str">
        <f t="shared" si="758"/>
        <v/>
      </c>
      <c r="V3486" s="13" t="str">
        <f t="shared" si="759"/>
        <v/>
      </c>
      <c r="W3486" s="13" t="str">
        <f t="shared" si="760"/>
        <v/>
      </c>
      <c r="X3486" s="14" t="str">
        <f t="shared" si="761"/>
        <v/>
      </c>
    </row>
    <row r="3487" spans="20:24" x14ac:dyDescent="0.3">
      <c r="T3487" s="13" t="str">
        <f t="shared" si="757"/>
        <v/>
      </c>
      <c r="U3487" s="14" t="str">
        <f t="shared" si="758"/>
        <v/>
      </c>
      <c r="V3487" s="13" t="str">
        <f t="shared" si="759"/>
        <v/>
      </c>
      <c r="W3487" s="13" t="str">
        <f t="shared" si="760"/>
        <v/>
      </c>
      <c r="X3487" s="14" t="str">
        <f t="shared" si="761"/>
        <v/>
      </c>
    </row>
    <row r="3488" spans="20:24" x14ac:dyDescent="0.3">
      <c r="T3488" s="13" t="str">
        <f t="shared" si="757"/>
        <v/>
      </c>
      <c r="U3488" s="14" t="str">
        <f t="shared" si="758"/>
        <v/>
      </c>
      <c r="V3488" s="13" t="str">
        <f t="shared" si="759"/>
        <v/>
      </c>
      <c r="W3488" s="13" t="str">
        <f t="shared" si="760"/>
        <v/>
      </c>
      <c r="X3488" s="14" t="str">
        <f t="shared" si="761"/>
        <v/>
      </c>
    </row>
    <row r="3489" spans="20:24" x14ac:dyDescent="0.3">
      <c r="T3489" s="13" t="str">
        <f t="shared" si="757"/>
        <v/>
      </c>
      <c r="U3489" s="14" t="str">
        <f t="shared" si="758"/>
        <v/>
      </c>
      <c r="V3489" s="13" t="str">
        <f t="shared" si="759"/>
        <v/>
      </c>
      <c r="W3489" s="13" t="str">
        <f t="shared" si="760"/>
        <v/>
      </c>
      <c r="X3489" s="14" t="str">
        <f t="shared" si="761"/>
        <v/>
      </c>
    </row>
    <row r="3490" spans="20:24" x14ac:dyDescent="0.3">
      <c r="T3490" s="13" t="str">
        <f t="shared" si="757"/>
        <v/>
      </c>
      <c r="U3490" s="14" t="str">
        <f t="shared" si="758"/>
        <v/>
      </c>
      <c r="V3490" s="13" t="str">
        <f t="shared" si="759"/>
        <v/>
      </c>
      <c r="W3490" s="13" t="str">
        <f t="shared" si="760"/>
        <v/>
      </c>
      <c r="X3490" s="14" t="str">
        <f t="shared" si="761"/>
        <v/>
      </c>
    </row>
    <row r="3491" spans="20:24" x14ac:dyDescent="0.3">
      <c r="T3491" s="13" t="str">
        <f t="shared" si="757"/>
        <v/>
      </c>
      <c r="U3491" s="14" t="str">
        <f t="shared" si="758"/>
        <v/>
      </c>
      <c r="V3491" s="13" t="str">
        <f t="shared" si="759"/>
        <v/>
      </c>
      <c r="W3491" s="13" t="str">
        <f t="shared" si="760"/>
        <v/>
      </c>
      <c r="X3491" s="14" t="str">
        <f t="shared" si="761"/>
        <v/>
      </c>
    </row>
    <row r="3492" spans="20:24" x14ac:dyDescent="0.3">
      <c r="T3492" s="13" t="str">
        <f t="shared" si="757"/>
        <v/>
      </c>
      <c r="U3492" s="14" t="str">
        <f t="shared" si="758"/>
        <v/>
      </c>
      <c r="V3492" s="13" t="str">
        <f t="shared" si="759"/>
        <v/>
      </c>
      <c r="W3492" s="13" t="str">
        <f t="shared" si="760"/>
        <v/>
      </c>
      <c r="X3492" s="14" t="str">
        <f t="shared" si="761"/>
        <v/>
      </c>
    </row>
    <row r="3493" spans="20:24" x14ac:dyDescent="0.3">
      <c r="T3493" s="13" t="str">
        <f t="shared" si="757"/>
        <v/>
      </c>
      <c r="U3493" s="14" t="str">
        <f t="shared" si="758"/>
        <v/>
      </c>
      <c r="V3493" s="13" t="str">
        <f t="shared" si="759"/>
        <v/>
      </c>
      <c r="W3493" s="13" t="str">
        <f t="shared" si="760"/>
        <v/>
      </c>
      <c r="X3493" s="14" t="str">
        <f t="shared" si="761"/>
        <v/>
      </c>
    </row>
    <row r="3494" spans="20:24" x14ac:dyDescent="0.3">
      <c r="T3494" s="13" t="str">
        <f t="shared" si="757"/>
        <v/>
      </c>
      <c r="U3494" s="14" t="str">
        <f t="shared" si="758"/>
        <v/>
      </c>
      <c r="V3494" s="13" t="str">
        <f t="shared" si="759"/>
        <v/>
      </c>
      <c r="W3494" s="13" t="str">
        <f t="shared" si="760"/>
        <v/>
      </c>
      <c r="X3494" s="14" t="str">
        <f t="shared" si="761"/>
        <v/>
      </c>
    </row>
    <row r="3495" spans="20:24" x14ac:dyDescent="0.3">
      <c r="T3495" s="13" t="str">
        <f t="shared" si="757"/>
        <v/>
      </c>
      <c r="U3495" s="14" t="str">
        <f t="shared" si="758"/>
        <v/>
      </c>
      <c r="V3495" s="13" t="str">
        <f t="shared" si="759"/>
        <v/>
      </c>
      <c r="W3495" s="13" t="str">
        <f t="shared" si="760"/>
        <v/>
      </c>
      <c r="X3495" s="14" t="str">
        <f t="shared" si="761"/>
        <v/>
      </c>
    </row>
    <row r="3496" spans="20:24" x14ac:dyDescent="0.3">
      <c r="T3496" s="13" t="str">
        <f t="shared" si="757"/>
        <v/>
      </c>
      <c r="U3496" s="14" t="str">
        <f t="shared" si="758"/>
        <v/>
      </c>
      <c r="V3496" s="13" t="str">
        <f t="shared" si="759"/>
        <v/>
      </c>
      <c r="W3496" s="13" t="str">
        <f t="shared" si="760"/>
        <v/>
      </c>
      <c r="X3496" s="14" t="str">
        <f t="shared" si="761"/>
        <v/>
      </c>
    </row>
    <row r="3497" spans="20:24" x14ac:dyDescent="0.3">
      <c r="T3497" s="13" t="str">
        <f t="shared" si="757"/>
        <v/>
      </c>
      <c r="U3497" s="14" t="str">
        <f t="shared" si="758"/>
        <v/>
      </c>
      <c r="V3497" s="13" t="str">
        <f t="shared" si="759"/>
        <v/>
      </c>
      <c r="W3497" s="13" t="str">
        <f t="shared" si="760"/>
        <v/>
      </c>
      <c r="X3497" s="14" t="str">
        <f t="shared" si="761"/>
        <v/>
      </c>
    </row>
    <row r="3498" spans="20:24" x14ac:dyDescent="0.3">
      <c r="T3498" s="13" t="str">
        <f t="shared" si="757"/>
        <v/>
      </c>
      <c r="U3498" s="14" t="str">
        <f t="shared" si="758"/>
        <v/>
      </c>
      <c r="V3498" s="13" t="str">
        <f t="shared" si="759"/>
        <v/>
      </c>
      <c r="W3498" s="13" t="str">
        <f t="shared" si="760"/>
        <v/>
      </c>
      <c r="X3498" s="14" t="str">
        <f t="shared" si="761"/>
        <v/>
      </c>
    </row>
    <row r="3499" spans="20:24" x14ac:dyDescent="0.3">
      <c r="T3499" s="13" t="str">
        <f t="shared" si="757"/>
        <v/>
      </c>
      <c r="U3499" s="14" t="str">
        <f t="shared" si="758"/>
        <v/>
      </c>
      <c r="V3499" s="13" t="str">
        <f t="shared" si="759"/>
        <v/>
      </c>
      <c r="W3499" s="13" t="str">
        <f t="shared" si="760"/>
        <v/>
      </c>
      <c r="X3499" s="14" t="str">
        <f t="shared" si="761"/>
        <v/>
      </c>
    </row>
    <row r="3500" spans="20:24" x14ac:dyDescent="0.3">
      <c r="T3500" s="13" t="str">
        <f t="shared" si="757"/>
        <v/>
      </c>
      <c r="U3500" s="14" t="str">
        <f t="shared" si="758"/>
        <v/>
      </c>
      <c r="V3500" s="13" t="str">
        <f t="shared" si="759"/>
        <v/>
      </c>
      <c r="W3500" s="13" t="str">
        <f t="shared" si="760"/>
        <v/>
      </c>
      <c r="X3500" s="14" t="str">
        <f t="shared" si="761"/>
        <v/>
      </c>
    </row>
    <row r="3501" spans="20:24" x14ac:dyDescent="0.3">
      <c r="T3501" s="13" t="str">
        <f t="shared" si="757"/>
        <v/>
      </c>
      <c r="U3501" s="14" t="str">
        <f t="shared" si="758"/>
        <v/>
      </c>
      <c r="V3501" s="13" t="str">
        <f t="shared" si="759"/>
        <v/>
      </c>
      <c r="W3501" s="13" t="str">
        <f t="shared" si="760"/>
        <v/>
      </c>
      <c r="X3501" s="14" t="str">
        <f t="shared" si="761"/>
        <v/>
      </c>
    </row>
    <row r="3502" spans="20:24" x14ac:dyDescent="0.3">
      <c r="T3502" s="13" t="str">
        <f t="shared" si="757"/>
        <v/>
      </c>
      <c r="U3502" s="14" t="str">
        <f t="shared" si="758"/>
        <v/>
      </c>
      <c r="V3502" s="13" t="str">
        <f t="shared" si="759"/>
        <v/>
      </c>
      <c r="W3502" s="13" t="str">
        <f t="shared" si="760"/>
        <v/>
      </c>
      <c r="X3502" s="14" t="str">
        <f t="shared" si="761"/>
        <v/>
      </c>
    </row>
    <row r="3503" spans="20:24" x14ac:dyDescent="0.3">
      <c r="T3503" s="13" t="str">
        <f t="shared" si="757"/>
        <v/>
      </c>
      <c r="U3503" s="14" t="str">
        <f t="shared" si="758"/>
        <v/>
      </c>
      <c r="V3503" s="13" t="str">
        <f t="shared" si="759"/>
        <v/>
      </c>
      <c r="W3503" s="13" t="str">
        <f t="shared" si="760"/>
        <v/>
      </c>
      <c r="X3503" s="14" t="str">
        <f t="shared" si="761"/>
        <v/>
      </c>
    </row>
    <row r="3504" spans="20:24" x14ac:dyDescent="0.3">
      <c r="T3504" s="13" t="str">
        <f t="shared" si="757"/>
        <v/>
      </c>
      <c r="U3504" s="14" t="str">
        <f t="shared" si="758"/>
        <v/>
      </c>
      <c r="V3504" s="13" t="str">
        <f t="shared" si="759"/>
        <v/>
      </c>
      <c r="W3504" s="13" t="str">
        <f t="shared" si="760"/>
        <v/>
      </c>
      <c r="X3504" s="14" t="str">
        <f t="shared" si="761"/>
        <v/>
      </c>
    </row>
    <row r="3505" spans="20:24" x14ac:dyDescent="0.3">
      <c r="T3505" s="13" t="str">
        <f t="shared" si="757"/>
        <v/>
      </c>
      <c r="U3505" s="14" t="str">
        <f t="shared" si="758"/>
        <v/>
      </c>
      <c r="V3505" s="13" t="str">
        <f t="shared" si="759"/>
        <v/>
      </c>
      <c r="W3505" s="13" t="str">
        <f t="shared" si="760"/>
        <v/>
      </c>
      <c r="X3505" s="14" t="str">
        <f t="shared" si="761"/>
        <v/>
      </c>
    </row>
    <row r="3506" spans="20:24" x14ac:dyDescent="0.3">
      <c r="T3506" s="13" t="str">
        <f t="shared" si="757"/>
        <v/>
      </c>
      <c r="U3506" s="14" t="str">
        <f t="shared" si="758"/>
        <v/>
      </c>
      <c r="V3506" s="13" t="str">
        <f t="shared" si="759"/>
        <v/>
      </c>
      <c r="W3506" s="13" t="str">
        <f t="shared" si="760"/>
        <v/>
      </c>
      <c r="X3506" s="14" t="str">
        <f t="shared" si="761"/>
        <v/>
      </c>
    </row>
    <row r="3507" spans="20:24" x14ac:dyDescent="0.3">
      <c r="T3507" s="13" t="str">
        <f t="shared" si="757"/>
        <v/>
      </c>
      <c r="U3507" s="14" t="str">
        <f t="shared" si="758"/>
        <v/>
      </c>
      <c r="V3507" s="13" t="str">
        <f t="shared" si="759"/>
        <v/>
      </c>
      <c r="W3507" s="13" t="str">
        <f t="shared" si="760"/>
        <v/>
      </c>
      <c r="X3507" s="14" t="str">
        <f t="shared" si="761"/>
        <v/>
      </c>
    </row>
    <row r="3508" spans="20:24" x14ac:dyDescent="0.3">
      <c r="T3508" s="13" t="str">
        <f t="shared" si="757"/>
        <v/>
      </c>
      <c r="U3508" s="14" t="str">
        <f t="shared" si="758"/>
        <v/>
      </c>
      <c r="V3508" s="13" t="str">
        <f t="shared" si="759"/>
        <v/>
      </c>
      <c r="W3508" s="13" t="str">
        <f t="shared" si="760"/>
        <v/>
      </c>
      <c r="X3508" s="14" t="str">
        <f t="shared" si="761"/>
        <v/>
      </c>
    </row>
    <row r="3509" spans="20:24" x14ac:dyDescent="0.3">
      <c r="T3509" s="13" t="str">
        <f t="shared" si="757"/>
        <v/>
      </c>
      <c r="U3509" s="14" t="str">
        <f t="shared" si="758"/>
        <v/>
      </c>
      <c r="V3509" s="13" t="str">
        <f t="shared" si="759"/>
        <v/>
      </c>
      <c r="W3509" s="13" t="str">
        <f t="shared" si="760"/>
        <v/>
      </c>
      <c r="X3509" s="14" t="str">
        <f t="shared" si="761"/>
        <v/>
      </c>
    </row>
    <row r="3510" spans="20:24" x14ac:dyDescent="0.3">
      <c r="T3510" s="13" t="str">
        <f t="shared" si="757"/>
        <v/>
      </c>
      <c r="U3510" s="14" t="str">
        <f t="shared" si="758"/>
        <v/>
      </c>
      <c r="V3510" s="13" t="str">
        <f t="shared" si="759"/>
        <v/>
      </c>
      <c r="W3510" s="13" t="str">
        <f t="shared" si="760"/>
        <v/>
      </c>
      <c r="X3510" s="14" t="str">
        <f t="shared" si="761"/>
        <v/>
      </c>
    </row>
    <row r="3511" spans="20:24" x14ac:dyDescent="0.3">
      <c r="T3511" s="13" t="str">
        <f t="shared" si="757"/>
        <v/>
      </c>
      <c r="U3511" s="14" t="str">
        <f t="shared" si="758"/>
        <v/>
      </c>
      <c r="V3511" s="13" t="str">
        <f t="shared" si="759"/>
        <v/>
      </c>
      <c r="W3511" s="13" t="str">
        <f t="shared" si="760"/>
        <v/>
      </c>
      <c r="X3511" s="14" t="str">
        <f t="shared" si="761"/>
        <v/>
      </c>
    </row>
    <row r="3512" spans="20:24" x14ac:dyDescent="0.3">
      <c r="T3512" s="13" t="str">
        <f t="shared" si="757"/>
        <v/>
      </c>
      <c r="U3512" s="14" t="str">
        <f t="shared" si="758"/>
        <v/>
      </c>
      <c r="V3512" s="13" t="str">
        <f t="shared" si="759"/>
        <v/>
      </c>
      <c r="W3512" s="13" t="str">
        <f t="shared" si="760"/>
        <v/>
      </c>
      <c r="X3512" s="14" t="str">
        <f t="shared" si="761"/>
        <v/>
      </c>
    </row>
    <row r="3513" spans="20:24" x14ac:dyDescent="0.3">
      <c r="T3513" s="13" t="str">
        <f t="shared" si="757"/>
        <v/>
      </c>
      <c r="U3513" s="14" t="str">
        <f t="shared" si="758"/>
        <v/>
      </c>
      <c r="V3513" s="13" t="str">
        <f t="shared" si="759"/>
        <v/>
      </c>
      <c r="W3513" s="13" t="str">
        <f t="shared" si="760"/>
        <v/>
      </c>
      <c r="X3513" s="14" t="str">
        <f t="shared" si="761"/>
        <v/>
      </c>
    </row>
    <row r="3514" spans="20:24" x14ac:dyDescent="0.3">
      <c r="T3514" s="13" t="str">
        <f t="shared" si="757"/>
        <v/>
      </c>
      <c r="U3514" s="14" t="str">
        <f t="shared" si="758"/>
        <v/>
      </c>
      <c r="V3514" s="13" t="str">
        <f t="shared" si="759"/>
        <v/>
      </c>
      <c r="W3514" s="13" t="str">
        <f t="shared" si="760"/>
        <v/>
      </c>
      <c r="X3514" s="14" t="str">
        <f t="shared" si="761"/>
        <v/>
      </c>
    </row>
    <row r="3515" spans="20:24" x14ac:dyDescent="0.3">
      <c r="T3515" s="13" t="str">
        <f t="shared" si="757"/>
        <v/>
      </c>
      <c r="U3515" s="14" t="str">
        <f t="shared" si="758"/>
        <v/>
      </c>
      <c r="V3515" s="13" t="str">
        <f t="shared" si="759"/>
        <v/>
      </c>
      <c r="W3515" s="13" t="str">
        <f t="shared" si="760"/>
        <v/>
      </c>
      <c r="X3515" s="14" t="str">
        <f t="shared" si="761"/>
        <v/>
      </c>
    </row>
    <row r="3516" spans="20:24" x14ac:dyDescent="0.3">
      <c r="T3516" s="13" t="str">
        <f t="shared" si="757"/>
        <v/>
      </c>
      <c r="U3516" s="14" t="str">
        <f t="shared" si="758"/>
        <v/>
      </c>
      <c r="V3516" s="13" t="str">
        <f t="shared" si="759"/>
        <v/>
      </c>
      <c r="W3516" s="13" t="str">
        <f t="shared" si="760"/>
        <v/>
      </c>
      <c r="X3516" s="14" t="str">
        <f t="shared" si="761"/>
        <v/>
      </c>
    </row>
    <row r="3517" spans="20:24" x14ac:dyDescent="0.3">
      <c r="T3517" s="13" t="str">
        <f t="shared" si="757"/>
        <v/>
      </c>
      <c r="U3517" s="14" t="str">
        <f t="shared" si="758"/>
        <v/>
      </c>
      <c r="V3517" s="13" t="str">
        <f t="shared" si="759"/>
        <v/>
      </c>
      <c r="W3517" s="13" t="str">
        <f t="shared" si="760"/>
        <v/>
      </c>
      <c r="X3517" s="14" t="str">
        <f t="shared" si="761"/>
        <v/>
      </c>
    </row>
    <row r="3518" spans="20:24" x14ac:dyDescent="0.3">
      <c r="T3518" s="13" t="str">
        <f t="shared" si="757"/>
        <v/>
      </c>
      <c r="U3518" s="14" t="str">
        <f t="shared" si="758"/>
        <v/>
      </c>
      <c r="V3518" s="13" t="str">
        <f t="shared" si="759"/>
        <v/>
      </c>
      <c r="W3518" s="13" t="str">
        <f t="shared" si="760"/>
        <v/>
      </c>
      <c r="X3518" s="14" t="str">
        <f t="shared" si="761"/>
        <v/>
      </c>
    </row>
    <row r="3519" spans="20:24" x14ac:dyDescent="0.3">
      <c r="T3519" s="13" t="str">
        <f t="shared" si="757"/>
        <v/>
      </c>
      <c r="U3519" s="14" t="str">
        <f t="shared" si="758"/>
        <v/>
      </c>
      <c r="V3519" s="13" t="str">
        <f t="shared" si="759"/>
        <v/>
      </c>
      <c r="W3519" s="13" t="str">
        <f t="shared" si="760"/>
        <v/>
      </c>
      <c r="X3519" s="14" t="str">
        <f t="shared" si="761"/>
        <v/>
      </c>
    </row>
    <row r="3520" spans="20:24" x14ac:dyDescent="0.3">
      <c r="T3520" s="13" t="str">
        <f t="shared" si="757"/>
        <v/>
      </c>
      <c r="U3520" s="14" t="str">
        <f t="shared" si="758"/>
        <v/>
      </c>
      <c r="V3520" s="13" t="str">
        <f t="shared" si="759"/>
        <v/>
      </c>
      <c r="W3520" s="13" t="str">
        <f t="shared" si="760"/>
        <v/>
      </c>
      <c r="X3520" s="14" t="str">
        <f t="shared" si="761"/>
        <v/>
      </c>
    </row>
    <row r="3521" spans="20:24" x14ac:dyDescent="0.3">
      <c r="T3521" s="13" t="str">
        <f t="shared" si="757"/>
        <v/>
      </c>
      <c r="U3521" s="14" t="str">
        <f t="shared" si="758"/>
        <v/>
      </c>
      <c r="V3521" s="13" t="str">
        <f t="shared" si="759"/>
        <v/>
      </c>
      <c r="W3521" s="13" t="str">
        <f t="shared" si="760"/>
        <v/>
      </c>
      <c r="X3521" s="14" t="str">
        <f t="shared" si="761"/>
        <v/>
      </c>
    </row>
    <row r="3522" spans="20:24" x14ac:dyDescent="0.3">
      <c r="T3522" s="13" t="str">
        <f t="shared" si="757"/>
        <v/>
      </c>
      <c r="U3522" s="14" t="str">
        <f t="shared" si="758"/>
        <v/>
      </c>
      <c r="V3522" s="13" t="str">
        <f t="shared" si="759"/>
        <v/>
      </c>
      <c r="W3522" s="13" t="str">
        <f t="shared" si="760"/>
        <v/>
      </c>
      <c r="X3522" s="14" t="str">
        <f t="shared" si="761"/>
        <v/>
      </c>
    </row>
    <row r="3523" spans="20:24" x14ac:dyDescent="0.3">
      <c r="T3523" s="13" t="str">
        <f t="shared" si="757"/>
        <v/>
      </c>
      <c r="U3523" s="14" t="str">
        <f t="shared" si="758"/>
        <v/>
      </c>
      <c r="V3523" s="13" t="str">
        <f t="shared" si="759"/>
        <v/>
      </c>
      <c r="W3523" s="13" t="str">
        <f t="shared" si="760"/>
        <v/>
      </c>
      <c r="X3523" s="14" t="str">
        <f t="shared" si="761"/>
        <v/>
      </c>
    </row>
    <row r="3524" spans="20:24" x14ac:dyDescent="0.3">
      <c r="T3524" s="13" t="str">
        <f t="shared" si="757"/>
        <v/>
      </c>
      <c r="U3524" s="14" t="str">
        <f t="shared" si="758"/>
        <v/>
      </c>
      <c r="V3524" s="13" t="str">
        <f t="shared" si="759"/>
        <v/>
      </c>
      <c r="W3524" s="13" t="str">
        <f t="shared" si="760"/>
        <v/>
      </c>
      <c r="X3524" s="14" t="str">
        <f t="shared" si="761"/>
        <v/>
      </c>
    </row>
    <row r="3525" spans="20:24" x14ac:dyDescent="0.3">
      <c r="T3525" s="13" t="str">
        <f t="shared" si="757"/>
        <v/>
      </c>
      <c r="U3525" s="14" t="str">
        <f t="shared" si="758"/>
        <v/>
      </c>
      <c r="V3525" s="13" t="str">
        <f t="shared" si="759"/>
        <v/>
      </c>
      <c r="W3525" s="13" t="str">
        <f t="shared" si="760"/>
        <v/>
      </c>
      <c r="X3525" s="14" t="str">
        <f t="shared" si="761"/>
        <v/>
      </c>
    </row>
    <row r="3526" spans="20:24" x14ac:dyDescent="0.3">
      <c r="T3526" s="13" t="str">
        <f t="shared" si="757"/>
        <v/>
      </c>
      <c r="U3526" s="14" t="str">
        <f t="shared" si="758"/>
        <v/>
      </c>
      <c r="V3526" s="13" t="str">
        <f t="shared" si="759"/>
        <v/>
      </c>
      <c r="W3526" s="13" t="str">
        <f t="shared" si="760"/>
        <v/>
      </c>
      <c r="X3526" s="14" t="str">
        <f t="shared" si="761"/>
        <v/>
      </c>
    </row>
    <row r="3527" spans="20:24" x14ac:dyDescent="0.3">
      <c r="T3527" s="13" t="str">
        <f t="shared" si="757"/>
        <v/>
      </c>
      <c r="U3527" s="14" t="str">
        <f t="shared" si="758"/>
        <v/>
      </c>
      <c r="V3527" s="13" t="str">
        <f t="shared" si="759"/>
        <v/>
      </c>
      <c r="W3527" s="13" t="str">
        <f t="shared" si="760"/>
        <v/>
      </c>
      <c r="X3527" s="14" t="str">
        <f t="shared" si="761"/>
        <v/>
      </c>
    </row>
    <row r="3528" spans="20:24" x14ac:dyDescent="0.3">
      <c r="T3528" s="13" t="str">
        <f t="shared" si="757"/>
        <v/>
      </c>
      <c r="U3528" s="14" t="str">
        <f t="shared" si="758"/>
        <v/>
      </c>
      <c r="V3528" s="13" t="str">
        <f t="shared" si="759"/>
        <v/>
      </c>
      <c r="W3528" s="13" t="str">
        <f t="shared" si="760"/>
        <v/>
      </c>
      <c r="X3528" s="14" t="str">
        <f t="shared" si="761"/>
        <v/>
      </c>
    </row>
    <row r="3529" spans="20:24" x14ac:dyDescent="0.3">
      <c r="T3529" s="13" t="str">
        <f t="shared" si="757"/>
        <v/>
      </c>
      <c r="U3529" s="14" t="str">
        <f t="shared" si="758"/>
        <v/>
      </c>
      <c r="V3529" s="13" t="str">
        <f t="shared" si="759"/>
        <v/>
      </c>
      <c r="W3529" s="13" t="str">
        <f t="shared" si="760"/>
        <v/>
      </c>
      <c r="X3529" s="14" t="str">
        <f t="shared" si="761"/>
        <v/>
      </c>
    </row>
    <row r="3530" spans="20:24" x14ac:dyDescent="0.3">
      <c r="T3530" s="13" t="str">
        <f t="shared" si="757"/>
        <v/>
      </c>
      <c r="U3530" s="14" t="str">
        <f t="shared" si="758"/>
        <v/>
      </c>
      <c r="V3530" s="13" t="str">
        <f t="shared" si="759"/>
        <v/>
      </c>
      <c r="W3530" s="13" t="str">
        <f t="shared" si="760"/>
        <v/>
      </c>
      <c r="X3530" s="14" t="str">
        <f t="shared" si="761"/>
        <v/>
      </c>
    </row>
    <row r="3531" spans="20:24" x14ac:dyDescent="0.3">
      <c r="T3531" s="13" t="str">
        <f t="shared" si="757"/>
        <v/>
      </c>
      <c r="U3531" s="14" t="str">
        <f t="shared" si="758"/>
        <v/>
      </c>
      <c r="V3531" s="13" t="str">
        <f t="shared" si="759"/>
        <v/>
      </c>
      <c r="W3531" s="13" t="str">
        <f t="shared" si="760"/>
        <v/>
      </c>
      <c r="X3531" s="14" t="str">
        <f t="shared" si="761"/>
        <v/>
      </c>
    </row>
    <row r="3532" spans="20:24" x14ac:dyDescent="0.3">
      <c r="T3532" s="13" t="str">
        <f t="shared" si="757"/>
        <v/>
      </c>
      <c r="U3532" s="14" t="str">
        <f t="shared" si="758"/>
        <v/>
      </c>
      <c r="V3532" s="13" t="str">
        <f t="shared" si="759"/>
        <v/>
      </c>
      <c r="W3532" s="13" t="str">
        <f t="shared" si="760"/>
        <v/>
      </c>
      <c r="X3532" s="14" t="str">
        <f t="shared" si="761"/>
        <v/>
      </c>
    </row>
    <row r="3533" spans="20:24" x14ac:dyDescent="0.3">
      <c r="T3533" s="13" t="str">
        <f t="shared" si="757"/>
        <v/>
      </c>
      <c r="U3533" s="14" t="str">
        <f t="shared" si="758"/>
        <v/>
      </c>
      <c r="V3533" s="13" t="str">
        <f t="shared" si="759"/>
        <v/>
      </c>
      <c r="W3533" s="13" t="str">
        <f t="shared" si="760"/>
        <v/>
      </c>
      <c r="X3533" s="14" t="str">
        <f t="shared" si="761"/>
        <v/>
      </c>
    </row>
    <row r="3534" spans="20:24" x14ac:dyDescent="0.3">
      <c r="T3534" s="13" t="str">
        <f t="shared" si="757"/>
        <v/>
      </c>
      <c r="U3534" s="14" t="str">
        <f t="shared" si="758"/>
        <v/>
      </c>
      <c r="V3534" s="13" t="str">
        <f t="shared" si="759"/>
        <v/>
      </c>
      <c r="W3534" s="13" t="str">
        <f t="shared" si="760"/>
        <v/>
      </c>
      <c r="X3534" s="14" t="str">
        <f t="shared" si="761"/>
        <v/>
      </c>
    </row>
    <row r="3535" spans="20:24" x14ac:dyDescent="0.3">
      <c r="T3535" s="13" t="str">
        <f t="shared" si="757"/>
        <v/>
      </c>
      <c r="U3535" s="14" t="str">
        <f t="shared" si="758"/>
        <v/>
      </c>
      <c r="V3535" s="13" t="str">
        <f t="shared" si="759"/>
        <v/>
      </c>
      <c r="W3535" s="13" t="str">
        <f t="shared" si="760"/>
        <v/>
      </c>
      <c r="X3535" s="14" t="str">
        <f t="shared" si="761"/>
        <v/>
      </c>
    </row>
    <row r="3536" spans="20:24" x14ac:dyDescent="0.3">
      <c r="T3536" s="13" t="str">
        <f t="shared" si="757"/>
        <v/>
      </c>
      <c r="U3536" s="14" t="str">
        <f t="shared" si="758"/>
        <v/>
      </c>
      <c r="V3536" s="13" t="str">
        <f t="shared" si="759"/>
        <v/>
      </c>
      <c r="W3536" s="13" t="str">
        <f t="shared" si="760"/>
        <v/>
      </c>
      <c r="X3536" s="14" t="str">
        <f t="shared" si="761"/>
        <v/>
      </c>
    </row>
    <row r="3537" spans="20:24" x14ac:dyDescent="0.3">
      <c r="T3537" s="13" t="str">
        <f t="shared" si="757"/>
        <v/>
      </c>
      <c r="U3537" s="14" t="str">
        <f t="shared" si="758"/>
        <v/>
      </c>
      <c r="V3537" s="13" t="str">
        <f t="shared" si="759"/>
        <v/>
      </c>
      <c r="W3537" s="13" t="str">
        <f t="shared" si="760"/>
        <v/>
      </c>
      <c r="X3537" s="14" t="str">
        <f t="shared" si="761"/>
        <v/>
      </c>
    </row>
    <row r="3538" spans="20:24" x14ac:dyDescent="0.3">
      <c r="T3538" s="13" t="str">
        <f t="shared" si="757"/>
        <v/>
      </c>
      <c r="U3538" s="14" t="str">
        <f t="shared" si="758"/>
        <v/>
      </c>
      <c r="V3538" s="13" t="str">
        <f t="shared" si="759"/>
        <v/>
      </c>
      <c r="W3538" s="13" t="str">
        <f t="shared" si="760"/>
        <v/>
      </c>
      <c r="X3538" s="14" t="str">
        <f t="shared" si="761"/>
        <v/>
      </c>
    </row>
    <row r="3539" spans="20:24" x14ac:dyDescent="0.3">
      <c r="T3539" s="13" t="str">
        <f t="shared" ref="T3539:T3602" si="762">IF(A3539="",IF(A3538="","",$T$1),IF(O3539=1,"#",IF(B3539=0,"*",DEC2HEX(R3539))))</f>
        <v/>
      </c>
      <c r="U3539" s="14" t="str">
        <f t="shared" ref="U3539:U3602" si="763">IF(A3539="",IF(A3538="","",$U$1),  IF(B3539=0,Q3539,I3539)  )</f>
        <v/>
      </c>
      <c r="V3539" s="13" t="str">
        <f t="shared" ref="V3539:V3602" si="764">IF(U3539=$U$1,"",IF(A3539="",IF(A3538="","",1),  IF(B3539=0,1,D3539)  ))</f>
        <v/>
      </c>
      <c r="W3539" s="13" t="str">
        <f t="shared" ref="W3539:W3602" si="765">IF(U3539=$U$1,"",IF(A3539="",IF(A3538="","",0),  IF(C3539=0,0,0)  ))</f>
        <v/>
      </c>
      <c r="X3539" s="14" t="str">
        <f t="shared" ref="X3539:X3602" si="766">IF(U3539=$U$1,"",IF(U3539="","",IF(B3539&gt;0,IF(Q3539&lt;&gt;"",Q3539,"No description"),"-")))</f>
        <v/>
      </c>
    </row>
    <row r="3540" spans="20:24" x14ac:dyDescent="0.3">
      <c r="T3540" s="13" t="str">
        <f t="shared" si="762"/>
        <v/>
      </c>
      <c r="U3540" s="14" t="str">
        <f t="shared" si="763"/>
        <v/>
      </c>
      <c r="V3540" s="13" t="str">
        <f t="shared" si="764"/>
        <v/>
      </c>
      <c r="W3540" s="13" t="str">
        <f t="shared" si="765"/>
        <v/>
      </c>
      <c r="X3540" s="14" t="str">
        <f t="shared" si="766"/>
        <v/>
      </c>
    </row>
    <row r="3541" spans="20:24" x14ac:dyDescent="0.3">
      <c r="T3541" s="13" t="str">
        <f t="shared" si="762"/>
        <v/>
      </c>
      <c r="U3541" s="14" t="str">
        <f t="shared" si="763"/>
        <v/>
      </c>
      <c r="V3541" s="13" t="str">
        <f t="shared" si="764"/>
        <v/>
      </c>
      <c r="W3541" s="13" t="str">
        <f t="shared" si="765"/>
        <v/>
      </c>
      <c r="X3541" s="14" t="str">
        <f t="shared" si="766"/>
        <v/>
      </c>
    </row>
    <row r="3542" spans="20:24" x14ac:dyDescent="0.3">
      <c r="T3542" s="13" t="str">
        <f t="shared" si="762"/>
        <v/>
      </c>
      <c r="U3542" s="14" t="str">
        <f t="shared" si="763"/>
        <v/>
      </c>
      <c r="V3542" s="13" t="str">
        <f t="shared" si="764"/>
        <v/>
      </c>
      <c r="W3542" s="13" t="str">
        <f t="shared" si="765"/>
        <v/>
      </c>
      <c r="X3542" s="14" t="str">
        <f t="shared" si="766"/>
        <v/>
      </c>
    </row>
    <row r="3543" spans="20:24" x14ac:dyDescent="0.3">
      <c r="T3543" s="13" t="str">
        <f t="shared" si="762"/>
        <v/>
      </c>
      <c r="U3543" s="14" t="str">
        <f t="shared" si="763"/>
        <v/>
      </c>
      <c r="V3543" s="13" t="str">
        <f t="shared" si="764"/>
        <v/>
      </c>
      <c r="W3543" s="13" t="str">
        <f t="shared" si="765"/>
        <v/>
      </c>
      <c r="X3543" s="14" t="str">
        <f t="shared" si="766"/>
        <v/>
      </c>
    </row>
    <row r="3544" spans="20:24" x14ac:dyDescent="0.3">
      <c r="T3544" s="13" t="str">
        <f t="shared" si="762"/>
        <v/>
      </c>
      <c r="U3544" s="14" t="str">
        <f t="shared" si="763"/>
        <v/>
      </c>
      <c r="V3544" s="13" t="str">
        <f t="shared" si="764"/>
        <v/>
      </c>
      <c r="W3544" s="13" t="str">
        <f t="shared" si="765"/>
        <v/>
      </c>
      <c r="X3544" s="14" t="str">
        <f t="shared" si="766"/>
        <v/>
      </c>
    </row>
    <row r="3545" spans="20:24" x14ac:dyDescent="0.3">
      <c r="T3545" s="13" t="str">
        <f t="shared" si="762"/>
        <v/>
      </c>
      <c r="U3545" s="14" t="str">
        <f t="shared" si="763"/>
        <v/>
      </c>
      <c r="V3545" s="13" t="str">
        <f t="shared" si="764"/>
        <v/>
      </c>
      <c r="W3545" s="13" t="str">
        <f t="shared" si="765"/>
        <v/>
      </c>
      <c r="X3545" s="14" t="str">
        <f t="shared" si="766"/>
        <v/>
      </c>
    </row>
    <row r="3546" spans="20:24" x14ac:dyDescent="0.3">
      <c r="T3546" s="13" t="str">
        <f t="shared" si="762"/>
        <v/>
      </c>
      <c r="U3546" s="14" t="str">
        <f t="shared" si="763"/>
        <v/>
      </c>
      <c r="V3546" s="13" t="str">
        <f t="shared" si="764"/>
        <v/>
      </c>
      <c r="W3546" s="13" t="str">
        <f t="shared" si="765"/>
        <v/>
      </c>
      <c r="X3546" s="14" t="str">
        <f t="shared" si="766"/>
        <v/>
      </c>
    </row>
    <row r="3547" spans="20:24" x14ac:dyDescent="0.3">
      <c r="T3547" s="13" t="str">
        <f t="shared" si="762"/>
        <v/>
      </c>
      <c r="U3547" s="14" t="str">
        <f t="shared" si="763"/>
        <v/>
      </c>
      <c r="V3547" s="13" t="str">
        <f t="shared" si="764"/>
        <v/>
      </c>
      <c r="W3547" s="13" t="str">
        <f t="shared" si="765"/>
        <v/>
      </c>
      <c r="X3547" s="14" t="str">
        <f t="shared" si="766"/>
        <v/>
      </c>
    </row>
    <row r="3548" spans="20:24" x14ac:dyDescent="0.3">
      <c r="T3548" s="13" t="str">
        <f t="shared" si="762"/>
        <v/>
      </c>
      <c r="U3548" s="14" t="str">
        <f t="shared" si="763"/>
        <v/>
      </c>
      <c r="V3548" s="13" t="str">
        <f t="shared" si="764"/>
        <v/>
      </c>
      <c r="W3548" s="13" t="str">
        <f t="shared" si="765"/>
        <v/>
      </c>
      <c r="X3548" s="14" t="str">
        <f t="shared" si="766"/>
        <v/>
      </c>
    </row>
    <row r="3549" spans="20:24" x14ac:dyDescent="0.3">
      <c r="T3549" s="13" t="str">
        <f t="shared" si="762"/>
        <v/>
      </c>
      <c r="U3549" s="14" t="str">
        <f t="shared" si="763"/>
        <v/>
      </c>
      <c r="V3549" s="13" t="str">
        <f t="shared" si="764"/>
        <v/>
      </c>
      <c r="W3549" s="13" t="str">
        <f t="shared" si="765"/>
        <v/>
      </c>
      <c r="X3549" s="14" t="str">
        <f t="shared" si="766"/>
        <v/>
      </c>
    </row>
    <row r="3550" spans="20:24" x14ac:dyDescent="0.3">
      <c r="T3550" s="13" t="str">
        <f t="shared" si="762"/>
        <v/>
      </c>
      <c r="U3550" s="14" t="str">
        <f t="shared" si="763"/>
        <v/>
      </c>
      <c r="V3550" s="13" t="str">
        <f t="shared" si="764"/>
        <v/>
      </c>
      <c r="W3550" s="13" t="str">
        <f t="shared" si="765"/>
        <v/>
      </c>
      <c r="X3550" s="14" t="str">
        <f t="shared" si="766"/>
        <v/>
      </c>
    </row>
    <row r="3551" spans="20:24" x14ac:dyDescent="0.3">
      <c r="T3551" s="13" t="str">
        <f t="shared" si="762"/>
        <v/>
      </c>
      <c r="U3551" s="14" t="str">
        <f t="shared" si="763"/>
        <v/>
      </c>
      <c r="V3551" s="13" t="str">
        <f t="shared" si="764"/>
        <v/>
      </c>
      <c r="W3551" s="13" t="str">
        <f t="shared" si="765"/>
        <v/>
      </c>
      <c r="X3551" s="14" t="str">
        <f t="shared" si="766"/>
        <v/>
      </c>
    </row>
    <row r="3552" spans="20:24" x14ac:dyDescent="0.3">
      <c r="T3552" s="13" t="str">
        <f t="shared" si="762"/>
        <v/>
      </c>
      <c r="U3552" s="14" t="str">
        <f t="shared" si="763"/>
        <v/>
      </c>
      <c r="V3552" s="13" t="str">
        <f t="shared" si="764"/>
        <v/>
      </c>
      <c r="W3552" s="13" t="str">
        <f t="shared" si="765"/>
        <v/>
      </c>
      <c r="X3552" s="14" t="str">
        <f t="shared" si="766"/>
        <v/>
      </c>
    </row>
    <row r="3553" spans="20:24" x14ac:dyDescent="0.3">
      <c r="T3553" s="13" t="str">
        <f t="shared" si="762"/>
        <v/>
      </c>
      <c r="U3553" s="14" t="str">
        <f t="shared" si="763"/>
        <v/>
      </c>
      <c r="V3553" s="13" t="str">
        <f t="shared" si="764"/>
        <v/>
      </c>
      <c r="W3553" s="13" t="str">
        <f t="shared" si="765"/>
        <v/>
      </c>
      <c r="X3553" s="14" t="str">
        <f t="shared" si="766"/>
        <v/>
      </c>
    </row>
    <row r="3554" spans="20:24" x14ac:dyDescent="0.3">
      <c r="T3554" s="13" t="str">
        <f t="shared" si="762"/>
        <v/>
      </c>
      <c r="U3554" s="14" t="str">
        <f t="shared" si="763"/>
        <v/>
      </c>
      <c r="V3554" s="13" t="str">
        <f t="shared" si="764"/>
        <v/>
      </c>
      <c r="W3554" s="13" t="str">
        <f t="shared" si="765"/>
        <v/>
      </c>
      <c r="X3554" s="14" t="str">
        <f t="shared" si="766"/>
        <v/>
      </c>
    </row>
    <row r="3555" spans="20:24" x14ac:dyDescent="0.3">
      <c r="T3555" s="13" t="str">
        <f t="shared" si="762"/>
        <v/>
      </c>
      <c r="U3555" s="14" t="str">
        <f t="shared" si="763"/>
        <v/>
      </c>
      <c r="V3555" s="13" t="str">
        <f t="shared" si="764"/>
        <v/>
      </c>
      <c r="W3555" s="13" t="str">
        <f t="shared" si="765"/>
        <v/>
      </c>
      <c r="X3555" s="14" t="str">
        <f t="shared" si="766"/>
        <v/>
      </c>
    </row>
    <row r="3556" spans="20:24" x14ac:dyDescent="0.3">
      <c r="T3556" s="13" t="str">
        <f t="shared" si="762"/>
        <v/>
      </c>
      <c r="U3556" s="14" t="str">
        <f t="shared" si="763"/>
        <v/>
      </c>
      <c r="V3556" s="13" t="str">
        <f t="shared" si="764"/>
        <v/>
      </c>
      <c r="W3556" s="13" t="str">
        <f t="shared" si="765"/>
        <v/>
      </c>
      <c r="X3556" s="14" t="str">
        <f t="shared" si="766"/>
        <v/>
      </c>
    </row>
    <row r="3557" spans="20:24" x14ac:dyDescent="0.3">
      <c r="T3557" s="13" t="str">
        <f t="shared" si="762"/>
        <v/>
      </c>
      <c r="U3557" s="14" t="str">
        <f t="shared" si="763"/>
        <v/>
      </c>
      <c r="V3557" s="13" t="str">
        <f t="shared" si="764"/>
        <v/>
      </c>
      <c r="W3557" s="13" t="str">
        <f t="shared" si="765"/>
        <v/>
      </c>
      <c r="X3557" s="14" t="str">
        <f t="shared" si="766"/>
        <v/>
      </c>
    </row>
    <row r="3558" spans="20:24" x14ac:dyDescent="0.3">
      <c r="T3558" s="13" t="str">
        <f t="shared" si="762"/>
        <v/>
      </c>
      <c r="U3558" s="14" t="str">
        <f t="shared" si="763"/>
        <v/>
      </c>
      <c r="V3558" s="13" t="str">
        <f t="shared" si="764"/>
        <v/>
      </c>
      <c r="W3558" s="13" t="str">
        <f t="shared" si="765"/>
        <v/>
      </c>
      <c r="X3558" s="14" t="str">
        <f t="shared" si="766"/>
        <v/>
      </c>
    </row>
    <row r="3559" spans="20:24" x14ac:dyDescent="0.3">
      <c r="T3559" s="13" t="str">
        <f t="shared" si="762"/>
        <v/>
      </c>
      <c r="U3559" s="14" t="str">
        <f t="shared" si="763"/>
        <v/>
      </c>
      <c r="V3559" s="13" t="str">
        <f t="shared" si="764"/>
        <v/>
      </c>
      <c r="W3559" s="13" t="str">
        <f t="shared" si="765"/>
        <v/>
      </c>
      <c r="X3559" s="14" t="str">
        <f t="shared" si="766"/>
        <v/>
      </c>
    </row>
    <row r="3560" spans="20:24" x14ac:dyDescent="0.3">
      <c r="T3560" s="13" t="str">
        <f t="shared" si="762"/>
        <v/>
      </c>
      <c r="U3560" s="14" t="str">
        <f t="shared" si="763"/>
        <v/>
      </c>
      <c r="V3560" s="13" t="str">
        <f t="shared" si="764"/>
        <v/>
      </c>
      <c r="W3560" s="13" t="str">
        <f t="shared" si="765"/>
        <v/>
      </c>
      <c r="X3560" s="14" t="str">
        <f t="shared" si="766"/>
        <v/>
      </c>
    </row>
    <row r="3561" spans="20:24" x14ac:dyDescent="0.3">
      <c r="T3561" s="13" t="str">
        <f t="shared" si="762"/>
        <v/>
      </c>
      <c r="U3561" s="14" t="str">
        <f t="shared" si="763"/>
        <v/>
      </c>
      <c r="V3561" s="13" t="str">
        <f t="shared" si="764"/>
        <v/>
      </c>
      <c r="W3561" s="13" t="str">
        <f t="shared" si="765"/>
        <v/>
      </c>
      <c r="X3561" s="14" t="str">
        <f t="shared" si="766"/>
        <v/>
      </c>
    </row>
    <row r="3562" spans="20:24" x14ac:dyDescent="0.3">
      <c r="T3562" s="13" t="str">
        <f t="shared" si="762"/>
        <v/>
      </c>
      <c r="U3562" s="14" t="str">
        <f t="shared" si="763"/>
        <v/>
      </c>
      <c r="V3562" s="13" t="str">
        <f t="shared" si="764"/>
        <v/>
      </c>
      <c r="W3562" s="13" t="str">
        <f t="shared" si="765"/>
        <v/>
      </c>
      <c r="X3562" s="14" t="str">
        <f t="shared" si="766"/>
        <v/>
      </c>
    </row>
    <row r="3563" spans="20:24" x14ac:dyDescent="0.3">
      <c r="T3563" s="13" t="str">
        <f t="shared" si="762"/>
        <v/>
      </c>
      <c r="U3563" s="14" t="str">
        <f t="shared" si="763"/>
        <v/>
      </c>
      <c r="V3563" s="13" t="str">
        <f t="shared" si="764"/>
        <v/>
      </c>
      <c r="W3563" s="13" t="str">
        <f t="shared" si="765"/>
        <v/>
      </c>
      <c r="X3563" s="14" t="str">
        <f t="shared" si="766"/>
        <v/>
      </c>
    </row>
    <row r="3564" spans="20:24" x14ac:dyDescent="0.3">
      <c r="T3564" s="13" t="str">
        <f t="shared" si="762"/>
        <v/>
      </c>
      <c r="U3564" s="14" t="str">
        <f t="shared" si="763"/>
        <v/>
      </c>
      <c r="V3564" s="13" t="str">
        <f t="shared" si="764"/>
        <v/>
      </c>
      <c r="W3564" s="13" t="str">
        <f t="shared" si="765"/>
        <v/>
      </c>
      <c r="X3564" s="14" t="str">
        <f t="shared" si="766"/>
        <v/>
      </c>
    </row>
    <row r="3565" spans="20:24" x14ac:dyDescent="0.3">
      <c r="T3565" s="13" t="str">
        <f t="shared" si="762"/>
        <v/>
      </c>
      <c r="U3565" s="14" t="str">
        <f t="shared" si="763"/>
        <v/>
      </c>
      <c r="V3565" s="13" t="str">
        <f t="shared" si="764"/>
        <v/>
      </c>
      <c r="W3565" s="13" t="str">
        <f t="shared" si="765"/>
        <v/>
      </c>
      <c r="X3565" s="14" t="str">
        <f t="shared" si="766"/>
        <v/>
      </c>
    </row>
    <row r="3566" spans="20:24" x14ac:dyDescent="0.3">
      <c r="T3566" s="13" t="str">
        <f t="shared" si="762"/>
        <v/>
      </c>
      <c r="U3566" s="14" t="str">
        <f t="shared" si="763"/>
        <v/>
      </c>
      <c r="V3566" s="13" t="str">
        <f t="shared" si="764"/>
        <v/>
      </c>
      <c r="W3566" s="13" t="str">
        <f t="shared" si="765"/>
        <v/>
      </c>
      <c r="X3566" s="14" t="str">
        <f t="shared" si="766"/>
        <v/>
      </c>
    </row>
    <row r="3567" spans="20:24" x14ac:dyDescent="0.3">
      <c r="T3567" s="13" t="str">
        <f t="shared" si="762"/>
        <v/>
      </c>
      <c r="U3567" s="14" t="str">
        <f t="shared" si="763"/>
        <v/>
      </c>
      <c r="V3567" s="13" t="str">
        <f t="shared" si="764"/>
        <v/>
      </c>
      <c r="W3567" s="13" t="str">
        <f t="shared" si="765"/>
        <v/>
      </c>
      <c r="X3567" s="14" t="str">
        <f t="shared" si="766"/>
        <v/>
      </c>
    </row>
    <row r="3568" spans="20:24" x14ac:dyDescent="0.3">
      <c r="T3568" s="13" t="str">
        <f t="shared" si="762"/>
        <v/>
      </c>
      <c r="U3568" s="14" t="str">
        <f t="shared" si="763"/>
        <v/>
      </c>
      <c r="V3568" s="13" t="str">
        <f t="shared" si="764"/>
        <v/>
      </c>
      <c r="W3568" s="13" t="str">
        <f t="shared" si="765"/>
        <v/>
      </c>
      <c r="X3568" s="14" t="str">
        <f t="shared" si="766"/>
        <v/>
      </c>
    </row>
    <row r="3569" spans="20:24" x14ac:dyDescent="0.3">
      <c r="T3569" s="13" t="str">
        <f t="shared" si="762"/>
        <v/>
      </c>
      <c r="U3569" s="14" t="str">
        <f t="shared" si="763"/>
        <v/>
      </c>
      <c r="V3569" s="13" t="str">
        <f t="shared" si="764"/>
        <v/>
      </c>
      <c r="W3569" s="13" t="str">
        <f t="shared" si="765"/>
        <v/>
      </c>
      <c r="X3569" s="14" t="str">
        <f t="shared" si="766"/>
        <v/>
      </c>
    </row>
    <row r="3570" spans="20:24" x14ac:dyDescent="0.3">
      <c r="T3570" s="13" t="str">
        <f t="shared" si="762"/>
        <v/>
      </c>
      <c r="U3570" s="14" t="str">
        <f t="shared" si="763"/>
        <v/>
      </c>
      <c r="V3570" s="13" t="str">
        <f t="shared" si="764"/>
        <v/>
      </c>
      <c r="W3570" s="13" t="str">
        <f t="shared" si="765"/>
        <v/>
      </c>
      <c r="X3570" s="14" t="str">
        <f t="shared" si="766"/>
        <v/>
      </c>
    </row>
    <row r="3571" spans="20:24" x14ac:dyDescent="0.3">
      <c r="T3571" s="13" t="str">
        <f t="shared" si="762"/>
        <v/>
      </c>
      <c r="U3571" s="14" t="str">
        <f t="shared" si="763"/>
        <v/>
      </c>
      <c r="V3571" s="13" t="str">
        <f t="shared" si="764"/>
        <v/>
      </c>
      <c r="W3571" s="13" t="str">
        <f t="shared" si="765"/>
        <v/>
      </c>
      <c r="X3571" s="14" t="str">
        <f t="shared" si="766"/>
        <v/>
      </c>
    </row>
    <row r="3572" spans="20:24" x14ac:dyDescent="0.3">
      <c r="T3572" s="13" t="str">
        <f t="shared" si="762"/>
        <v/>
      </c>
      <c r="U3572" s="14" t="str">
        <f t="shared" si="763"/>
        <v/>
      </c>
      <c r="V3572" s="13" t="str">
        <f t="shared" si="764"/>
        <v/>
      </c>
      <c r="W3572" s="13" t="str">
        <f t="shared" si="765"/>
        <v/>
      </c>
      <c r="X3572" s="14" t="str">
        <f t="shared" si="766"/>
        <v/>
      </c>
    </row>
    <row r="3573" spans="20:24" x14ac:dyDescent="0.3">
      <c r="T3573" s="13" t="str">
        <f t="shared" si="762"/>
        <v/>
      </c>
      <c r="U3573" s="14" t="str">
        <f t="shared" si="763"/>
        <v/>
      </c>
      <c r="V3573" s="13" t="str">
        <f t="shared" si="764"/>
        <v/>
      </c>
      <c r="W3573" s="13" t="str">
        <f t="shared" si="765"/>
        <v/>
      </c>
      <c r="X3573" s="14" t="str">
        <f t="shared" si="766"/>
        <v/>
      </c>
    </row>
    <row r="3574" spans="20:24" x14ac:dyDescent="0.3">
      <c r="T3574" s="13" t="str">
        <f t="shared" si="762"/>
        <v/>
      </c>
      <c r="U3574" s="14" t="str">
        <f t="shared" si="763"/>
        <v/>
      </c>
      <c r="V3574" s="13" t="str">
        <f t="shared" si="764"/>
        <v/>
      </c>
      <c r="W3574" s="13" t="str">
        <f t="shared" si="765"/>
        <v/>
      </c>
      <c r="X3574" s="14" t="str">
        <f t="shared" si="766"/>
        <v/>
      </c>
    </row>
    <row r="3575" spans="20:24" x14ac:dyDescent="0.3">
      <c r="T3575" s="13" t="str">
        <f t="shared" si="762"/>
        <v/>
      </c>
      <c r="U3575" s="14" t="str">
        <f t="shared" si="763"/>
        <v/>
      </c>
      <c r="V3575" s="13" t="str">
        <f t="shared" si="764"/>
        <v/>
      </c>
      <c r="W3575" s="13" t="str">
        <f t="shared" si="765"/>
        <v/>
      </c>
      <c r="X3575" s="14" t="str">
        <f t="shared" si="766"/>
        <v/>
      </c>
    </row>
    <row r="3576" spans="20:24" x14ac:dyDescent="0.3">
      <c r="T3576" s="13" t="str">
        <f t="shared" si="762"/>
        <v/>
      </c>
      <c r="U3576" s="14" t="str">
        <f t="shared" si="763"/>
        <v/>
      </c>
      <c r="V3576" s="13" t="str">
        <f t="shared" si="764"/>
        <v/>
      </c>
      <c r="W3576" s="13" t="str">
        <f t="shared" si="765"/>
        <v/>
      </c>
      <c r="X3576" s="14" t="str">
        <f t="shared" si="766"/>
        <v/>
      </c>
    </row>
    <row r="3577" spans="20:24" x14ac:dyDescent="0.3">
      <c r="T3577" s="13" t="str">
        <f t="shared" si="762"/>
        <v/>
      </c>
      <c r="U3577" s="14" t="str">
        <f t="shared" si="763"/>
        <v/>
      </c>
      <c r="V3577" s="13" t="str">
        <f t="shared" si="764"/>
        <v/>
      </c>
      <c r="W3577" s="13" t="str">
        <f t="shared" si="765"/>
        <v/>
      </c>
      <c r="X3577" s="14" t="str">
        <f t="shared" si="766"/>
        <v/>
      </c>
    </row>
    <row r="3578" spans="20:24" x14ac:dyDescent="0.3">
      <c r="T3578" s="13" t="str">
        <f t="shared" si="762"/>
        <v/>
      </c>
      <c r="U3578" s="14" t="str">
        <f t="shared" si="763"/>
        <v/>
      </c>
      <c r="V3578" s="13" t="str">
        <f t="shared" si="764"/>
        <v/>
      </c>
      <c r="W3578" s="13" t="str">
        <f t="shared" si="765"/>
        <v/>
      </c>
      <c r="X3578" s="14" t="str">
        <f t="shared" si="766"/>
        <v/>
      </c>
    </row>
    <row r="3579" spans="20:24" x14ac:dyDescent="0.3">
      <c r="T3579" s="13" t="str">
        <f t="shared" si="762"/>
        <v/>
      </c>
      <c r="U3579" s="14" t="str">
        <f t="shared" si="763"/>
        <v/>
      </c>
      <c r="V3579" s="13" t="str">
        <f t="shared" si="764"/>
        <v/>
      </c>
      <c r="W3579" s="13" t="str">
        <f t="shared" si="765"/>
        <v/>
      </c>
      <c r="X3579" s="14" t="str">
        <f t="shared" si="766"/>
        <v/>
      </c>
    </row>
    <row r="3580" spans="20:24" x14ac:dyDescent="0.3">
      <c r="T3580" s="13" t="str">
        <f t="shared" si="762"/>
        <v/>
      </c>
      <c r="U3580" s="14" t="str">
        <f t="shared" si="763"/>
        <v/>
      </c>
      <c r="V3580" s="13" t="str">
        <f t="shared" si="764"/>
        <v/>
      </c>
      <c r="W3580" s="13" t="str">
        <f t="shared" si="765"/>
        <v/>
      </c>
      <c r="X3580" s="14" t="str">
        <f t="shared" si="766"/>
        <v/>
      </c>
    </row>
    <row r="3581" spans="20:24" x14ac:dyDescent="0.3">
      <c r="T3581" s="13" t="str">
        <f t="shared" si="762"/>
        <v/>
      </c>
      <c r="U3581" s="14" t="str">
        <f t="shared" si="763"/>
        <v/>
      </c>
      <c r="V3581" s="13" t="str">
        <f t="shared" si="764"/>
        <v/>
      </c>
      <c r="W3581" s="13" t="str">
        <f t="shared" si="765"/>
        <v/>
      </c>
      <c r="X3581" s="14" t="str">
        <f t="shared" si="766"/>
        <v/>
      </c>
    </row>
    <row r="3582" spans="20:24" x14ac:dyDescent="0.3">
      <c r="T3582" s="13" t="str">
        <f t="shared" si="762"/>
        <v/>
      </c>
      <c r="U3582" s="14" t="str">
        <f t="shared" si="763"/>
        <v/>
      </c>
      <c r="V3582" s="13" t="str">
        <f t="shared" si="764"/>
        <v/>
      </c>
      <c r="W3582" s="13" t="str">
        <f t="shared" si="765"/>
        <v/>
      </c>
      <c r="X3582" s="14" t="str">
        <f t="shared" si="766"/>
        <v/>
      </c>
    </row>
    <row r="3583" spans="20:24" x14ac:dyDescent="0.3">
      <c r="T3583" s="13" t="str">
        <f t="shared" si="762"/>
        <v/>
      </c>
      <c r="U3583" s="14" t="str">
        <f t="shared" si="763"/>
        <v/>
      </c>
      <c r="V3583" s="13" t="str">
        <f t="shared" si="764"/>
        <v/>
      </c>
      <c r="W3583" s="13" t="str">
        <f t="shared" si="765"/>
        <v/>
      </c>
      <c r="X3583" s="14" t="str">
        <f t="shared" si="766"/>
        <v/>
      </c>
    </row>
    <row r="3584" spans="20:24" x14ac:dyDescent="0.3">
      <c r="T3584" s="13" t="str">
        <f t="shared" si="762"/>
        <v/>
      </c>
      <c r="U3584" s="14" t="str">
        <f t="shared" si="763"/>
        <v/>
      </c>
      <c r="V3584" s="13" t="str">
        <f t="shared" si="764"/>
        <v/>
      </c>
      <c r="W3584" s="13" t="str">
        <f t="shared" si="765"/>
        <v/>
      </c>
      <c r="X3584" s="14" t="str">
        <f t="shared" si="766"/>
        <v/>
      </c>
    </row>
    <row r="3585" spans="20:24" x14ac:dyDescent="0.3">
      <c r="T3585" s="13" t="str">
        <f t="shared" si="762"/>
        <v/>
      </c>
      <c r="U3585" s="14" t="str">
        <f t="shared" si="763"/>
        <v/>
      </c>
      <c r="V3585" s="13" t="str">
        <f t="shared" si="764"/>
        <v/>
      </c>
      <c r="W3585" s="13" t="str">
        <f t="shared" si="765"/>
        <v/>
      </c>
      <c r="X3585" s="14" t="str">
        <f t="shared" si="766"/>
        <v/>
      </c>
    </row>
    <row r="3586" spans="20:24" x14ac:dyDescent="0.3">
      <c r="T3586" s="13" t="str">
        <f t="shared" si="762"/>
        <v/>
      </c>
      <c r="U3586" s="14" t="str">
        <f t="shared" si="763"/>
        <v/>
      </c>
      <c r="V3586" s="13" t="str">
        <f t="shared" si="764"/>
        <v/>
      </c>
      <c r="W3586" s="13" t="str">
        <f t="shared" si="765"/>
        <v/>
      </c>
      <c r="X3586" s="14" t="str">
        <f t="shared" si="766"/>
        <v/>
      </c>
    </row>
    <row r="3587" spans="20:24" x14ac:dyDescent="0.3">
      <c r="T3587" s="13" t="str">
        <f t="shared" si="762"/>
        <v/>
      </c>
      <c r="U3587" s="14" t="str">
        <f t="shared" si="763"/>
        <v/>
      </c>
      <c r="V3587" s="13" t="str">
        <f t="shared" si="764"/>
        <v/>
      </c>
      <c r="W3587" s="13" t="str">
        <f t="shared" si="765"/>
        <v/>
      </c>
      <c r="X3587" s="14" t="str">
        <f t="shared" si="766"/>
        <v/>
      </c>
    </row>
    <row r="3588" spans="20:24" x14ac:dyDescent="0.3">
      <c r="T3588" s="13" t="str">
        <f t="shared" si="762"/>
        <v/>
      </c>
      <c r="U3588" s="14" t="str">
        <f t="shared" si="763"/>
        <v/>
      </c>
      <c r="V3588" s="13" t="str">
        <f t="shared" si="764"/>
        <v/>
      </c>
      <c r="W3588" s="13" t="str">
        <f t="shared" si="765"/>
        <v/>
      </c>
      <c r="X3588" s="14" t="str">
        <f t="shared" si="766"/>
        <v/>
      </c>
    </row>
    <row r="3589" spans="20:24" x14ac:dyDescent="0.3">
      <c r="T3589" s="13" t="str">
        <f t="shared" si="762"/>
        <v/>
      </c>
      <c r="U3589" s="14" t="str">
        <f t="shared" si="763"/>
        <v/>
      </c>
      <c r="V3589" s="13" t="str">
        <f t="shared" si="764"/>
        <v/>
      </c>
      <c r="W3589" s="13" t="str">
        <f t="shared" si="765"/>
        <v/>
      </c>
      <c r="X3589" s="14" t="str">
        <f t="shared" si="766"/>
        <v/>
      </c>
    </row>
    <row r="3590" spans="20:24" x14ac:dyDescent="0.3">
      <c r="T3590" s="13" t="str">
        <f t="shared" si="762"/>
        <v/>
      </c>
      <c r="U3590" s="14" t="str">
        <f t="shared" si="763"/>
        <v/>
      </c>
      <c r="V3590" s="13" t="str">
        <f t="shared" si="764"/>
        <v/>
      </c>
      <c r="W3590" s="13" t="str">
        <f t="shared" si="765"/>
        <v/>
      </c>
      <c r="X3590" s="14" t="str">
        <f t="shared" si="766"/>
        <v/>
      </c>
    </row>
    <row r="3591" spans="20:24" x14ac:dyDescent="0.3">
      <c r="T3591" s="13" t="str">
        <f t="shared" si="762"/>
        <v/>
      </c>
      <c r="U3591" s="14" t="str">
        <f t="shared" si="763"/>
        <v/>
      </c>
      <c r="V3591" s="13" t="str">
        <f t="shared" si="764"/>
        <v/>
      </c>
      <c r="W3591" s="13" t="str">
        <f t="shared" si="765"/>
        <v/>
      </c>
      <c r="X3591" s="14" t="str">
        <f t="shared" si="766"/>
        <v/>
      </c>
    </row>
    <row r="3592" spans="20:24" x14ac:dyDescent="0.3">
      <c r="T3592" s="13" t="str">
        <f t="shared" si="762"/>
        <v/>
      </c>
      <c r="U3592" s="14" t="str">
        <f t="shared" si="763"/>
        <v/>
      </c>
      <c r="V3592" s="13" t="str">
        <f t="shared" si="764"/>
        <v/>
      </c>
      <c r="W3592" s="13" t="str">
        <f t="shared" si="765"/>
        <v/>
      </c>
      <c r="X3592" s="14" t="str">
        <f t="shared" si="766"/>
        <v/>
      </c>
    </row>
    <row r="3593" spans="20:24" x14ac:dyDescent="0.3">
      <c r="T3593" s="13" t="str">
        <f t="shared" si="762"/>
        <v/>
      </c>
      <c r="U3593" s="14" t="str">
        <f t="shared" si="763"/>
        <v/>
      </c>
      <c r="V3593" s="13" t="str">
        <f t="shared" si="764"/>
        <v/>
      </c>
      <c r="W3593" s="13" t="str">
        <f t="shared" si="765"/>
        <v/>
      </c>
      <c r="X3593" s="14" t="str">
        <f t="shared" si="766"/>
        <v/>
      </c>
    </row>
    <row r="3594" spans="20:24" x14ac:dyDescent="0.3">
      <c r="T3594" s="13" t="str">
        <f t="shared" si="762"/>
        <v/>
      </c>
      <c r="U3594" s="14" t="str">
        <f t="shared" si="763"/>
        <v/>
      </c>
      <c r="V3594" s="13" t="str">
        <f t="shared" si="764"/>
        <v/>
      </c>
      <c r="W3594" s="13" t="str">
        <f t="shared" si="765"/>
        <v/>
      </c>
      <c r="X3594" s="14" t="str">
        <f t="shared" si="766"/>
        <v/>
      </c>
    </row>
    <row r="3595" spans="20:24" x14ac:dyDescent="0.3">
      <c r="T3595" s="13" t="str">
        <f t="shared" si="762"/>
        <v/>
      </c>
      <c r="U3595" s="14" t="str">
        <f t="shared" si="763"/>
        <v/>
      </c>
      <c r="V3595" s="13" t="str">
        <f t="shared" si="764"/>
        <v/>
      </c>
      <c r="W3595" s="13" t="str">
        <f t="shared" si="765"/>
        <v/>
      </c>
      <c r="X3595" s="14" t="str">
        <f t="shared" si="766"/>
        <v/>
      </c>
    </row>
    <row r="3596" spans="20:24" x14ac:dyDescent="0.3">
      <c r="T3596" s="13" t="str">
        <f t="shared" si="762"/>
        <v/>
      </c>
      <c r="U3596" s="14" t="str">
        <f t="shared" si="763"/>
        <v/>
      </c>
      <c r="V3596" s="13" t="str">
        <f t="shared" si="764"/>
        <v/>
      </c>
      <c r="W3596" s="13" t="str">
        <f t="shared" si="765"/>
        <v/>
      </c>
      <c r="X3596" s="14" t="str">
        <f t="shared" si="766"/>
        <v/>
      </c>
    </row>
    <row r="3597" spans="20:24" x14ac:dyDescent="0.3">
      <c r="T3597" s="13" t="str">
        <f t="shared" si="762"/>
        <v/>
      </c>
      <c r="U3597" s="14" t="str">
        <f t="shared" si="763"/>
        <v/>
      </c>
      <c r="V3597" s="13" t="str">
        <f t="shared" si="764"/>
        <v/>
      </c>
      <c r="W3597" s="13" t="str">
        <f t="shared" si="765"/>
        <v/>
      </c>
      <c r="X3597" s="14" t="str">
        <f t="shared" si="766"/>
        <v/>
      </c>
    </row>
    <row r="3598" spans="20:24" x14ac:dyDescent="0.3">
      <c r="T3598" s="13" t="str">
        <f t="shared" si="762"/>
        <v/>
      </c>
      <c r="U3598" s="14" t="str">
        <f t="shared" si="763"/>
        <v/>
      </c>
      <c r="V3598" s="13" t="str">
        <f t="shared" si="764"/>
        <v/>
      </c>
      <c r="W3598" s="13" t="str">
        <f t="shared" si="765"/>
        <v/>
      </c>
      <c r="X3598" s="14" t="str">
        <f t="shared" si="766"/>
        <v/>
      </c>
    </row>
    <row r="3599" spans="20:24" x14ac:dyDescent="0.3">
      <c r="T3599" s="13" t="str">
        <f t="shared" si="762"/>
        <v/>
      </c>
      <c r="U3599" s="14" t="str">
        <f t="shared" si="763"/>
        <v/>
      </c>
      <c r="V3599" s="13" t="str">
        <f t="shared" si="764"/>
        <v/>
      </c>
      <c r="W3599" s="13" t="str">
        <f t="shared" si="765"/>
        <v/>
      </c>
      <c r="X3599" s="14" t="str">
        <f t="shared" si="766"/>
        <v/>
      </c>
    </row>
    <row r="3600" spans="20:24" x14ac:dyDescent="0.3">
      <c r="T3600" s="13" t="str">
        <f t="shared" si="762"/>
        <v/>
      </c>
      <c r="U3600" s="14" t="str">
        <f t="shared" si="763"/>
        <v/>
      </c>
      <c r="V3600" s="13" t="str">
        <f t="shared" si="764"/>
        <v/>
      </c>
      <c r="W3600" s="13" t="str">
        <f t="shared" si="765"/>
        <v/>
      </c>
      <c r="X3600" s="14" t="str">
        <f t="shared" si="766"/>
        <v/>
      </c>
    </row>
    <row r="3601" spans="20:24" x14ac:dyDescent="0.3">
      <c r="T3601" s="13" t="str">
        <f t="shared" si="762"/>
        <v/>
      </c>
      <c r="U3601" s="14" t="str">
        <f t="shared" si="763"/>
        <v/>
      </c>
      <c r="V3601" s="13" t="str">
        <f t="shared" si="764"/>
        <v/>
      </c>
      <c r="W3601" s="13" t="str">
        <f t="shared" si="765"/>
        <v/>
      </c>
      <c r="X3601" s="14" t="str">
        <f t="shared" si="766"/>
        <v/>
      </c>
    </row>
    <row r="3602" spans="20:24" x14ac:dyDescent="0.3">
      <c r="T3602" s="13" t="str">
        <f t="shared" si="762"/>
        <v/>
      </c>
      <c r="U3602" s="14" t="str">
        <f t="shared" si="763"/>
        <v/>
      </c>
      <c r="V3602" s="13" t="str">
        <f t="shared" si="764"/>
        <v/>
      </c>
      <c r="W3602" s="13" t="str">
        <f t="shared" si="765"/>
        <v/>
      </c>
      <c r="X3602" s="14" t="str">
        <f t="shared" si="766"/>
        <v/>
      </c>
    </row>
    <row r="3603" spans="20:24" x14ac:dyDescent="0.3">
      <c r="T3603" s="13" t="str">
        <f t="shared" ref="T3603:T3604" si="767">IF(A3603="",IF(A3602="","",$T$1),IF(O3603=1,"#",IF(B3603=0,"*",DEC2HEX(R3603))))</f>
        <v/>
      </c>
      <c r="U3603" s="14" t="str">
        <f t="shared" ref="U3603:U3604" si="768">IF(A3603="",IF(A3602="","",$U$1),  IF(B3603=0,Q3603,I3603)  )</f>
        <v/>
      </c>
      <c r="V3603" s="13" t="str">
        <f t="shared" ref="V3603:V3604" si="769">IF(U3603=$U$1,"",IF(A3603="",IF(A3602="","",1),  IF(B3603=0,1,D3603)  ))</f>
        <v/>
      </c>
      <c r="W3603" s="13" t="str">
        <f t="shared" ref="W3603:W3604" si="770">IF(U3603=$U$1,"",IF(A3603="",IF(A3602="","",0),  IF(C3603=0,0,0)  ))</f>
        <v/>
      </c>
      <c r="X3603" s="14" t="str">
        <f t="shared" ref="X3603:X3604" si="771">IF(U3603=$U$1,"",IF(U3603="","",IF(B3603&gt;0,IF(Q3603&lt;&gt;"",Q3603,"No description"),"-")))</f>
        <v/>
      </c>
    </row>
    <row r="3604" spans="20:24" x14ac:dyDescent="0.3">
      <c r="T3604" s="13" t="str">
        <f t="shared" si="767"/>
        <v/>
      </c>
      <c r="U3604" s="14" t="str">
        <f t="shared" si="768"/>
        <v/>
      </c>
      <c r="V3604" s="13" t="str">
        <f t="shared" si="769"/>
        <v/>
      </c>
      <c r="W3604" s="13" t="str">
        <f t="shared" si="770"/>
        <v/>
      </c>
      <c r="X3604" s="14" t="str">
        <f t="shared" si="771"/>
        <v/>
      </c>
    </row>
  </sheetData>
  <phoneticPr fontId="2" type="noConversion"/>
  <conditionalFormatting sqref="U1:U1048576">
    <cfRule type="containsText" dxfId="2" priority="3" operator="containsText" text="END_ID">
      <formula>NOT(ISERROR(SEARCH("END_ID",U1)))</formula>
    </cfRule>
  </conditionalFormatting>
  <conditionalFormatting sqref="T1:T1048576">
    <cfRule type="cellIs" dxfId="1" priority="2" operator="equal">
      <formula>$T$1</formula>
    </cfRule>
  </conditionalFormatting>
  <conditionalFormatting sqref="T1:X1048576">
    <cfRule type="containsBlanks" dxfId="0" priority="1">
      <formula>LEN(TRIM(T1))=0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dc:creator>
  <cp:lastModifiedBy>GyuHongLee</cp:lastModifiedBy>
  <dcterms:created xsi:type="dcterms:W3CDTF">2015-06-08T23:20:44Z</dcterms:created>
  <dcterms:modified xsi:type="dcterms:W3CDTF">2022-10-26T06:53:51Z</dcterms:modified>
</cp:coreProperties>
</file>